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2019\5.GestionDotaciones\DAPRE\Belen de los Andaquies\Alistamiento\"/>
    </mc:Choice>
  </mc:AlternateContent>
  <xr:revisionPtr revIDLastSave="0" documentId="13_ncr:1_{B9969FCE-4C0A-4FB6-96F0-3083A3187F57}" xr6:coauthVersionLast="40" xr6:coauthVersionMax="40" xr10:uidLastSave="{00000000-0000-0000-0000-000000000000}"/>
  <bookViews>
    <workbookView xWindow="-120" yWindow="-120" windowWidth="20730" windowHeight="11160" tabRatio="776" xr2:uid="{00000000-000D-0000-FFFF-FFFF00000000}"/>
  </bookViews>
  <sheets>
    <sheet name="InfoTransporte" sheetId="7" r:id="rId1"/>
  </sheets>
  <definedNames>
    <definedName name="_xlnm._FilterDatabase" localSheetId="0" hidden="1">InfoTransporte!$G$1:$O$60</definedName>
    <definedName name="_xlnm.Print_Area" localSheetId="0">InfoTransporte!$A$1:$O$59</definedName>
    <definedName name="Cli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7" l="1"/>
  <c r="N50" i="7"/>
  <c r="N48" i="7"/>
  <c r="N33" i="7"/>
  <c r="N32" i="7"/>
  <c r="N19" i="7"/>
  <c r="N11" i="7"/>
  <c r="N7" i="7"/>
  <c r="N8" i="7"/>
  <c r="N3" i="7"/>
  <c r="N23" i="7" l="1"/>
  <c r="N60" i="7" l="1"/>
  <c r="N49" i="7" l="1"/>
  <c r="N47" i="7"/>
  <c r="N46" i="7"/>
  <c r="N45" i="7"/>
  <c r="N35" i="7"/>
  <c r="N34" i="7"/>
  <c r="N22" i="7"/>
  <c r="N21" i="7"/>
  <c r="N20" i="7"/>
  <c r="N13" i="7"/>
  <c r="N9" i="7"/>
  <c r="J60" i="7" l="1"/>
</calcChain>
</file>

<file path=xl/sharedStrings.xml><?xml version="1.0" encoding="utf-8"?>
<sst xmlns="http://schemas.openxmlformats.org/spreadsheetml/2006/main" count="586" uniqueCount="107">
  <si>
    <t>Regional</t>
  </si>
  <si>
    <t>MUNICIPIO</t>
  </si>
  <si>
    <t>CONTACTO ORIGEN</t>
  </si>
  <si>
    <t>DIRECCIÓN ORIGEN</t>
  </si>
  <si>
    <t>Fecha estimada de servicio</t>
  </si>
  <si>
    <t>DESTINO</t>
  </si>
  <si>
    <t>CONTACTO DESTINO</t>
  </si>
  <si>
    <t>UNIDADES</t>
  </si>
  <si>
    <t>PESO FISICO</t>
  </si>
  <si>
    <t>VALOR DECLARADO</t>
  </si>
  <si>
    <t>ELEMENTOS A TRANSPORTAR</t>
  </si>
  <si>
    <t>Alto</t>
  </si>
  <si>
    <t>Ancho</t>
  </si>
  <si>
    <t>Largo</t>
  </si>
  <si>
    <t>Caja 41</t>
  </si>
  <si>
    <t>Caja 15</t>
  </si>
  <si>
    <t>Caja 39</t>
  </si>
  <si>
    <t>Caja 42</t>
  </si>
  <si>
    <t>Caja 40</t>
  </si>
  <si>
    <t>Caja 16</t>
  </si>
  <si>
    <t>Caja 17</t>
  </si>
  <si>
    <t>Caja 2</t>
  </si>
  <si>
    <t>Caja 3</t>
  </si>
  <si>
    <t>Caja 7</t>
  </si>
  <si>
    <t>Caja 5</t>
  </si>
  <si>
    <t>Caja 19</t>
  </si>
  <si>
    <t>Caja 20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</si>
  <si>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</si>
  <si>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</si>
  <si>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</si>
  <si>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</si>
  <si>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</si>
  <si>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</si>
  <si>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</si>
  <si>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</si>
  <si>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</si>
  <si>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</si>
  <si>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</si>
  <si>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Caja 32</t>
  </si>
  <si>
    <t>Caja 33</t>
  </si>
  <si>
    <t>Caja 34</t>
  </si>
  <si>
    <t>Caja 35</t>
  </si>
  <si>
    <t>Caja 36</t>
  </si>
  <si>
    <t>Caja 11</t>
  </si>
  <si>
    <t>Caja 14</t>
  </si>
  <si>
    <t>Caja 1</t>
  </si>
  <si>
    <t>Caja 4</t>
  </si>
  <si>
    <t>Caja 6</t>
  </si>
  <si>
    <t>Caja 8</t>
  </si>
  <si>
    <t>Caja 9</t>
  </si>
  <si>
    <t>Caja 10</t>
  </si>
  <si>
    <t>Caja 12</t>
  </si>
  <si>
    <t>Caja 13</t>
  </si>
  <si>
    <t>Caja 18</t>
  </si>
  <si>
    <t>Caja 37</t>
  </si>
  <si>
    <t>Caja 43</t>
  </si>
  <si>
    <t>Caja 44</t>
  </si>
  <si>
    <t>Caja 45</t>
  </si>
  <si>
    <t>Caja 38</t>
  </si>
  <si>
    <t>Caja 46</t>
  </si>
  <si>
    <t>Caja 47</t>
  </si>
  <si>
    <t>Caja 48</t>
  </si>
  <si>
    <t>Caja 49</t>
  </si>
  <si>
    <t>Caja 50</t>
  </si>
  <si>
    <t>Caja 51</t>
  </si>
  <si>
    <t>Caja 52</t>
  </si>
  <si>
    <t>Caja 53</t>
  </si>
  <si>
    <t>Caja 54</t>
  </si>
  <si>
    <t>Caja 55</t>
  </si>
  <si>
    <t>Caja 56</t>
  </si>
  <si>
    <t>Caja 57</t>
  </si>
  <si>
    <t>MEDIDAS VOLUMÉTRICAS</t>
  </si>
  <si>
    <t>ANIMALES PARA ENHEBRAR,JUEGO DE BALONES CANGURO,CUBO DE ACTIVIDADES DE VESTIR,PELOTA O BALÓN ORTOPÉDICO,JUEGO DE PELOTAS GRANDES TIPO ERIZO,JUEGO DE,PELOTAS PEQUEÑAS TIPO ERIZO,RODILLO GRANDE EN ESPUMA,CAJA CHINA</t>
  </si>
  <si>
    <t>Colchoneta de texturas</t>
  </si>
  <si>
    <t>RODILLO MEDIANO EN ESPUMA,JUEGO DE MARACAS,XILÓFONO,TORRE DE ENSARTE,CINTURÓN DE HERRAMIENTAS CON CASCO,JUEGO DE VAJILLA,KIT DE MÉDICO,SET DE MERCADO,COMPILADO DVD MUSICAL  PARA NIÑOS Y NIÑAS</t>
  </si>
  <si>
    <t>MESA DE AGUA Y ARENA</t>
  </si>
  <si>
    <t>JUEGO DE GRANJA</t>
  </si>
  <si>
    <t>JUEGO DE BALONES EN ESPUMA,ROMPECABEZAS DE TRES NIVELES PROGRESIVOS</t>
  </si>
  <si>
    <t>EQUIPO PSICOMOTOR</t>
  </si>
  <si>
    <t>FIGURAS PARA ENHEBRAR,CUBO DE ACTIVIDADES MÚLTIPLES,RECIPIENTE PARA ENCAJAR FIGURAS,SALTARÍN GRANDE,SALTARÍN PEQUEÑO</t>
  </si>
  <si>
    <t>TEATRINO MODULAR DE PISO</t>
  </si>
  <si>
    <t>GIMNASIO DE ESPUMA POLIMOTOR</t>
  </si>
  <si>
    <t>CASA INFANTIL DE MUÑECAS</t>
  </si>
  <si>
    <t>BANDEJA DE PRISMAS RECTANGULARES PARA ENCAJAR,TABLERO DE CREACIÓN</t>
  </si>
  <si>
    <t>JUEGOS DE EMPUJE</t>
  </si>
  <si>
    <t>CABALLITO DE PALO X6</t>
  </si>
  <si>
    <t>JUEGO DE COCINA (NEVERA)</t>
  </si>
  <si>
    <t>KIT DE PERCEPCIÓN PEQUEÑO,JUEGO DE PELOTAS,MARACAS PEQUEÑAS,MARACATAN,PANDERETA,TAMBOR</t>
  </si>
  <si>
    <t xml:space="preserve">CAMIÓN BLOQUES DE CONTRUCCIÓN,MUÑECAS DE TRAPO DE VESTIR,COMPILADO MUSICAL PARA NIÑOS Y NIÑAS </t>
  </si>
  <si>
    <t>PLATAFORMA DE CONSTRUCCIÓN X4</t>
  </si>
  <si>
    <t>JUEGO DE COCINA (ESTUFA, LAVAPLATOS)</t>
  </si>
  <si>
    <t>PANDERO</t>
  </si>
  <si>
    <t>JUEGOS DE ARRASTRE</t>
  </si>
  <si>
    <t>BLOQUES DE MADERA PEQUEÑOS</t>
  </si>
  <si>
    <t>JUEGO DE HABILIDAD 2 JUEGO DE HABILIDAD 3</t>
  </si>
  <si>
    <t>DISFRACES DE VESTIDO - PROFESIONES</t>
  </si>
  <si>
    <t>BLOQUES LÓGICOS FIGURAS GEOMÉTRICAS,JUEGO DE HABILIDAD 1</t>
  </si>
  <si>
    <t>ESPEJO CUERPO ENTERO</t>
  </si>
  <si>
    <t>Calle 30B Sur #9-80, Barrio 20 de Julio</t>
  </si>
  <si>
    <t>Jaime Andres Silva Ortega</t>
  </si>
  <si>
    <t>Bogotá D.C</t>
  </si>
  <si>
    <t>25 a 28 Febrero 2019</t>
  </si>
  <si>
    <t>Calle 7 No. 5-33,  Barrio Cincuentenario, Belén de los Andaquíes, Caquetá</t>
  </si>
  <si>
    <t>Belén de los Andaquíes</t>
  </si>
  <si>
    <t>ANA PRISCILA VARGAS RODRIGUEZ    C.C.51.711.612  CEL: 3208992501</t>
  </si>
  <si>
    <t>JUEGO DE BALONES EN ESPUMA, JUEGO DE GRANJA</t>
  </si>
  <si>
    <t>Sede Nacional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</si>
</sst>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center" wrapText="1"/>
    </xf>
    <xf numFmtId="42" fontId="1" fillId="0" borderId="1" xfId="1" applyFont="1" applyFill="1" applyBorder="1" applyAlignment="1">
      <alignment horizontal="center" vertical="center" wrapText="1"/>
    </xf>
    <xf numFmtId="42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 vertical="center" wrapText="1"/>
    </xf>
    <xf numFmtId="15" fontId="1" fillId="2" borderId="1" xfId="0" applyNumberFormat="1" applyFont="1" applyFill="1" applyBorder="1" applyAlignment="1">
      <alignment horizontal="center" vertical="center" wrapText="1"/>
    </xf>
    <xf numFmtId="42" fontId="0" fillId="0" borderId="0" xfId="0" applyNumberFormat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colors>
    <mruColors>
      <color rgb="FFBDD7EE"/>
      <color rgb="FFF2FC96"/>
      <color rgb="FFFDBFCC"/>
      <color rgb="FF8EF6CC"/>
      <color rgb="FFFFCCFF"/>
      <color rgb="FFF8CBAD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60"/>
  <sheetViews>
    <sheetView tabSelected="1" view="pageBreakPreview" topLeftCell="E44" zoomScale="90" zoomScaleNormal="100" zoomScaleSheetLayoutView="90" workbookViewId="0">
      <selection activeCell="L48" sqref="L48"/>
    </sheetView>
  </sheetViews>
  <sheetFormatPr baseColWidth="10" defaultRowHeight="15" x14ac:dyDescent="0.25"/>
  <cols>
    <col min="1" max="1" width="15.42578125" customWidth="1"/>
    <col min="2" max="2" width="11.42578125" customWidth="1"/>
    <col min="3" max="3" width="23.85546875" customWidth="1"/>
    <col min="4" max="4" width="27.5703125" style="2" customWidth="1"/>
    <col min="5" max="5" width="17" customWidth="1"/>
    <col min="6" max="6" width="23.140625" customWidth="1"/>
    <col min="8" max="8" width="25.7109375" customWidth="1"/>
    <col min="10" max="13" width="11.42578125" customWidth="1"/>
    <col min="14" max="14" width="15" customWidth="1"/>
    <col min="15" max="15" width="42.140625" style="2" customWidth="1"/>
  </cols>
  <sheetData>
    <row r="1" spans="1:15" ht="44.25" customHeight="1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1</v>
      </c>
      <c r="H1" s="13" t="s">
        <v>6</v>
      </c>
      <c r="I1" s="13" t="s">
        <v>7</v>
      </c>
      <c r="J1" s="13" t="s">
        <v>8</v>
      </c>
      <c r="K1" s="14" t="s">
        <v>71</v>
      </c>
      <c r="L1" s="14"/>
      <c r="M1" s="14"/>
      <c r="N1" s="13" t="s">
        <v>9</v>
      </c>
      <c r="O1" s="13" t="s">
        <v>10</v>
      </c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6" t="s">
        <v>11</v>
      </c>
      <c r="L2" s="6" t="s">
        <v>12</v>
      </c>
      <c r="M2" s="6" t="s">
        <v>13</v>
      </c>
      <c r="N2" s="13"/>
      <c r="O2" s="13"/>
    </row>
    <row r="3" spans="1:15" ht="51.75" customHeight="1" x14ac:dyDescent="0.25">
      <c r="A3" s="1" t="s">
        <v>106</v>
      </c>
      <c r="B3" s="1" t="s">
        <v>100</v>
      </c>
      <c r="C3" s="1" t="s">
        <v>99</v>
      </c>
      <c r="D3" s="1" t="s">
        <v>98</v>
      </c>
      <c r="E3" s="8" t="s">
        <v>101</v>
      </c>
      <c r="F3" s="1" t="s">
        <v>102</v>
      </c>
      <c r="G3" s="1" t="s">
        <v>103</v>
      </c>
      <c r="H3" s="1" t="s">
        <v>104</v>
      </c>
      <c r="I3" s="3" t="s">
        <v>45</v>
      </c>
      <c r="J3" s="3">
        <v>18</v>
      </c>
      <c r="K3" s="3">
        <v>50</v>
      </c>
      <c r="L3" s="3">
        <v>50</v>
      </c>
      <c r="M3" s="3">
        <v>70</v>
      </c>
      <c r="N3" s="4">
        <f>72212+544944+111164+118132+32560+7571+49550+61168+37072+164864+138872+23366+41304+356760+100732+127807</f>
        <v>1988078</v>
      </c>
      <c r="O3" s="7" t="s">
        <v>72</v>
      </c>
    </row>
    <row r="4" spans="1:15" ht="51.75" customHeight="1" x14ac:dyDescent="0.25">
      <c r="A4" s="1" t="s">
        <v>106</v>
      </c>
      <c r="B4" s="1" t="s">
        <v>100</v>
      </c>
      <c r="C4" s="1" t="s">
        <v>99</v>
      </c>
      <c r="D4" s="1" t="s">
        <v>98</v>
      </c>
      <c r="E4" s="8" t="s">
        <v>101</v>
      </c>
      <c r="F4" s="1" t="s">
        <v>102</v>
      </c>
      <c r="G4" s="1" t="s">
        <v>103</v>
      </c>
      <c r="H4" s="1" t="s">
        <v>104</v>
      </c>
      <c r="I4" s="3" t="s">
        <v>21</v>
      </c>
      <c r="J4" s="3">
        <v>1.5</v>
      </c>
      <c r="K4" s="3">
        <v>10</v>
      </c>
      <c r="L4" s="3">
        <v>73</v>
      </c>
      <c r="M4" s="3">
        <v>98</v>
      </c>
      <c r="N4" s="4">
        <v>146384</v>
      </c>
      <c r="O4" s="7" t="s">
        <v>73</v>
      </c>
    </row>
    <row r="5" spans="1:15" ht="51.75" customHeight="1" x14ac:dyDescent="0.25">
      <c r="A5" s="1" t="s">
        <v>106</v>
      </c>
      <c r="B5" s="1" t="s">
        <v>100</v>
      </c>
      <c r="C5" s="1" t="s">
        <v>99</v>
      </c>
      <c r="D5" s="1" t="s">
        <v>98</v>
      </c>
      <c r="E5" s="8" t="s">
        <v>101</v>
      </c>
      <c r="F5" s="1" t="s">
        <v>102</v>
      </c>
      <c r="G5" s="1" t="s">
        <v>103</v>
      </c>
      <c r="H5" s="1" t="s">
        <v>104</v>
      </c>
      <c r="I5" s="3" t="s">
        <v>22</v>
      </c>
      <c r="J5" s="3">
        <v>12</v>
      </c>
      <c r="K5" s="3">
        <v>70</v>
      </c>
      <c r="L5" s="3">
        <v>50</v>
      </c>
      <c r="M5" s="3">
        <v>66</v>
      </c>
      <c r="N5" s="4">
        <f>22759+45696+256784+80185+90140+138546+309573+172332+186734</f>
        <v>1302749</v>
      </c>
      <c r="O5" s="7" t="s">
        <v>74</v>
      </c>
    </row>
    <row r="6" spans="1:15" ht="51.75" customHeight="1" x14ac:dyDescent="0.25">
      <c r="A6" s="1" t="s">
        <v>106</v>
      </c>
      <c r="B6" s="1" t="s">
        <v>100</v>
      </c>
      <c r="C6" s="1" t="s">
        <v>99</v>
      </c>
      <c r="D6" s="1" t="s">
        <v>98</v>
      </c>
      <c r="E6" s="8" t="s">
        <v>101</v>
      </c>
      <c r="F6" s="1" t="s">
        <v>102</v>
      </c>
      <c r="G6" s="1" t="s">
        <v>103</v>
      </c>
      <c r="H6" s="1" t="s">
        <v>104</v>
      </c>
      <c r="I6" s="3" t="s">
        <v>46</v>
      </c>
      <c r="J6" s="3">
        <v>3</v>
      </c>
      <c r="K6" s="3">
        <v>65</v>
      </c>
      <c r="L6" s="3">
        <v>66</v>
      </c>
      <c r="M6" s="3">
        <v>20</v>
      </c>
      <c r="N6" s="4">
        <v>468648</v>
      </c>
      <c r="O6" s="7" t="s">
        <v>75</v>
      </c>
    </row>
    <row r="7" spans="1:15" ht="51.75" customHeight="1" x14ac:dyDescent="0.25">
      <c r="A7" s="1" t="s">
        <v>106</v>
      </c>
      <c r="B7" s="1" t="s">
        <v>100</v>
      </c>
      <c r="C7" s="1" t="s">
        <v>99</v>
      </c>
      <c r="D7" s="1" t="s">
        <v>98</v>
      </c>
      <c r="E7" s="8" t="s">
        <v>101</v>
      </c>
      <c r="F7" s="1" t="s">
        <v>102</v>
      </c>
      <c r="G7" s="1" t="s">
        <v>103</v>
      </c>
      <c r="H7" s="1" t="s">
        <v>104</v>
      </c>
      <c r="I7" s="3" t="s">
        <v>24</v>
      </c>
      <c r="J7" s="3">
        <v>9</v>
      </c>
      <c r="K7" s="3">
        <v>70</v>
      </c>
      <c r="L7" s="3">
        <v>50</v>
      </c>
      <c r="M7" s="3">
        <v>66</v>
      </c>
      <c r="N7" s="4">
        <f>110229.9975*5+34335</f>
        <v>585484.98750000005</v>
      </c>
      <c r="O7" s="7" t="s">
        <v>105</v>
      </c>
    </row>
    <row r="8" spans="1:15" ht="51.75" customHeight="1" x14ac:dyDescent="0.25">
      <c r="A8" s="1" t="s">
        <v>106</v>
      </c>
      <c r="B8" s="1" t="s">
        <v>100</v>
      </c>
      <c r="C8" s="1" t="s">
        <v>99</v>
      </c>
      <c r="D8" s="1" t="s">
        <v>98</v>
      </c>
      <c r="E8" s="8" t="s">
        <v>101</v>
      </c>
      <c r="F8" s="1" t="s">
        <v>102</v>
      </c>
      <c r="G8" s="1" t="s">
        <v>103</v>
      </c>
      <c r="H8" s="1" t="s">
        <v>104</v>
      </c>
      <c r="I8" s="3" t="s">
        <v>47</v>
      </c>
      <c r="J8" s="3">
        <v>3</v>
      </c>
      <c r="K8" s="3">
        <v>50</v>
      </c>
      <c r="L8" s="3">
        <v>50</v>
      </c>
      <c r="M8" s="3">
        <v>70</v>
      </c>
      <c r="N8" s="4">
        <f>110229.9975*4+99556</f>
        <v>540475.99</v>
      </c>
      <c r="O8" s="7" t="s">
        <v>77</v>
      </c>
    </row>
    <row r="9" spans="1:15" ht="51.75" customHeight="1" x14ac:dyDescent="0.25">
      <c r="A9" s="1" t="s">
        <v>106</v>
      </c>
      <c r="B9" s="1" t="s">
        <v>100</v>
      </c>
      <c r="C9" s="1" t="s">
        <v>99</v>
      </c>
      <c r="D9" s="1" t="s">
        <v>98</v>
      </c>
      <c r="E9" s="8" t="s">
        <v>101</v>
      </c>
      <c r="F9" s="1" t="s">
        <v>102</v>
      </c>
      <c r="G9" s="1" t="s">
        <v>103</v>
      </c>
      <c r="H9" s="1" t="s">
        <v>104</v>
      </c>
      <c r="I9" s="3" t="s">
        <v>23</v>
      </c>
      <c r="J9" s="3">
        <v>2.6</v>
      </c>
      <c r="K9" s="3">
        <v>55</v>
      </c>
      <c r="L9" s="3">
        <v>41</v>
      </c>
      <c r="M9" s="3">
        <v>41</v>
      </c>
      <c r="N9" s="4">
        <f>34335*3</f>
        <v>103005</v>
      </c>
      <c r="O9" s="7" t="s">
        <v>76</v>
      </c>
    </row>
    <row r="10" spans="1:15" ht="51.75" customHeight="1" x14ac:dyDescent="0.25">
      <c r="A10" s="1" t="s">
        <v>106</v>
      </c>
      <c r="B10" s="1" t="s">
        <v>100</v>
      </c>
      <c r="C10" s="1" t="s">
        <v>99</v>
      </c>
      <c r="D10" s="1" t="s">
        <v>98</v>
      </c>
      <c r="E10" s="8" t="s">
        <v>101</v>
      </c>
      <c r="F10" s="1" t="s">
        <v>102</v>
      </c>
      <c r="G10" s="1" t="s">
        <v>103</v>
      </c>
      <c r="H10" s="1" t="s">
        <v>104</v>
      </c>
      <c r="I10" s="3" t="s">
        <v>48</v>
      </c>
      <c r="J10" s="3">
        <v>15.6</v>
      </c>
      <c r="K10" s="3">
        <v>61</v>
      </c>
      <c r="L10" s="3">
        <v>85</v>
      </c>
      <c r="M10" s="3">
        <v>17</v>
      </c>
      <c r="N10" s="4">
        <v>854800</v>
      </c>
      <c r="O10" s="7" t="s">
        <v>78</v>
      </c>
    </row>
    <row r="11" spans="1:15" ht="51.75" customHeight="1" x14ac:dyDescent="0.25">
      <c r="A11" s="1" t="s">
        <v>106</v>
      </c>
      <c r="B11" s="1" t="s">
        <v>100</v>
      </c>
      <c r="C11" s="1" t="s">
        <v>99</v>
      </c>
      <c r="D11" s="1" t="s">
        <v>98</v>
      </c>
      <c r="E11" s="8" t="s">
        <v>101</v>
      </c>
      <c r="F11" s="1" t="s">
        <v>102</v>
      </c>
      <c r="G11" s="1" t="s">
        <v>103</v>
      </c>
      <c r="H11" s="1" t="s">
        <v>104</v>
      </c>
      <c r="I11" s="3" t="s">
        <v>49</v>
      </c>
      <c r="J11" s="3">
        <v>13.2</v>
      </c>
      <c r="K11" s="3">
        <v>70</v>
      </c>
      <c r="L11" s="3">
        <v>50</v>
      </c>
      <c r="M11" s="3">
        <v>66</v>
      </c>
      <c r="N11" s="4">
        <f>226566+471648+143736+83168+51220</f>
        <v>976338</v>
      </c>
      <c r="O11" s="7" t="s">
        <v>79</v>
      </c>
    </row>
    <row r="12" spans="1:15" ht="51.75" customHeight="1" x14ac:dyDescent="0.25">
      <c r="A12" s="1" t="s">
        <v>106</v>
      </c>
      <c r="B12" s="1" t="s">
        <v>100</v>
      </c>
      <c r="C12" s="1" t="s">
        <v>99</v>
      </c>
      <c r="D12" s="1" t="s">
        <v>98</v>
      </c>
      <c r="E12" s="8" t="s">
        <v>101</v>
      </c>
      <c r="F12" s="1" t="s">
        <v>102</v>
      </c>
      <c r="G12" s="1" t="s">
        <v>103</v>
      </c>
      <c r="H12" s="1" t="s">
        <v>104</v>
      </c>
      <c r="I12" s="3" t="s">
        <v>50</v>
      </c>
      <c r="J12" s="10">
        <v>17.100000000000001</v>
      </c>
      <c r="K12" s="10">
        <v>154</v>
      </c>
      <c r="L12" s="10">
        <v>62</v>
      </c>
      <c r="M12" s="10">
        <v>10</v>
      </c>
      <c r="N12" s="4">
        <v>202000</v>
      </c>
      <c r="O12" s="7" t="s">
        <v>80</v>
      </c>
    </row>
    <row r="13" spans="1:15" ht="51.75" customHeight="1" x14ac:dyDescent="0.25">
      <c r="A13" s="1" t="s">
        <v>106</v>
      </c>
      <c r="B13" s="1" t="s">
        <v>100</v>
      </c>
      <c r="C13" s="1" t="s">
        <v>99</v>
      </c>
      <c r="D13" s="1" t="s">
        <v>98</v>
      </c>
      <c r="E13" s="8" t="s">
        <v>101</v>
      </c>
      <c r="F13" s="1" t="s">
        <v>102</v>
      </c>
      <c r="G13" s="1" t="s">
        <v>103</v>
      </c>
      <c r="H13" s="1" t="s">
        <v>104</v>
      </c>
      <c r="I13" s="3" t="s">
        <v>43</v>
      </c>
      <c r="J13" s="3">
        <v>5</v>
      </c>
      <c r="K13" s="3">
        <v>60</v>
      </c>
      <c r="L13" s="3">
        <v>60</v>
      </c>
      <c r="M13" s="3">
        <v>105</v>
      </c>
      <c r="N13" s="4">
        <f>1807703/5</f>
        <v>361540.6</v>
      </c>
      <c r="O13" s="7" t="s">
        <v>81</v>
      </c>
    </row>
    <row r="14" spans="1:15" ht="51.75" customHeight="1" x14ac:dyDescent="0.25">
      <c r="A14" s="1" t="s">
        <v>106</v>
      </c>
      <c r="B14" s="1" t="s">
        <v>100</v>
      </c>
      <c r="C14" s="1" t="s">
        <v>99</v>
      </c>
      <c r="D14" s="1" t="s">
        <v>98</v>
      </c>
      <c r="E14" s="8" t="s">
        <v>101</v>
      </c>
      <c r="F14" s="1" t="s">
        <v>102</v>
      </c>
      <c r="G14" s="1" t="s">
        <v>103</v>
      </c>
      <c r="H14" s="1" t="s">
        <v>104</v>
      </c>
      <c r="I14" s="3" t="s">
        <v>51</v>
      </c>
      <c r="J14" s="3">
        <v>5</v>
      </c>
      <c r="K14" s="3">
        <v>40</v>
      </c>
      <c r="L14" s="3">
        <v>64</v>
      </c>
      <c r="M14" s="3">
        <v>70</v>
      </c>
      <c r="N14" s="4">
        <v>361541</v>
      </c>
      <c r="O14" s="7" t="s">
        <v>81</v>
      </c>
    </row>
    <row r="15" spans="1:15" ht="51.75" customHeight="1" x14ac:dyDescent="0.25">
      <c r="A15" s="1" t="s">
        <v>106</v>
      </c>
      <c r="B15" s="1" t="s">
        <v>100</v>
      </c>
      <c r="C15" s="1" t="s">
        <v>99</v>
      </c>
      <c r="D15" s="1" t="s">
        <v>98</v>
      </c>
      <c r="E15" s="8" t="s">
        <v>101</v>
      </c>
      <c r="F15" s="1" t="s">
        <v>102</v>
      </c>
      <c r="G15" s="1" t="s">
        <v>103</v>
      </c>
      <c r="H15" s="1" t="s">
        <v>104</v>
      </c>
      <c r="I15" s="3" t="s">
        <v>52</v>
      </c>
      <c r="J15" s="3">
        <v>5</v>
      </c>
      <c r="K15" s="3">
        <v>63</v>
      </c>
      <c r="L15" s="3">
        <v>63</v>
      </c>
      <c r="M15" s="3">
        <v>63</v>
      </c>
      <c r="N15" s="4">
        <v>361541</v>
      </c>
      <c r="O15" s="7" t="s">
        <v>81</v>
      </c>
    </row>
    <row r="16" spans="1:15" ht="51.75" customHeight="1" x14ac:dyDescent="0.25">
      <c r="A16" s="1" t="s">
        <v>106</v>
      </c>
      <c r="B16" s="1" t="s">
        <v>100</v>
      </c>
      <c r="C16" s="1" t="s">
        <v>99</v>
      </c>
      <c r="D16" s="1" t="s">
        <v>98</v>
      </c>
      <c r="E16" s="8" t="s">
        <v>101</v>
      </c>
      <c r="F16" s="1" t="s">
        <v>102</v>
      </c>
      <c r="G16" s="1" t="s">
        <v>103</v>
      </c>
      <c r="H16" s="1" t="s">
        <v>104</v>
      </c>
      <c r="I16" s="3" t="s">
        <v>44</v>
      </c>
      <c r="J16" s="3">
        <v>5</v>
      </c>
      <c r="K16" s="3">
        <v>66</v>
      </c>
      <c r="L16" s="3">
        <v>66</v>
      </c>
      <c r="M16" s="3">
        <v>105</v>
      </c>
      <c r="N16" s="4">
        <v>361541</v>
      </c>
      <c r="O16" s="7" t="s">
        <v>81</v>
      </c>
    </row>
    <row r="17" spans="1:15" ht="51.75" customHeight="1" x14ac:dyDescent="0.25">
      <c r="A17" s="1" t="s">
        <v>106</v>
      </c>
      <c r="B17" s="1" t="s">
        <v>100</v>
      </c>
      <c r="C17" s="1" t="s">
        <v>99</v>
      </c>
      <c r="D17" s="1" t="s">
        <v>98</v>
      </c>
      <c r="E17" s="8" t="s">
        <v>101</v>
      </c>
      <c r="F17" s="1" t="s">
        <v>102</v>
      </c>
      <c r="G17" s="1" t="s">
        <v>103</v>
      </c>
      <c r="H17" s="1" t="s">
        <v>104</v>
      </c>
      <c r="I17" s="3" t="s">
        <v>15</v>
      </c>
      <c r="J17" s="3">
        <v>12.1</v>
      </c>
      <c r="K17" s="3">
        <v>78</v>
      </c>
      <c r="L17" s="3">
        <v>100</v>
      </c>
      <c r="M17" s="3">
        <v>90</v>
      </c>
      <c r="N17" s="4">
        <v>361539</v>
      </c>
      <c r="O17" s="7" t="s">
        <v>81</v>
      </c>
    </row>
    <row r="18" spans="1:15" ht="51.75" customHeight="1" x14ac:dyDescent="0.25">
      <c r="A18" s="1" t="s">
        <v>106</v>
      </c>
      <c r="B18" s="1" t="s">
        <v>100</v>
      </c>
      <c r="C18" s="1" t="s">
        <v>99</v>
      </c>
      <c r="D18" s="1" t="s">
        <v>98</v>
      </c>
      <c r="E18" s="8" t="s">
        <v>101</v>
      </c>
      <c r="F18" s="1" t="s">
        <v>102</v>
      </c>
      <c r="G18" s="1" t="s">
        <v>103</v>
      </c>
      <c r="H18" s="1" t="s">
        <v>104</v>
      </c>
      <c r="I18" s="3" t="s">
        <v>19</v>
      </c>
      <c r="J18" s="3">
        <v>32.700000000000003</v>
      </c>
      <c r="K18" s="3">
        <v>120</v>
      </c>
      <c r="L18" s="3">
        <v>115</v>
      </c>
      <c r="M18" s="3">
        <v>39</v>
      </c>
      <c r="N18" s="4">
        <v>2313601</v>
      </c>
      <c r="O18" s="7" t="s">
        <v>82</v>
      </c>
    </row>
    <row r="19" spans="1:15" ht="51.75" customHeight="1" x14ac:dyDescent="0.25">
      <c r="A19" s="1" t="s">
        <v>106</v>
      </c>
      <c r="B19" s="1" t="s">
        <v>100</v>
      </c>
      <c r="C19" s="1" t="s">
        <v>99</v>
      </c>
      <c r="D19" s="1" t="s">
        <v>98</v>
      </c>
      <c r="E19" s="8" t="s">
        <v>101</v>
      </c>
      <c r="F19" s="1" t="s">
        <v>102</v>
      </c>
      <c r="G19" s="1" t="s">
        <v>103</v>
      </c>
      <c r="H19" s="1" t="s">
        <v>104</v>
      </c>
      <c r="I19" s="3" t="s">
        <v>20</v>
      </c>
      <c r="J19" s="3">
        <v>8.5</v>
      </c>
      <c r="K19" s="3">
        <v>35</v>
      </c>
      <c r="L19" s="3">
        <v>35</v>
      </c>
      <c r="M19" s="3">
        <v>48</v>
      </c>
      <c r="N19" s="4">
        <f>195246+404376</f>
        <v>599622</v>
      </c>
      <c r="O19" s="7" t="s">
        <v>83</v>
      </c>
    </row>
    <row r="20" spans="1:15" ht="51.75" customHeight="1" x14ac:dyDescent="0.25">
      <c r="A20" s="1" t="s">
        <v>106</v>
      </c>
      <c r="B20" s="1" t="s">
        <v>100</v>
      </c>
      <c r="C20" s="1" t="s">
        <v>99</v>
      </c>
      <c r="D20" s="1" t="s">
        <v>98</v>
      </c>
      <c r="E20" s="8" t="s">
        <v>101</v>
      </c>
      <c r="F20" s="1" t="s">
        <v>102</v>
      </c>
      <c r="G20" s="1" t="s">
        <v>103</v>
      </c>
      <c r="H20" s="1" t="s">
        <v>104</v>
      </c>
      <c r="I20" s="3" t="s">
        <v>53</v>
      </c>
      <c r="J20" s="3">
        <v>3.3</v>
      </c>
      <c r="K20" s="3">
        <v>47</v>
      </c>
      <c r="L20" s="3">
        <v>74</v>
      </c>
      <c r="M20" s="3">
        <v>38</v>
      </c>
      <c r="N20" s="4">
        <f>59665*5</f>
        <v>298325</v>
      </c>
      <c r="O20" s="7" t="s">
        <v>84</v>
      </c>
    </row>
    <row r="21" spans="1:15" ht="51.75" customHeight="1" x14ac:dyDescent="0.25">
      <c r="A21" s="1" t="s">
        <v>106</v>
      </c>
      <c r="B21" s="1" t="s">
        <v>100</v>
      </c>
      <c r="C21" s="1" t="s">
        <v>99</v>
      </c>
      <c r="D21" s="1" t="s">
        <v>98</v>
      </c>
      <c r="E21" s="8" t="s">
        <v>101</v>
      </c>
      <c r="F21" s="1" t="s">
        <v>102</v>
      </c>
      <c r="G21" s="1" t="s">
        <v>103</v>
      </c>
      <c r="H21" s="1" t="s">
        <v>104</v>
      </c>
      <c r="I21" s="3" t="s">
        <v>25</v>
      </c>
      <c r="J21" s="10">
        <v>3</v>
      </c>
      <c r="K21" s="10">
        <v>97</v>
      </c>
      <c r="L21" s="10">
        <v>29</v>
      </c>
      <c r="M21" s="10">
        <v>47</v>
      </c>
      <c r="N21" s="4">
        <f>18704*6</f>
        <v>112224</v>
      </c>
      <c r="O21" s="7" t="s">
        <v>85</v>
      </c>
    </row>
    <row r="22" spans="1:15" ht="51.75" customHeight="1" x14ac:dyDescent="0.25">
      <c r="A22" s="1" t="s">
        <v>106</v>
      </c>
      <c r="B22" s="1" t="s">
        <v>100</v>
      </c>
      <c r="C22" s="1" t="s">
        <v>99</v>
      </c>
      <c r="D22" s="1" t="s">
        <v>98</v>
      </c>
      <c r="E22" s="8" t="s">
        <v>101</v>
      </c>
      <c r="F22" s="1" t="s">
        <v>102</v>
      </c>
      <c r="G22" s="1" t="s">
        <v>103</v>
      </c>
      <c r="H22" s="1" t="s">
        <v>104</v>
      </c>
      <c r="I22" s="3" t="s">
        <v>26</v>
      </c>
      <c r="J22" s="10">
        <v>3</v>
      </c>
      <c r="K22" s="10">
        <v>97</v>
      </c>
      <c r="L22" s="10">
        <v>29</v>
      </c>
      <c r="M22" s="10">
        <v>47</v>
      </c>
      <c r="N22" s="4">
        <f>18704*6</f>
        <v>112224</v>
      </c>
      <c r="O22" s="7" t="s">
        <v>85</v>
      </c>
    </row>
    <row r="23" spans="1:15" ht="51.75" customHeight="1" x14ac:dyDescent="0.25">
      <c r="A23" s="1" t="s">
        <v>106</v>
      </c>
      <c r="B23" s="1" t="s">
        <v>100</v>
      </c>
      <c r="C23" s="1" t="s">
        <v>99</v>
      </c>
      <c r="D23" s="1" t="s">
        <v>98</v>
      </c>
      <c r="E23" s="8" t="s">
        <v>101</v>
      </c>
      <c r="F23" s="1" t="s">
        <v>102</v>
      </c>
      <c r="G23" s="1" t="s">
        <v>103</v>
      </c>
      <c r="H23" s="1" t="s">
        <v>104</v>
      </c>
      <c r="I23" s="3" t="s">
        <v>27</v>
      </c>
      <c r="J23" s="10">
        <v>14.5</v>
      </c>
      <c r="K23" s="10">
        <v>93</v>
      </c>
      <c r="L23" s="10">
        <v>42</v>
      </c>
      <c r="M23" s="10">
        <v>42</v>
      </c>
      <c r="N23" s="4">
        <f>342742/2</f>
        <v>171371</v>
      </c>
      <c r="O23" s="7" t="s">
        <v>86</v>
      </c>
    </row>
    <row r="24" spans="1:15" ht="51.75" customHeight="1" x14ac:dyDescent="0.25">
      <c r="A24" s="1" t="s">
        <v>106</v>
      </c>
      <c r="B24" s="1" t="s">
        <v>100</v>
      </c>
      <c r="C24" s="1" t="s">
        <v>99</v>
      </c>
      <c r="D24" s="1" t="s">
        <v>98</v>
      </c>
      <c r="E24" s="8" t="s">
        <v>101</v>
      </c>
      <c r="F24" s="1" t="s">
        <v>102</v>
      </c>
      <c r="G24" s="1" t="s">
        <v>103</v>
      </c>
      <c r="H24" s="1" t="s">
        <v>104</v>
      </c>
      <c r="I24" s="3" t="s">
        <v>28</v>
      </c>
      <c r="J24" s="10">
        <v>14.5</v>
      </c>
      <c r="K24" s="10">
        <v>93</v>
      </c>
      <c r="L24" s="10">
        <v>42</v>
      </c>
      <c r="M24" s="10">
        <v>42</v>
      </c>
      <c r="N24" s="4">
        <v>171371</v>
      </c>
      <c r="O24" s="7" t="s">
        <v>86</v>
      </c>
    </row>
    <row r="25" spans="1:15" ht="51.75" customHeight="1" x14ac:dyDescent="0.25">
      <c r="A25" s="1" t="s">
        <v>106</v>
      </c>
      <c r="B25" s="1" t="s">
        <v>100</v>
      </c>
      <c r="C25" s="1" t="s">
        <v>99</v>
      </c>
      <c r="D25" s="1" t="s">
        <v>98</v>
      </c>
      <c r="E25" s="8" t="s">
        <v>101</v>
      </c>
      <c r="F25" s="1" t="s">
        <v>102</v>
      </c>
      <c r="G25" s="1" t="s">
        <v>103</v>
      </c>
      <c r="H25" s="1" t="s">
        <v>104</v>
      </c>
      <c r="I25" s="3" t="s">
        <v>29</v>
      </c>
      <c r="J25" s="10">
        <v>14.5</v>
      </c>
      <c r="K25" s="10">
        <v>93</v>
      </c>
      <c r="L25" s="10">
        <v>42</v>
      </c>
      <c r="M25" s="10">
        <v>42</v>
      </c>
      <c r="N25" s="4">
        <v>171371</v>
      </c>
      <c r="O25" s="7" t="s">
        <v>86</v>
      </c>
    </row>
    <row r="26" spans="1:15" ht="51.75" customHeight="1" x14ac:dyDescent="0.25">
      <c r="A26" s="1" t="s">
        <v>106</v>
      </c>
      <c r="B26" s="1" t="s">
        <v>100</v>
      </c>
      <c r="C26" s="1" t="s">
        <v>99</v>
      </c>
      <c r="D26" s="1" t="s">
        <v>98</v>
      </c>
      <c r="E26" s="8" t="s">
        <v>101</v>
      </c>
      <c r="F26" s="1" t="s">
        <v>102</v>
      </c>
      <c r="G26" s="1" t="s">
        <v>103</v>
      </c>
      <c r="H26" s="1" t="s">
        <v>104</v>
      </c>
      <c r="I26" s="3" t="s">
        <v>30</v>
      </c>
      <c r="J26" s="10">
        <v>14.5</v>
      </c>
      <c r="K26" s="10">
        <v>93</v>
      </c>
      <c r="L26" s="10">
        <v>42</v>
      </c>
      <c r="M26" s="10">
        <v>42</v>
      </c>
      <c r="N26" s="4">
        <v>171371</v>
      </c>
      <c r="O26" s="7" t="s">
        <v>86</v>
      </c>
    </row>
    <row r="27" spans="1:15" ht="51.75" customHeight="1" x14ac:dyDescent="0.25">
      <c r="A27" s="1" t="s">
        <v>106</v>
      </c>
      <c r="B27" s="1" t="s">
        <v>100</v>
      </c>
      <c r="C27" s="1" t="s">
        <v>99</v>
      </c>
      <c r="D27" s="1" t="s">
        <v>98</v>
      </c>
      <c r="E27" s="8" t="s">
        <v>101</v>
      </c>
      <c r="F27" s="1" t="s">
        <v>102</v>
      </c>
      <c r="G27" s="1" t="s">
        <v>103</v>
      </c>
      <c r="H27" s="1" t="s">
        <v>104</v>
      </c>
      <c r="I27" s="3" t="s">
        <v>31</v>
      </c>
      <c r="J27" s="10">
        <v>14.5</v>
      </c>
      <c r="K27" s="10">
        <v>93</v>
      </c>
      <c r="L27" s="10">
        <v>42</v>
      </c>
      <c r="M27" s="10">
        <v>42</v>
      </c>
      <c r="N27" s="4">
        <v>171371</v>
      </c>
      <c r="O27" s="7" t="s">
        <v>86</v>
      </c>
    </row>
    <row r="28" spans="1:15" ht="51.75" customHeight="1" x14ac:dyDescent="0.25">
      <c r="A28" s="1" t="s">
        <v>106</v>
      </c>
      <c r="B28" s="1" t="s">
        <v>100</v>
      </c>
      <c r="C28" s="1" t="s">
        <v>99</v>
      </c>
      <c r="D28" s="1" t="s">
        <v>98</v>
      </c>
      <c r="E28" s="8" t="s">
        <v>101</v>
      </c>
      <c r="F28" s="1" t="s">
        <v>102</v>
      </c>
      <c r="G28" s="1" t="s">
        <v>103</v>
      </c>
      <c r="H28" s="1" t="s">
        <v>104</v>
      </c>
      <c r="I28" s="3" t="s">
        <v>32</v>
      </c>
      <c r="J28" s="10">
        <v>14.5</v>
      </c>
      <c r="K28" s="10">
        <v>93</v>
      </c>
      <c r="L28" s="10">
        <v>42</v>
      </c>
      <c r="M28" s="10">
        <v>42</v>
      </c>
      <c r="N28" s="4">
        <v>171371</v>
      </c>
      <c r="O28" s="7" t="s">
        <v>86</v>
      </c>
    </row>
    <row r="29" spans="1:15" ht="51.75" customHeight="1" x14ac:dyDescent="0.25">
      <c r="A29" s="1" t="s">
        <v>106</v>
      </c>
      <c r="B29" s="1" t="s">
        <v>100</v>
      </c>
      <c r="C29" s="1" t="s">
        <v>99</v>
      </c>
      <c r="D29" s="1" t="s">
        <v>98</v>
      </c>
      <c r="E29" s="8" t="s">
        <v>101</v>
      </c>
      <c r="F29" s="1" t="s">
        <v>102</v>
      </c>
      <c r="G29" s="1" t="s">
        <v>103</v>
      </c>
      <c r="H29" s="1" t="s">
        <v>104</v>
      </c>
      <c r="I29" s="3" t="s">
        <v>33</v>
      </c>
      <c r="J29" s="10">
        <v>14.5</v>
      </c>
      <c r="K29" s="10">
        <v>93</v>
      </c>
      <c r="L29" s="10">
        <v>42</v>
      </c>
      <c r="M29" s="10">
        <v>42</v>
      </c>
      <c r="N29" s="4">
        <v>171371</v>
      </c>
      <c r="O29" s="7" t="s">
        <v>86</v>
      </c>
    </row>
    <row r="30" spans="1:15" ht="51.75" customHeight="1" x14ac:dyDescent="0.25">
      <c r="A30" s="1" t="s">
        <v>106</v>
      </c>
      <c r="B30" s="1" t="s">
        <v>100</v>
      </c>
      <c r="C30" s="1" t="s">
        <v>99</v>
      </c>
      <c r="D30" s="1" t="s">
        <v>98</v>
      </c>
      <c r="E30" s="8" t="s">
        <v>101</v>
      </c>
      <c r="F30" s="1" t="s">
        <v>102</v>
      </c>
      <c r="G30" s="1" t="s">
        <v>103</v>
      </c>
      <c r="H30" s="1" t="s">
        <v>104</v>
      </c>
      <c r="I30" s="3" t="s">
        <v>34</v>
      </c>
      <c r="J30" s="10">
        <v>14.5</v>
      </c>
      <c r="K30" s="10">
        <v>93</v>
      </c>
      <c r="L30" s="10">
        <v>42</v>
      </c>
      <c r="M30" s="10">
        <v>42</v>
      </c>
      <c r="N30" s="4">
        <v>171371</v>
      </c>
      <c r="O30" s="7" t="s">
        <v>86</v>
      </c>
    </row>
    <row r="31" spans="1:15" ht="51.75" customHeight="1" x14ac:dyDescent="0.25">
      <c r="A31" s="1" t="s">
        <v>106</v>
      </c>
      <c r="B31" s="1" t="s">
        <v>100</v>
      </c>
      <c r="C31" s="1" t="s">
        <v>99</v>
      </c>
      <c r="D31" s="1" t="s">
        <v>98</v>
      </c>
      <c r="E31" s="8" t="s">
        <v>101</v>
      </c>
      <c r="F31" s="1" t="s">
        <v>102</v>
      </c>
      <c r="G31" s="1" t="s">
        <v>103</v>
      </c>
      <c r="H31" s="1" t="s">
        <v>104</v>
      </c>
      <c r="I31" s="3" t="s">
        <v>35</v>
      </c>
      <c r="J31" s="10">
        <v>14.5</v>
      </c>
      <c r="K31" s="10">
        <v>93</v>
      </c>
      <c r="L31" s="10">
        <v>42</v>
      </c>
      <c r="M31" s="10">
        <v>42</v>
      </c>
      <c r="N31" s="4">
        <v>171371</v>
      </c>
      <c r="O31" s="7" t="s">
        <v>86</v>
      </c>
    </row>
    <row r="32" spans="1:15" ht="51.75" customHeight="1" x14ac:dyDescent="0.25">
      <c r="A32" s="1" t="s">
        <v>106</v>
      </c>
      <c r="B32" s="1" t="s">
        <v>100</v>
      </c>
      <c r="C32" s="1" t="s">
        <v>99</v>
      </c>
      <c r="D32" s="1" t="s">
        <v>98</v>
      </c>
      <c r="E32" s="8" t="s">
        <v>101</v>
      </c>
      <c r="F32" s="1" t="s">
        <v>102</v>
      </c>
      <c r="G32" s="1" t="s">
        <v>103</v>
      </c>
      <c r="H32" s="1" t="s">
        <v>104</v>
      </c>
      <c r="I32" s="3" t="s">
        <v>36</v>
      </c>
      <c r="J32" s="3">
        <v>17</v>
      </c>
      <c r="K32" s="3">
        <v>74</v>
      </c>
      <c r="L32" s="3">
        <v>66</v>
      </c>
      <c r="M32" s="3">
        <v>52</v>
      </c>
      <c r="N32" s="4">
        <f>358145+42561+14915+51120+64712+110408</f>
        <v>641861</v>
      </c>
      <c r="O32" s="7" t="s">
        <v>87</v>
      </c>
    </row>
    <row r="33" spans="1:15" ht="51.75" customHeight="1" x14ac:dyDescent="0.25">
      <c r="A33" s="1" t="s">
        <v>106</v>
      </c>
      <c r="B33" s="1" t="s">
        <v>100</v>
      </c>
      <c r="C33" s="1" t="s">
        <v>99</v>
      </c>
      <c r="D33" s="1" t="s">
        <v>98</v>
      </c>
      <c r="E33" s="8" t="s">
        <v>101</v>
      </c>
      <c r="F33" s="1" t="s">
        <v>102</v>
      </c>
      <c r="G33" s="1" t="s">
        <v>103</v>
      </c>
      <c r="H33" s="1" t="s">
        <v>104</v>
      </c>
      <c r="I33" s="3" t="s">
        <v>37</v>
      </c>
      <c r="J33" s="3">
        <v>17.600000000000001</v>
      </c>
      <c r="K33" s="3">
        <v>51</v>
      </c>
      <c r="L33" s="3">
        <v>69</v>
      </c>
      <c r="M33" s="3">
        <v>55</v>
      </c>
      <c r="N33" s="4">
        <f>118085+982530+187300</f>
        <v>1287915</v>
      </c>
      <c r="O33" s="7" t="s">
        <v>88</v>
      </c>
    </row>
    <row r="34" spans="1:15" ht="51.75" customHeight="1" x14ac:dyDescent="0.25">
      <c r="A34" s="1" t="s">
        <v>106</v>
      </c>
      <c r="B34" s="1" t="s">
        <v>100</v>
      </c>
      <c r="C34" s="1" t="s">
        <v>99</v>
      </c>
      <c r="D34" s="1" t="s">
        <v>98</v>
      </c>
      <c r="E34" s="8" t="s">
        <v>101</v>
      </c>
      <c r="F34" s="1" t="s">
        <v>102</v>
      </c>
      <c r="G34" s="1" t="s">
        <v>103</v>
      </c>
      <c r="H34" s="1" t="s">
        <v>104</v>
      </c>
      <c r="I34" s="3" t="s">
        <v>38</v>
      </c>
      <c r="J34" s="10">
        <v>22.4</v>
      </c>
      <c r="K34" s="10">
        <v>51</v>
      </c>
      <c r="L34" s="10">
        <v>49</v>
      </c>
      <c r="M34" s="10">
        <v>69</v>
      </c>
      <c r="N34" s="4">
        <f>89033*4</f>
        <v>356132</v>
      </c>
      <c r="O34" s="7" t="s">
        <v>89</v>
      </c>
    </row>
    <row r="35" spans="1:15" ht="51.75" customHeight="1" x14ac:dyDescent="0.25">
      <c r="A35" s="1" t="s">
        <v>106</v>
      </c>
      <c r="B35" s="1" t="s">
        <v>100</v>
      </c>
      <c r="C35" s="1" t="s">
        <v>99</v>
      </c>
      <c r="D35" s="1" t="s">
        <v>98</v>
      </c>
      <c r="E35" s="8" t="s">
        <v>101</v>
      </c>
      <c r="F35" s="1" t="s">
        <v>102</v>
      </c>
      <c r="G35" s="1" t="s">
        <v>103</v>
      </c>
      <c r="H35" s="1" t="s">
        <v>104</v>
      </c>
      <c r="I35" s="3" t="s">
        <v>39</v>
      </c>
      <c r="J35" s="10">
        <v>22.4</v>
      </c>
      <c r="K35" s="10">
        <v>51</v>
      </c>
      <c r="L35" s="10">
        <v>49</v>
      </c>
      <c r="M35" s="10">
        <v>69</v>
      </c>
      <c r="N35" s="4">
        <f>89033*4</f>
        <v>356132</v>
      </c>
      <c r="O35" s="7" t="s">
        <v>89</v>
      </c>
    </row>
    <row r="36" spans="1:15" ht="51.75" customHeight="1" x14ac:dyDescent="0.25">
      <c r="A36" s="1" t="s">
        <v>106</v>
      </c>
      <c r="B36" s="1" t="s">
        <v>100</v>
      </c>
      <c r="C36" s="1" t="s">
        <v>99</v>
      </c>
      <c r="D36" s="1" t="s">
        <v>98</v>
      </c>
      <c r="E36" s="8" t="s">
        <v>101</v>
      </c>
      <c r="F36" s="1" t="s">
        <v>102</v>
      </c>
      <c r="G36" s="1" t="s">
        <v>103</v>
      </c>
      <c r="H36" s="1" t="s">
        <v>104</v>
      </c>
      <c r="I36" s="3" t="s">
        <v>40</v>
      </c>
      <c r="J36" s="10">
        <v>12.6</v>
      </c>
      <c r="K36" s="10">
        <v>108</v>
      </c>
      <c r="L36" s="10">
        <v>63</v>
      </c>
      <c r="M36" s="10">
        <v>31</v>
      </c>
      <c r="N36" s="4">
        <v>171371</v>
      </c>
      <c r="O36" s="7" t="s">
        <v>90</v>
      </c>
    </row>
    <row r="37" spans="1:15" ht="51.75" customHeight="1" x14ac:dyDescent="0.25">
      <c r="A37" s="1" t="s">
        <v>106</v>
      </c>
      <c r="B37" s="1" t="s">
        <v>100</v>
      </c>
      <c r="C37" s="1" t="s">
        <v>99</v>
      </c>
      <c r="D37" s="1" t="s">
        <v>98</v>
      </c>
      <c r="E37" s="8" t="s">
        <v>101</v>
      </c>
      <c r="F37" s="1" t="s">
        <v>102</v>
      </c>
      <c r="G37" s="1" t="s">
        <v>103</v>
      </c>
      <c r="H37" s="1" t="s">
        <v>104</v>
      </c>
      <c r="I37" s="3" t="s">
        <v>41</v>
      </c>
      <c r="J37" s="10">
        <v>12.6</v>
      </c>
      <c r="K37" s="10">
        <v>108</v>
      </c>
      <c r="L37" s="10">
        <v>63</v>
      </c>
      <c r="M37" s="10">
        <v>31</v>
      </c>
      <c r="N37" s="4">
        <v>171371</v>
      </c>
      <c r="O37" s="7" t="s">
        <v>90</v>
      </c>
    </row>
    <row r="38" spans="1:15" ht="51.75" customHeight="1" x14ac:dyDescent="0.25">
      <c r="A38" s="1" t="s">
        <v>106</v>
      </c>
      <c r="B38" s="1" t="s">
        <v>100</v>
      </c>
      <c r="C38" s="1" t="s">
        <v>99</v>
      </c>
      <c r="D38" s="1" t="s">
        <v>98</v>
      </c>
      <c r="E38" s="8" t="s">
        <v>101</v>
      </c>
      <c r="F38" s="1" t="s">
        <v>102</v>
      </c>
      <c r="G38" s="1" t="s">
        <v>103</v>
      </c>
      <c r="H38" s="1" t="s">
        <v>104</v>
      </c>
      <c r="I38" s="3" t="s">
        <v>42</v>
      </c>
      <c r="J38" s="10">
        <v>12.6</v>
      </c>
      <c r="K38" s="10">
        <v>108</v>
      </c>
      <c r="L38" s="10">
        <v>63</v>
      </c>
      <c r="M38" s="10">
        <v>31</v>
      </c>
      <c r="N38" s="4">
        <v>171371</v>
      </c>
      <c r="O38" s="7" t="s">
        <v>90</v>
      </c>
    </row>
    <row r="39" spans="1:15" ht="51.75" customHeight="1" x14ac:dyDescent="0.25">
      <c r="A39" s="1" t="s">
        <v>106</v>
      </c>
      <c r="B39" s="1" t="s">
        <v>100</v>
      </c>
      <c r="C39" s="1" t="s">
        <v>99</v>
      </c>
      <c r="D39" s="1" t="s">
        <v>98</v>
      </c>
      <c r="E39" s="8" t="s">
        <v>101</v>
      </c>
      <c r="F39" s="1" t="s">
        <v>102</v>
      </c>
      <c r="G39" s="1" t="s">
        <v>103</v>
      </c>
      <c r="H39" s="1" t="s">
        <v>104</v>
      </c>
      <c r="I39" s="3" t="s">
        <v>54</v>
      </c>
      <c r="J39" s="10">
        <v>12.6</v>
      </c>
      <c r="K39" s="10">
        <v>108</v>
      </c>
      <c r="L39" s="10">
        <v>63</v>
      </c>
      <c r="M39" s="10">
        <v>31</v>
      </c>
      <c r="N39" s="4">
        <v>171371</v>
      </c>
      <c r="O39" s="7" t="s">
        <v>90</v>
      </c>
    </row>
    <row r="40" spans="1:15" ht="51.75" customHeight="1" x14ac:dyDescent="0.25">
      <c r="A40" s="1" t="s">
        <v>106</v>
      </c>
      <c r="B40" s="1" t="s">
        <v>100</v>
      </c>
      <c r="C40" s="1" t="s">
        <v>99</v>
      </c>
      <c r="D40" s="1" t="s">
        <v>98</v>
      </c>
      <c r="E40" s="8" t="s">
        <v>101</v>
      </c>
      <c r="F40" s="1" t="s">
        <v>102</v>
      </c>
      <c r="G40" s="1" t="s">
        <v>103</v>
      </c>
      <c r="H40" s="1" t="s">
        <v>104</v>
      </c>
      <c r="I40" s="3" t="s">
        <v>58</v>
      </c>
      <c r="J40" s="10">
        <v>12.6</v>
      </c>
      <c r="K40" s="10">
        <v>108</v>
      </c>
      <c r="L40" s="10">
        <v>63</v>
      </c>
      <c r="M40" s="10">
        <v>31</v>
      </c>
      <c r="N40" s="4">
        <v>171371</v>
      </c>
      <c r="O40" s="7" t="s">
        <v>90</v>
      </c>
    </row>
    <row r="41" spans="1:15" ht="51.75" customHeight="1" x14ac:dyDescent="0.25">
      <c r="A41" s="1" t="s">
        <v>106</v>
      </c>
      <c r="B41" s="1" t="s">
        <v>100</v>
      </c>
      <c r="C41" s="1" t="s">
        <v>99</v>
      </c>
      <c r="D41" s="1" t="s">
        <v>98</v>
      </c>
      <c r="E41" s="8" t="s">
        <v>101</v>
      </c>
      <c r="F41" s="1" t="s">
        <v>102</v>
      </c>
      <c r="G41" s="1" t="s">
        <v>103</v>
      </c>
      <c r="H41" s="1" t="s">
        <v>104</v>
      </c>
      <c r="I41" s="3" t="s">
        <v>16</v>
      </c>
      <c r="J41" s="10">
        <v>12.6</v>
      </c>
      <c r="K41" s="10">
        <v>108</v>
      </c>
      <c r="L41" s="10">
        <v>63</v>
      </c>
      <c r="M41" s="10">
        <v>31</v>
      </c>
      <c r="N41" s="4">
        <v>171371</v>
      </c>
      <c r="O41" s="7" t="s">
        <v>90</v>
      </c>
    </row>
    <row r="42" spans="1:15" ht="51.75" customHeight="1" x14ac:dyDescent="0.25">
      <c r="A42" s="1" t="s">
        <v>106</v>
      </c>
      <c r="B42" s="1" t="s">
        <v>100</v>
      </c>
      <c r="C42" s="1" t="s">
        <v>99</v>
      </c>
      <c r="D42" s="1" t="s">
        <v>98</v>
      </c>
      <c r="E42" s="8" t="s">
        <v>101</v>
      </c>
      <c r="F42" s="1" t="s">
        <v>102</v>
      </c>
      <c r="G42" s="1" t="s">
        <v>103</v>
      </c>
      <c r="H42" s="1" t="s">
        <v>104</v>
      </c>
      <c r="I42" s="3" t="s">
        <v>18</v>
      </c>
      <c r="J42" s="10">
        <v>12.6</v>
      </c>
      <c r="K42" s="10">
        <v>108</v>
      </c>
      <c r="L42" s="10">
        <v>63</v>
      </c>
      <c r="M42" s="10">
        <v>31</v>
      </c>
      <c r="N42" s="4">
        <v>171371</v>
      </c>
      <c r="O42" s="7" t="s">
        <v>90</v>
      </c>
    </row>
    <row r="43" spans="1:15" ht="51.75" customHeight="1" x14ac:dyDescent="0.25">
      <c r="A43" s="1" t="s">
        <v>106</v>
      </c>
      <c r="B43" s="1" t="s">
        <v>100</v>
      </c>
      <c r="C43" s="1" t="s">
        <v>99</v>
      </c>
      <c r="D43" s="1" t="s">
        <v>98</v>
      </c>
      <c r="E43" s="8" t="s">
        <v>101</v>
      </c>
      <c r="F43" s="1" t="s">
        <v>102</v>
      </c>
      <c r="G43" s="1" t="s">
        <v>103</v>
      </c>
      <c r="H43" s="1" t="s">
        <v>104</v>
      </c>
      <c r="I43" s="3" t="s">
        <v>14</v>
      </c>
      <c r="J43" s="10">
        <v>12.6</v>
      </c>
      <c r="K43" s="10">
        <v>108</v>
      </c>
      <c r="L43" s="10">
        <v>63</v>
      </c>
      <c r="M43" s="10">
        <v>31</v>
      </c>
      <c r="N43" s="4">
        <v>171371</v>
      </c>
      <c r="O43" s="7" t="s">
        <v>90</v>
      </c>
    </row>
    <row r="44" spans="1:15" ht="51.75" customHeight="1" x14ac:dyDescent="0.25">
      <c r="A44" s="1" t="s">
        <v>106</v>
      </c>
      <c r="B44" s="1" t="s">
        <v>100</v>
      </c>
      <c r="C44" s="1" t="s">
        <v>99</v>
      </c>
      <c r="D44" s="1" t="s">
        <v>98</v>
      </c>
      <c r="E44" s="8" t="s">
        <v>101</v>
      </c>
      <c r="F44" s="1" t="s">
        <v>102</v>
      </c>
      <c r="G44" s="1" t="s">
        <v>103</v>
      </c>
      <c r="H44" s="1" t="s">
        <v>104</v>
      </c>
      <c r="I44" s="3" t="s">
        <v>17</v>
      </c>
      <c r="J44" s="10">
        <v>12.6</v>
      </c>
      <c r="K44" s="10">
        <v>108</v>
      </c>
      <c r="L44" s="10">
        <v>63</v>
      </c>
      <c r="M44" s="10">
        <v>31</v>
      </c>
      <c r="N44" s="4">
        <v>171371</v>
      </c>
      <c r="O44" s="7" t="s">
        <v>90</v>
      </c>
    </row>
    <row r="45" spans="1:15" ht="51.75" customHeight="1" x14ac:dyDescent="0.25">
      <c r="A45" s="1" t="s">
        <v>106</v>
      </c>
      <c r="B45" s="1" t="s">
        <v>100</v>
      </c>
      <c r="C45" s="1" t="s">
        <v>99</v>
      </c>
      <c r="D45" s="1" t="s">
        <v>98</v>
      </c>
      <c r="E45" s="8" t="s">
        <v>101</v>
      </c>
      <c r="F45" s="1" t="s">
        <v>102</v>
      </c>
      <c r="G45" s="1" t="s">
        <v>103</v>
      </c>
      <c r="H45" s="1" t="s">
        <v>104</v>
      </c>
      <c r="I45" s="3" t="s">
        <v>55</v>
      </c>
      <c r="J45" s="10">
        <v>1.9</v>
      </c>
      <c r="K45" s="10">
        <v>30</v>
      </c>
      <c r="L45" s="10">
        <v>38</v>
      </c>
      <c r="M45" s="10">
        <v>38</v>
      </c>
      <c r="N45" s="4">
        <f>11248*8</f>
        <v>89984</v>
      </c>
      <c r="O45" s="7" t="s">
        <v>91</v>
      </c>
    </row>
    <row r="46" spans="1:15" ht="51.75" customHeight="1" x14ac:dyDescent="0.25">
      <c r="A46" s="1" t="s">
        <v>106</v>
      </c>
      <c r="B46" s="1" t="s">
        <v>100</v>
      </c>
      <c r="C46" s="1" t="s">
        <v>99</v>
      </c>
      <c r="D46" s="1" t="s">
        <v>98</v>
      </c>
      <c r="E46" s="8" t="s">
        <v>101</v>
      </c>
      <c r="F46" s="1" t="s">
        <v>102</v>
      </c>
      <c r="G46" s="1" t="s">
        <v>103</v>
      </c>
      <c r="H46" s="1" t="s">
        <v>104</v>
      </c>
      <c r="I46" s="3" t="s">
        <v>56</v>
      </c>
      <c r="J46" s="3">
        <v>4.5999999999999996</v>
      </c>
      <c r="K46" s="3">
        <v>25</v>
      </c>
      <c r="L46" s="3">
        <v>46</v>
      </c>
      <c r="M46" s="3">
        <v>32</v>
      </c>
      <c r="N46" s="4">
        <f>67568*5</f>
        <v>337840</v>
      </c>
      <c r="O46" s="7" t="s">
        <v>92</v>
      </c>
    </row>
    <row r="47" spans="1:15" ht="51.75" customHeight="1" x14ac:dyDescent="0.25">
      <c r="A47" s="1" t="s">
        <v>106</v>
      </c>
      <c r="B47" s="1" t="s">
        <v>100</v>
      </c>
      <c r="C47" s="1" t="s">
        <v>99</v>
      </c>
      <c r="D47" s="1" t="s">
        <v>98</v>
      </c>
      <c r="E47" s="8" t="s">
        <v>101</v>
      </c>
      <c r="F47" s="1" t="s">
        <v>102</v>
      </c>
      <c r="G47" s="1" t="s">
        <v>103</v>
      </c>
      <c r="H47" s="1" t="s">
        <v>104</v>
      </c>
      <c r="I47" s="3" t="s">
        <v>57</v>
      </c>
      <c r="J47" s="3">
        <v>8.8000000000000007</v>
      </c>
      <c r="K47" s="3">
        <v>37</v>
      </c>
      <c r="L47" s="3">
        <v>47</v>
      </c>
      <c r="M47" s="3">
        <v>35</v>
      </c>
      <c r="N47" s="4">
        <f>91712*8</f>
        <v>733696</v>
      </c>
      <c r="O47" s="7" t="s">
        <v>93</v>
      </c>
    </row>
    <row r="48" spans="1:15" ht="51.75" customHeight="1" x14ac:dyDescent="0.25">
      <c r="A48" s="1" t="s">
        <v>106</v>
      </c>
      <c r="B48" s="1" t="s">
        <v>100</v>
      </c>
      <c r="C48" s="1" t="s">
        <v>99</v>
      </c>
      <c r="D48" s="1" t="s">
        <v>98</v>
      </c>
      <c r="E48" s="8" t="s">
        <v>101</v>
      </c>
      <c r="F48" s="1" t="s">
        <v>102</v>
      </c>
      <c r="G48" s="1" t="s">
        <v>103</v>
      </c>
      <c r="H48" s="1" t="s">
        <v>104</v>
      </c>
      <c r="I48" s="3" t="s">
        <v>59</v>
      </c>
      <c r="J48" s="3">
        <v>8.6999999999999993</v>
      </c>
      <c r="K48" s="3">
        <v>35</v>
      </c>
      <c r="L48" s="3">
        <v>34</v>
      </c>
      <c r="M48" s="3">
        <v>48</v>
      </c>
      <c r="N48" s="4">
        <f>453712+457920</f>
        <v>911632</v>
      </c>
      <c r="O48" s="11" t="s">
        <v>94</v>
      </c>
    </row>
    <row r="49" spans="1:17" ht="51.75" customHeight="1" x14ac:dyDescent="0.25">
      <c r="A49" s="1" t="s">
        <v>106</v>
      </c>
      <c r="B49" s="1" t="s">
        <v>100</v>
      </c>
      <c r="C49" s="1" t="s">
        <v>99</v>
      </c>
      <c r="D49" s="1" t="s">
        <v>98</v>
      </c>
      <c r="E49" s="8" t="s">
        <v>101</v>
      </c>
      <c r="F49" s="1" t="s">
        <v>102</v>
      </c>
      <c r="G49" s="1" t="s">
        <v>103</v>
      </c>
      <c r="H49" s="1" t="s">
        <v>104</v>
      </c>
      <c r="I49" s="3" t="s">
        <v>60</v>
      </c>
      <c r="J49" s="10">
        <v>9.6</v>
      </c>
      <c r="K49" s="10">
        <v>36</v>
      </c>
      <c r="L49" s="10">
        <v>47</v>
      </c>
      <c r="M49" s="10">
        <v>35</v>
      </c>
      <c r="N49" s="4">
        <f>408378*4</f>
        <v>1633512</v>
      </c>
      <c r="O49" s="11" t="s">
        <v>95</v>
      </c>
    </row>
    <row r="50" spans="1:17" ht="51.75" customHeight="1" x14ac:dyDescent="0.25">
      <c r="A50" s="1" t="s">
        <v>106</v>
      </c>
      <c r="B50" s="1" t="s">
        <v>100</v>
      </c>
      <c r="C50" s="1" t="s">
        <v>99</v>
      </c>
      <c r="D50" s="1" t="s">
        <v>98</v>
      </c>
      <c r="E50" s="8" t="s">
        <v>101</v>
      </c>
      <c r="F50" s="1" t="s">
        <v>102</v>
      </c>
      <c r="G50" s="1" t="s">
        <v>103</v>
      </c>
      <c r="H50" s="1" t="s">
        <v>104</v>
      </c>
      <c r="I50" s="3" t="s">
        <v>61</v>
      </c>
      <c r="J50" s="3">
        <v>13.1</v>
      </c>
      <c r="K50" s="3">
        <v>25</v>
      </c>
      <c r="L50" s="3">
        <v>46</v>
      </c>
      <c r="M50" s="3">
        <v>32</v>
      </c>
      <c r="N50" s="4">
        <f>201276+453712</f>
        <v>654988</v>
      </c>
      <c r="O50" s="12" t="s">
        <v>96</v>
      </c>
    </row>
    <row r="51" spans="1:17" ht="51.75" customHeight="1" x14ac:dyDescent="0.25">
      <c r="A51" s="1" t="s">
        <v>106</v>
      </c>
      <c r="B51" s="1" t="s">
        <v>100</v>
      </c>
      <c r="C51" s="1" t="s">
        <v>99</v>
      </c>
      <c r="D51" s="1" t="s">
        <v>98</v>
      </c>
      <c r="E51" s="8" t="s">
        <v>101</v>
      </c>
      <c r="F51" s="1" t="s">
        <v>102</v>
      </c>
      <c r="G51" s="1" t="s">
        <v>103</v>
      </c>
      <c r="H51" s="1" t="s">
        <v>104</v>
      </c>
      <c r="I51" s="3" t="s">
        <v>62</v>
      </c>
      <c r="J51" s="10">
        <v>12.1</v>
      </c>
      <c r="K51" s="10">
        <v>1.52</v>
      </c>
      <c r="L51" s="10">
        <v>70</v>
      </c>
      <c r="M51" s="10">
        <v>4</v>
      </c>
      <c r="N51" s="4">
        <v>100171</v>
      </c>
      <c r="O51" s="11" t="s">
        <v>97</v>
      </c>
    </row>
    <row r="52" spans="1:17" ht="51.75" customHeight="1" x14ac:dyDescent="0.25">
      <c r="A52" s="1" t="s">
        <v>106</v>
      </c>
      <c r="B52" s="1" t="s">
        <v>100</v>
      </c>
      <c r="C52" s="1" t="s">
        <v>99</v>
      </c>
      <c r="D52" s="1" t="s">
        <v>98</v>
      </c>
      <c r="E52" s="8" t="s">
        <v>101</v>
      </c>
      <c r="F52" s="1" t="s">
        <v>102</v>
      </c>
      <c r="G52" s="1" t="s">
        <v>103</v>
      </c>
      <c r="H52" s="1" t="s">
        <v>104</v>
      </c>
      <c r="I52" s="3" t="s">
        <v>63</v>
      </c>
      <c r="J52" s="10">
        <v>12.1</v>
      </c>
      <c r="K52" s="10">
        <v>1.52</v>
      </c>
      <c r="L52" s="10">
        <v>70</v>
      </c>
      <c r="M52" s="10">
        <v>4</v>
      </c>
      <c r="N52" s="4">
        <v>100171</v>
      </c>
      <c r="O52" s="11" t="s">
        <v>97</v>
      </c>
    </row>
    <row r="53" spans="1:17" ht="51.75" customHeight="1" x14ac:dyDescent="0.25">
      <c r="A53" s="1" t="s">
        <v>106</v>
      </c>
      <c r="B53" s="1" t="s">
        <v>100</v>
      </c>
      <c r="C53" s="1" t="s">
        <v>99</v>
      </c>
      <c r="D53" s="1" t="s">
        <v>98</v>
      </c>
      <c r="E53" s="8" t="s">
        <v>101</v>
      </c>
      <c r="F53" s="1" t="s">
        <v>102</v>
      </c>
      <c r="G53" s="1" t="s">
        <v>103</v>
      </c>
      <c r="H53" s="1" t="s">
        <v>104</v>
      </c>
      <c r="I53" s="3" t="s">
        <v>64</v>
      </c>
      <c r="J53" s="10">
        <v>12.1</v>
      </c>
      <c r="K53" s="10">
        <v>1.52</v>
      </c>
      <c r="L53" s="10">
        <v>70</v>
      </c>
      <c r="M53" s="10">
        <v>4</v>
      </c>
      <c r="N53" s="4">
        <v>100171</v>
      </c>
      <c r="O53" s="11" t="s">
        <v>97</v>
      </c>
    </row>
    <row r="54" spans="1:17" ht="51.75" customHeight="1" x14ac:dyDescent="0.25">
      <c r="A54" s="1" t="s">
        <v>106</v>
      </c>
      <c r="B54" s="1" t="s">
        <v>100</v>
      </c>
      <c r="C54" s="1" t="s">
        <v>99</v>
      </c>
      <c r="D54" s="1" t="s">
        <v>98</v>
      </c>
      <c r="E54" s="8" t="s">
        <v>101</v>
      </c>
      <c r="F54" s="1" t="s">
        <v>102</v>
      </c>
      <c r="G54" s="1" t="s">
        <v>103</v>
      </c>
      <c r="H54" s="1" t="s">
        <v>104</v>
      </c>
      <c r="I54" s="3" t="s">
        <v>65</v>
      </c>
      <c r="J54" s="10">
        <v>12.1</v>
      </c>
      <c r="K54" s="10">
        <v>1.52</v>
      </c>
      <c r="L54" s="10">
        <v>70</v>
      </c>
      <c r="M54" s="10">
        <v>4</v>
      </c>
      <c r="N54" s="4">
        <v>100171</v>
      </c>
      <c r="O54" s="11" t="s">
        <v>97</v>
      </c>
    </row>
    <row r="55" spans="1:17" ht="51.75" customHeight="1" x14ac:dyDescent="0.25">
      <c r="A55" s="1" t="s">
        <v>106</v>
      </c>
      <c r="B55" s="1" t="s">
        <v>100</v>
      </c>
      <c r="C55" s="1" t="s">
        <v>99</v>
      </c>
      <c r="D55" s="1" t="s">
        <v>98</v>
      </c>
      <c r="E55" s="8" t="s">
        <v>101</v>
      </c>
      <c r="F55" s="1" t="s">
        <v>102</v>
      </c>
      <c r="G55" s="1" t="s">
        <v>103</v>
      </c>
      <c r="H55" s="1" t="s">
        <v>104</v>
      </c>
      <c r="I55" s="3" t="s">
        <v>66</v>
      </c>
      <c r="J55" s="10">
        <v>12.1</v>
      </c>
      <c r="K55" s="10">
        <v>1.52</v>
      </c>
      <c r="L55" s="10">
        <v>70</v>
      </c>
      <c r="M55" s="10">
        <v>4</v>
      </c>
      <c r="N55" s="4">
        <v>100171</v>
      </c>
      <c r="O55" s="11" t="s">
        <v>97</v>
      </c>
    </row>
    <row r="56" spans="1:17" ht="51.75" customHeight="1" x14ac:dyDescent="0.25">
      <c r="A56" s="1" t="s">
        <v>106</v>
      </c>
      <c r="B56" s="1" t="s">
        <v>100</v>
      </c>
      <c r="C56" s="1" t="s">
        <v>99</v>
      </c>
      <c r="D56" s="1" t="s">
        <v>98</v>
      </c>
      <c r="E56" s="8" t="s">
        <v>101</v>
      </c>
      <c r="F56" s="1" t="s">
        <v>102</v>
      </c>
      <c r="G56" s="1" t="s">
        <v>103</v>
      </c>
      <c r="H56" s="1" t="s">
        <v>104</v>
      </c>
      <c r="I56" s="3" t="s">
        <v>67</v>
      </c>
      <c r="J56" s="10">
        <v>12.1</v>
      </c>
      <c r="K56" s="10">
        <v>1.52</v>
      </c>
      <c r="L56" s="10">
        <v>70</v>
      </c>
      <c r="M56" s="10">
        <v>4</v>
      </c>
      <c r="N56" s="4">
        <v>100171</v>
      </c>
      <c r="O56" s="11" t="s">
        <v>97</v>
      </c>
    </row>
    <row r="57" spans="1:17" ht="51.75" customHeight="1" x14ac:dyDescent="0.25">
      <c r="A57" s="1" t="s">
        <v>106</v>
      </c>
      <c r="B57" s="1" t="s">
        <v>100</v>
      </c>
      <c r="C57" s="1" t="s">
        <v>99</v>
      </c>
      <c r="D57" s="1" t="s">
        <v>98</v>
      </c>
      <c r="E57" s="8" t="s">
        <v>101</v>
      </c>
      <c r="F57" s="1" t="s">
        <v>102</v>
      </c>
      <c r="G57" s="1" t="s">
        <v>103</v>
      </c>
      <c r="H57" s="1" t="s">
        <v>104</v>
      </c>
      <c r="I57" s="3" t="s">
        <v>68</v>
      </c>
      <c r="J57" s="10">
        <v>12.1</v>
      </c>
      <c r="K57" s="10">
        <v>1.52</v>
      </c>
      <c r="L57" s="10">
        <v>70</v>
      </c>
      <c r="M57" s="10">
        <v>4</v>
      </c>
      <c r="N57" s="4">
        <v>100171</v>
      </c>
      <c r="O57" s="11" t="s">
        <v>97</v>
      </c>
    </row>
    <row r="58" spans="1:17" ht="51.75" customHeight="1" x14ac:dyDescent="0.25">
      <c r="A58" s="1" t="s">
        <v>106</v>
      </c>
      <c r="B58" s="1" t="s">
        <v>100</v>
      </c>
      <c r="C58" s="1" t="s">
        <v>99</v>
      </c>
      <c r="D58" s="1" t="s">
        <v>98</v>
      </c>
      <c r="E58" s="8" t="s">
        <v>101</v>
      </c>
      <c r="F58" s="1" t="s">
        <v>102</v>
      </c>
      <c r="G58" s="1" t="s">
        <v>103</v>
      </c>
      <c r="H58" s="1" t="s">
        <v>104</v>
      </c>
      <c r="I58" s="3" t="s">
        <v>69</v>
      </c>
      <c r="J58" s="10">
        <v>12.1</v>
      </c>
      <c r="K58" s="10">
        <v>1.52</v>
      </c>
      <c r="L58" s="10">
        <v>70</v>
      </c>
      <c r="M58" s="10">
        <v>4</v>
      </c>
      <c r="N58" s="4">
        <v>100171</v>
      </c>
      <c r="O58" s="11" t="s">
        <v>97</v>
      </c>
    </row>
    <row r="59" spans="1:17" ht="51.75" customHeight="1" x14ac:dyDescent="0.25">
      <c r="A59" s="1" t="s">
        <v>106</v>
      </c>
      <c r="B59" s="1" t="s">
        <v>100</v>
      </c>
      <c r="C59" s="1" t="s">
        <v>99</v>
      </c>
      <c r="D59" s="1" t="s">
        <v>98</v>
      </c>
      <c r="E59" s="8" t="s">
        <v>101</v>
      </c>
      <c r="F59" s="1" t="s">
        <v>102</v>
      </c>
      <c r="G59" s="1" t="s">
        <v>103</v>
      </c>
      <c r="H59" s="1" t="s">
        <v>104</v>
      </c>
      <c r="I59" s="3" t="s">
        <v>70</v>
      </c>
      <c r="J59" s="10">
        <v>12.1</v>
      </c>
      <c r="K59" s="10">
        <v>1.52</v>
      </c>
      <c r="L59" s="10">
        <v>70</v>
      </c>
      <c r="M59" s="10">
        <v>4</v>
      </c>
      <c r="N59" s="4">
        <v>100171</v>
      </c>
      <c r="O59" s="11" t="s">
        <v>97</v>
      </c>
    </row>
    <row r="60" spans="1:17" x14ac:dyDescent="0.25">
      <c r="J60">
        <f>SUM(J3:J59)</f>
        <v>656.50000000000045</v>
      </c>
      <c r="N60" s="5">
        <f>SUM(N3:N59)</f>
        <v>23401570.577500001</v>
      </c>
      <c r="O60" s="9"/>
      <c r="Q60" s="5"/>
    </row>
  </sheetData>
  <autoFilter ref="G1:O60" xr:uid="{00000000-0009-0000-0000-000001000000}">
    <filterColumn colId="4" showButton="0"/>
    <filterColumn colId="5" showButton="0"/>
  </autoFilter>
  <mergeCells count="13">
    <mergeCell ref="F1:F2"/>
    <mergeCell ref="A1:A2"/>
    <mergeCell ref="B1:B2"/>
    <mergeCell ref="C1:C2"/>
    <mergeCell ref="D1:D2"/>
    <mergeCell ref="E1:E2"/>
    <mergeCell ref="O1:O2"/>
    <mergeCell ref="G1:G2"/>
    <mergeCell ref="H1:H2"/>
    <mergeCell ref="I1:I2"/>
    <mergeCell ref="J1:J2"/>
    <mergeCell ref="K1:M1"/>
    <mergeCell ref="N1:N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colBreaks count="1" manualBreakCount="1">
    <brk id="6" max="166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InfoTransporte</vt:lpstr>
      <vt:lpstr>InfoTransporte!Área_de_impresión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Ivonne Stephanie Suárez García</dc:creator>
  <cp:lastModifiedBy>JAIME.SILVA</cp:lastModifiedBy>
  <cp:lastPrinted>2018-09-17T13:20:17Z</cp:lastPrinted>
  <dcterms:created xsi:type="dcterms:W3CDTF">2015-12-30T16:21:58Z</dcterms:created>
  <dcterms:modified xsi:type="dcterms:W3CDTF">2019-02-21T17:10:36Z</dcterms:modified>
</cp:coreProperties>
</file>