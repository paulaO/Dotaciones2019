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Ajustado\Bosa\"/>
    </mc:Choice>
  </mc:AlternateContent>
  <bookViews>
    <workbookView xWindow="0" yWindow="0" windowWidth="16530" windowHeight="6945" tabRatio="784"/>
  </bookViews>
  <sheets>
    <sheet name="Aprendiendo con Amo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0">#N/A</definedName>
    <definedName name="___INDEX_SHEET___ASAP_Utilities">#N/A</definedName>
    <definedName name="_AMAZONAS" localSheetId="0">#REF!</definedName>
    <definedName name="_AMAZONAS">#REF!</definedName>
    <definedName name="_amazonas_" localSheetId="0">#REF!</definedName>
    <definedName name="_amazonas_">#REF!</definedName>
    <definedName name="_ANTIOQUIA" localSheetId="0">#REF!</definedName>
    <definedName name="_ANTIOQUIA">#REF!</definedName>
    <definedName name="_ARAUCA" localSheetId="0">#REF!</definedName>
    <definedName name="_ARAUCA">#REF!</definedName>
    <definedName name="_ATLANTICO" localSheetId="0">#REF!</definedName>
    <definedName name="_ATLANTICO">#REF!</definedName>
    <definedName name="_BOGOTADC" localSheetId="0">#REF!</definedName>
    <definedName name="_BOGOTADC">#REF!</definedName>
    <definedName name="_BOLIVAR" localSheetId="0">#REF!</definedName>
    <definedName name="_BOLIVAR">#REF!</definedName>
    <definedName name="_BOYACA" localSheetId="0">#REF!</definedName>
    <definedName name="_BOYACA">#REF!</definedName>
    <definedName name="_CALDAS" localSheetId="0">#REF!</definedName>
    <definedName name="_CALDAS">#REF!</definedName>
    <definedName name="_CAQUETA" localSheetId="0">#REF!</definedName>
    <definedName name="_CAQUETA">#REF!</definedName>
    <definedName name="_CASANARE" localSheetId="0">#REF!</definedName>
    <definedName name="_CASANARE">#REF!</definedName>
    <definedName name="_CAUCA" localSheetId="0">#REF!</definedName>
    <definedName name="_CAUCA">#REF!</definedName>
    <definedName name="_CESAR" localSheetId="0">#REF!</definedName>
    <definedName name="_CESAR">#REF!</definedName>
    <definedName name="_CHOCO" localSheetId="0">#REF!</definedName>
    <definedName name="_CHOCO">#REF!</definedName>
    <definedName name="_CORDOBA" localSheetId="0">#REF!</definedName>
    <definedName name="_CORDOBA">#REF!</definedName>
    <definedName name="_CUNDINAMARCA" localSheetId="0">#REF!</definedName>
    <definedName name="_CUNDINAMARCA">#REF!</definedName>
    <definedName name="_xlnm._FilterDatabase" localSheetId="0" hidden="1">'Aprendiendo con Amor'!$B$4:$L$69</definedName>
    <definedName name="_GUAINIA" localSheetId="0">#REF!</definedName>
    <definedName name="_GUAINIA">#REF!</definedName>
    <definedName name="_GUAVIARE" localSheetId="0">#REF!</definedName>
    <definedName name="_GUAVIARE">#REF!</definedName>
    <definedName name="_HUILA" localSheetId="0">#REF!</definedName>
    <definedName name="_HUILA">#REF!</definedName>
    <definedName name="_LAGUAJIRA" localSheetId="0">#REF!</definedName>
    <definedName name="_LAGUAJIRA">#REF!</definedName>
    <definedName name="_MAGDALENA" localSheetId="0">#REF!</definedName>
    <definedName name="_MAGDALENA">#REF!</definedName>
    <definedName name="_META" localSheetId="0">#REF!</definedName>
    <definedName name="_META">#REF!</definedName>
    <definedName name="_NARIÑO" localSheetId="0">#REF!</definedName>
    <definedName name="_NARIÑO">#REF!</definedName>
    <definedName name="_NORTEDESANTANDER" localSheetId="0">#REF!</definedName>
    <definedName name="_NORTEDESANTANDER">#REF!</definedName>
    <definedName name="_PUTUMAYO" localSheetId="0">#REF!</definedName>
    <definedName name="_PUTUMAYO">#REF!</definedName>
    <definedName name="_QUINDIO" localSheetId="0">#REF!</definedName>
    <definedName name="_QUINDIO">#REF!</definedName>
    <definedName name="_RISARALDA" localSheetId="0">#REF!</definedName>
    <definedName name="_RISARALDA">#REF!</definedName>
    <definedName name="_SANANDRES" localSheetId="0">#REF!</definedName>
    <definedName name="_SANANDRES">#REF!</definedName>
    <definedName name="_SANTANDER" localSheetId="0">#REF!</definedName>
    <definedName name="_SANTANDER">#REF!</definedName>
    <definedName name="_SUCRE" localSheetId="0">#REF!</definedName>
    <definedName name="_SUCRE">#REF!</definedName>
    <definedName name="_TOLIMA" localSheetId="0">#REF!</definedName>
    <definedName name="_TOLIMA">#REF!</definedName>
    <definedName name="_UDS3" localSheetId="0">#REF!</definedName>
    <definedName name="_UDS3">#REF!</definedName>
    <definedName name="_VALLEDELCAUCA" localSheetId="0">#REF!</definedName>
    <definedName name="_VALLEDELCAUCA">#REF!</definedName>
    <definedName name="_VAUPES" localSheetId="0">#REF!</definedName>
    <definedName name="_VAUPES">#REF!</definedName>
    <definedName name="_VICHADA" localSheetId="0">#REF!</definedName>
    <definedName name="_VICHADA">#REF!</definedName>
    <definedName name="¿Quiénes_están_inscritos_dentro_del_sistema__incluye_desinscr___" localSheetId="0">#REF!</definedName>
    <definedName name="¿Quiénes_están_inscritos_dentro_del_sistema__incluye_desinscr___">#REF!</definedName>
    <definedName name="ActividadRE" localSheetId="0">#REF!</definedName>
    <definedName name="ActividadRE">#REF!</definedName>
    <definedName name="ALMUERZO">'[1]Resumen Preparaciones'!$C$52:$C$113</definedName>
    <definedName name="almuerzocena">'[1]Resumen Preparaciones'!$C$52:$C$141</definedName>
    <definedName name="AMAZONAS" localSheetId="0">#REF!</definedName>
    <definedName name="AMAZONAS">#REF!</definedName>
    <definedName name="ANTIOQUIA" localSheetId="0">#REF!</definedName>
    <definedName name="ANTIOQUIA">#REF!</definedName>
    <definedName name="ARAUCA" localSheetId="0">#REF!</definedName>
    <definedName name="ARAUCA">#REF!</definedName>
    <definedName name="_xlnm.Print_Area" localSheetId="0">'Aprendiendo con Amor'!$B$2:$H$69</definedName>
    <definedName name="ATLANTICO" localSheetId="0">#REF!</definedName>
    <definedName name="ATLANTICO">#REF!</definedName>
    <definedName name="_xlnm.Database" localSheetId="0">#REF!</definedName>
    <definedName name="_xlnm.Database">#REF!</definedName>
    <definedName name="BOGOTA">[2]LISTAS!$J$2:$J$18</definedName>
    <definedName name="BOGOTA_DC" localSheetId="0">#REF!</definedName>
    <definedName name="BOGOTA_DC">#REF!</definedName>
    <definedName name="BOGOTADC" localSheetId="0">#REF!</definedName>
    <definedName name="BOGOTADC">#REF!</definedName>
    <definedName name="BOLIVAR" localSheetId="0">#REF!</definedName>
    <definedName name="BOLIVAR">#REF!</definedName>
    <definedName name="Borrar" localSheetId="0">#REF!</definedName>
    <definedName name="Borrar">#REF!</definedName>
    <definedName name="BOYACA" localSheetId="0">#REF!</definedName>
    <definedName name="BOYACA">#REF!</definedName>
    <definedName name="CALDAS" localSheetId="0">#REF!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0">#REF!</definedName>
    <definedName name="CAPITALES2">#REF!</definedName>
    <definedName name="CAQUETA" localSheetId="0">#REF!</definedName>
    <definedName name="CAQUETA">#REF!</definedName>
    <definedName name="CASANARE" localSheetId="0">#REF!</definedName>
    <definedName name="CASANARE">#REF!</definedName>
    <definedName name="CAUCA" localSheetId="0">#REF!</definedName>
    <definedName name="CAUCA">#REF!</definedName>
    <definedName name="CentroZonal" localSheetId="0">#REF!</definedName>
    <definedName name="CentroZonal">#REF!</definedName>
    <definedName name="CESAR" localSheetId="0">#REF!</definedName>
    <definedName name="CESAR">#REF!</definedName>
    <definedName name="CHOCO" localSheetId="0">#REF!</definedName>
    <definedName name="CHOCO">#REF!</definedName>
    <definedName name="CODIGO" localSheetId="0">#REF!</definedName>
    <definedName name="CODIGO">#REF!</definedName>
    <definedName name="Consulta1" localSheetId="0">#REF!</definedName>
    <definedName name="Consulta1">#REF!</definedName>
    <definedName name="CORDOBA" localSheetId="0">#REF!</definedName>
    <definedName name="CORDOBA">#REF!</definedName>
    <definedName name="CostoDirectoObra" localSheetId="0">#REF!</definedName>
    <definedName name="CostoDirectoObra">#REF!</definedName>
    <definedName name="CuantostieneEdSuperior" localSheetId="0">#REF!</definedName>
    <definedName name="CuantostieneEdSuperior">#REF!</definedName>
    <definedName name="CUNDINAMARCA" localSheetId="0">#REF!</definedName>
    <definedName name="CUNDINAMARCA">#REF!</definedName>
    <definedName name="CUPOS" localSheetId="0">#REF!</definedName>
    <definedName name="CUPOS">#REF!</definedName>
    <definedName name="CURSO">[2]LISTAS!$E$2:$E$68</definedName>
    <definedName name="dbo_trmunici" localSheetId="0">#REF!</definedName>
    <definedName name="dbo_trmunici">#REF!</definedName>
    <definedName name="Decision">[5]lista!$A$6:$A$7</definedName>
    <definedName name="Dedicacion" localSheetId="0">'[6]Tal Humano'!#REF!</definedName>
    <definedName name="Dedicacion">'[6]Tal Humano'!#REF!</definedName>
    <definedName name="Departamento" localSheetId="0">#REF!</definedName>
    <definedName name="Departamento">#REF!</definedName>
    <definedName name="Departamentos" localSheetId="0">#REF!</definedName>
    <definedName name="Departamentos">#REF!</definedName>
    <definedName name="desayuno">'[1]Resumen Preparaciones'!$C$5:$C$50</definedName>
    <definedName name="DESAYUNOS">'[1]Resumen Preparaciones'!$C$5:$C$33</definedName>
    <definedName name="DeseanCapacitacionEn" localSheetId="0">#REF!</definedName>
    <definedName name="DeseanCapacitacionEn">#REF!</definedName>
    <definedName name="DESINSCRITOS" localSheetId="0">#REF!</definedName>
    <definedName name="DESINSCRITOS">#REF!</definedName>
    <definedName name="DIAS" localSheetId="0">#REF!</definedName>
    <definedName name="DIAS">#REF!</definedName>
    <definedName name="DIASPRESTACION" localSheetId="0">#REF!</definedName>
    <definedName name="DIASPRESTACION">#REF!</definedName>
    <definedName name="DISTRIBUCIONPORTIPOCONTRATO" localSheetId="0">#REF!</definedName>
    <definedName name="DISTRIBUCIONPORTIPOCONTRATO">#REF!</definedName>
    <definedName name="Ed_cons_empr_CodEntidad" localSheetId="0">#REF!</definedName>
    <definedName name="Ed_cons_empr_CodEntidad">#REF!</definedName>
    <definedName name="Ed_emp_codemp" localSheetId="0">#REF!</definedName>
    <definedName name="Ed_emp_codemp">#REF!</definedName>
    <definedName name="EdSuperior2" localSheetId="0">#REF!</definedName>
    <definedName name="EdSuperior2">#REF!</definedName>
    <definedName name="EdSuperior3" localSheetId="0">#REF!</definedName>
    <definedName name="EdSuperior3">#REF!</definedName>
    <definedName name="Empresa" localSheetId="0">#REF!</definedName>
    <definedName name="Empresa">#REF!</definedName>
    <definedName name="Ensayos">[3]PERSONAL!$P$100</definedName>
    <definedName name="ESPACIOS">[2]LISTAS!$F$3:$F$22</definedName>
    <definedName name="EstadoMadCabFamilia" localSheetId="0">#REF!</definedName>
    <definedName name="EstadoMadCabFamilia">#REF!</definedName>
    <definedName name="Estrategia">[7]Tablas!$F$2:$F$34</definedName>
    <definedName name="Fuente">[7]Tablas!$D$2:$D$10</definedName>
    <definedName name="Funcionario" localSheetId="0">[8]frmFuncionario!#REF!</definedName>
    <definedName name="Funcionario">[8]frmFuncionario!#REF!</definedName>
    <definedName name="GruporUPS" localSheetId="0">#REF!</definedName>
    <definedName name="GruporUPS">#REF!</definedName>
    <definedName name="GUAINIA" localSheetId="0">#REF!</definedName>
    <definedName name="GUAINIA">#REF!</definedName>
    <definedName name="GUAVIARE" localSheetId="0">#REF!</definedName>
    <definedName name="GUAVIARE">#REF!</definedName>
    <definedName name="HA">#N/A</definedName>
    <definedName name="HCB_FAMI">#N/A</definedName>
    <definedName name="HFGHGFH3" localSheetId="0">[9]Planta_Super!#REF!</definedName>
    <definedName name="HFGHGFH3">[9]Planta_Super!#REF!</definedName>
    <definedName name="HOLA" localSheetId="0">#REF!</definedName>
    <definedName name="HOLA">#REF!</definedName>
    <definedName name="Horas" localSheetId="0">'[10]Tal Humano'!#REF!</definedName>
    <definedName name="Horas">'[10]Tal Humano'!#REF!</definedName>
    <definedName name="hrgc" localSheetId="0">#REF!</definedName>
    <definedName name="hrgc">#REF!</definedName>
    <definedName name="HUILA" localSheetId="0">#REF!</definedName>
    <definedName name="HUILA">#REF!</definedName>
    <definedName name="Incre" localSheetId="0">#REF!</definedName>
    <definedName name="Incre">#REF!</definedName>
    <definedName name="INCREMENTO" localSheetId="0">#REF!</definedName>
    <definedName name="INCREMENTO">#REF!</definedName>
    <definedName name="INCREMENTOS" localSheetId="0">#REF!</definedName>
    <definedName name="INCREMENTOS">#REF!</definedName>
    <definedName name="Indemnizacion" localSheetId="0">#REF!</definedName>
    <definedName name="Indemnizacion">#REF!</definedName>
    <definedName name="InfLaboral" localSheetId="0">#REF!</definedName>
    <definedName name="InfLaboral">#REF!</definedName>
    <definedName name="InfLabrl" localSheetId="0">#REF!</definedName>
    <definedName name="InfLabrl">#REF!</definedName>
    <definedName name="Ins" localSheetId="0">#REF!</definedName>
    <definedName name="Ins">#REF!</definedName>
    <definedName name="InsEnt" localSheetId="0">#REF!</definedName>
    <definedName name="InsEnt">#REF!</definedName>
    <definedName name="InsFisMag" localSheetId="0">#REF!</definedName>
    <definedName name="InsFisMag">#REF!</definedName>
    <definedName name="IVASobreUtilidad">[3]IMPUESTOS!$E$16</definedName>
    <definedName name="JARDIN_COMUNIT_DESAYUNO" localSheetId="0">#REF!</definedName>
    <definedName name="JARDIN_COMUNIT_DESAYUNO">#REF!</definedName>
    <definedName name="LA_GUAJIRA" localSheetId="0">#REF!</definedName>
    <definedName name="LA_GUAJIRA">#REF!</definedName>
    <definedName name="LimitacionAuditiva" localSheetId="0">#REF!</definedName>
    <definedName name="LimitacionAuditiva">#REF!</definedName>
    <definedName name="LimitacionFisicaOMental" localSheetId="0">#REF!</definedName>
    <definedName name="LimitacionFisicaOMental">#REF!</definedName>
    <definedName name="LimitacionVisual" localSheetId="0">#REF!</definedName>
    <definedName name="LimitacionVisual">#REF!</definedName>
    <definedName name="LISTA_1" localSheetId="0">#REF!</definedName>
    <definedName name="LISTA_1">#REF!</definedName>
    <definedName name="LISTA_2" localSheetId="0">#REF!</definedName>
    <definedName name="LISTA_2">#REF!</definedName>
    <definedName name="LISTA_PROM" localSheetId="0">#REF!</definedName>
    <definedName name="LISTA_PROM">#REF!</definedName>
    <definedName name="MadreCabezaFamilia" localSheetId="0">#REF!</definedName>
    <definedName name="MadreCabezaFamilia">#REF!</definedName>
    <definedName name="MAGDALENA" localSheetId="0">#REF!</definedName>
    <definedName name="MAGDALENA">#REF!</definedName>
    <definedName name="Mas_Bajo_Adminstración" localSheetId="0">'[11]Costo Total'!#REF!</definedName>
    <definedName name="Mas_Bajo_Adminstración">'[11]Costo Total'!#REF!</definedName>
    <definedName name="Mas_Bajo_Imprevistos" localSheetId="0">'[11]Costo Total'!#REF!</definedName>
    <definedName name="Mas_Bajo_Imprevistos">'[11]Costo Total'!#REF!</definedName>
    <definedName name="META" localSheetId="0">#REF!</definedName>
    <definedName name="META">#REF!</definedName>
    <definedName name="MMM" localSheetId="0">#REF!</definedName>
    <definedName name="MMM">#REF!</definedName>
    <definedName name="MUNI" localSheetId="0">#REF!</definedName>
    <definedName name="MUNI">#REF!</definedName>
    <definedName name="MUNI2" localSheetId="0">#REF!</definedName>
    <definedName name="MUNI2">#REF!</definedName>
    <definedName name="Municipio" localSheetId="0">#REF!</definedName>
    <definedName name="Municipio">#REF!</definedName>
    <definedName name="NARIÑO" localSheetId="0">#REF!</definedName>
    <definedName name="NARIÑO">#REF!</definedName>
    <definedName name="NEW_Centro_Acogida_Dllo">#N/A</definedName>
    <definedName name="Ninos">[2]LISTAS!$G$2:$G$17</definedName>
    <definedName name="NIVEL">[2]LISTAS!$H$8:$H$11</definedName>
    <definedName name="NivelEducacionBasica" localSheetId="0">#REF!</definedName>
    <definedName name="NivelEducacionBasica">#REF!</definedName>
    <definedName name="NIVELEDUCACIONSUP" localSheetId="0">#REF!</definedName>
    <definedName name="NIVELEDUCACIONSUP">#REF!</definedName>
    <definedName name="NivelEducacionSuperior" localSheetId="0">#REF!</definedName>
    <definedName name="NivelEducacionSuperior">#REF!</definedName>
    <definedName name="nn">#N/A</definedName>
    <definedName name="NNN" localSheetId="0">#REF!</definedName>
    <definedName name="NNN">#REF!</definedName>
    <definedName name="NO">[2]LISTAS!$G$2</definedName>
    <definedName name="NoFacturable">[3]PERSONAL!$P$46</definedName>
    <definedName name="NoNOInscritos" localSheetId="0">#REF!</definedName>
    <definedName name="NoNOInscritos">#REF!</definedName>
    <definedName name="NORTE_DE_SANTANDER" localSheetId="0">#REF!</definedName>
    <definedName name="NORTE_DE_SANTANDER">#REF!</definedName>
    <definedName name="NUMERO" localSheetId="0">[9]Planta_Super!#REF!</definedName>
    <definedName name="NUMERO">[9]Planta_Super!#REF!</definedName>
    <definedName name="Objetivos">[7]Tablas!$E$2:$E$17</definedName>
    <definedName name="Oficina">[3]PERSONAL!$P$69</definedName>
    <definedName name="opciones" localSheetId="0">#REF!</definedName>
    <definedName name="opciones">#REF!</definedName>
    <definedName name="Operador" localSheetId="0">#REF!</definedName>
    <definedName name="Operador">#REF!</definedName>
    <definedName name="PagoRE" localSheetId="0">#REF!</definedName>
    <definedName name="PagoRE">#REF!</definedName>
    <definedName name="PARTICIPACION">[5]lista!$A$15:$A$17</definedName>
    <definedName name="PERFILES">'[12]Salarios de Ref'!$B$6:$B$120</definedName>
    <definedName name="pilares">[7]Tablas!$G$2:$G$6</definedName>
    <definedName name="PMCL" localSheetId="0">#REF!</definedName>
    <definedName name="PMCL">#REF!</definedName>
    <definedName name="Procedencia">[5]lista!$A$2:$A$3</definedName>
    <definedName name="Producto" localSheetId="0">#REF!</definedName>
    <definedName name="Producto">#REF!</definedName>
    <definedName name="productosdef">'[1]Precios Alimentos'!$A$5031:$A$5730</definedName>
    <definedName name="Profesional">[3]PERSONAL!$P$12</definedName>
    <definedName name="Promd_Administración" localSheetId="0">'[11]Costo Total'!#REF!</definedName>
    <definedName name="Promd_Administración">'[11]Costo Total'!#REF!</definedName>
    <definedName name="Promd_Adnimistración" localSheetId="0">'[11]Costo Total'!#REF!</definedName>
    <definedName name="Promd_Adnimistración">'[11]Costo Total'!#REF!</definedName>
    <definedName name="Promd_Imprevistos" localSheetId="0">'[11]Costo Total'!#REF!</definedName>
    <definedName name="Promd_Imprevistos">'[11]Costo Total'!#REF!</definedName>
    <definedName name="Promd_Utilidad" localSheetId="0">'[11]Costo Total'!#REF!</definedName>
    <definedName name="Promd_Utilidad">'[11]Costo Total'!#REF!</definedName>
    <definedName name="promedios" localSheetId="0">'[13]Proyección valor Lacteo MADR'!#REF!</definedName>
    <definedName name="promedios">'[13]Proyección valor Lacteo MADR'!#REF!</definedName>
    <definedName name="Proporcionalidad" localSheetId="0">'[6]Tal Humano'!#REF!</definedName>
    <definedName name="Proporcionalidad">'[6]Tal Humano'!#REF!</definedName>
    <definedName name="ProximoPension" localSheetId="0">#REF!</definedName>
    <definedName name="ProximoPension">#REF!</definedName>
    <definedName name="prueba" localSheetId="0">#REF!</definedName>
    <definedName name="prueba">#REF!</definedName>
    <definedName name="PUTUMAYO" localSheetId="0">#REF!</definedName>
    <definedName name="PUTUMAYO">#REF!</definedName>
    <definedName name="q" localSheetId="0">#REF!</definedName>
    <definedName name="q">#REF!</definedName>
    <definedName name="QUINDIO" localSheetId="0">#REF!</definedName>
    <definedName name="QUINDIO">#REF!</definedName>
    <definedName name="RANGO">[14]PILOTO!$A$2:$H$54</definedName>
    <definedName name="RECapacitacion" localSheetId="0">#REF!</definedName>
    <definedName name="RECapacitacion">#REF!</definedName>
    <definedName name="REContPrivada" localSheetId="0">#REF!</definedName>
    <definedName name="REContPrivada">#REF!</definedName>
    <definedName name="Reg" localSheetId="0">#REF!</definedName>
    <definedName name="Reg">#REF!</definedName>
    <definedName name="Regional" localSheetId="0">#REF!</definedName>
    <definedName name="Regional">#REF!</definedName>
    <definedName name="REGIONALCZ" localSheetId="0">#REF!</definedName>
    <definedName name="REGIONALCZ">#REF!</definedName>
    <definedName name="RegSeccional" localSheetId="0">#REF!</definedName>
    <definedName name="RegSeccional">#REF!</definedName>
    <definedName name="RISARALDA" localSheetId="0">#REF!</definedName>
    <definedName name="RISARALDA">#REF!</definedName>
    <definedName name="RURAL" localSheetId="0">#REF!</definedName>
    <definedName name="RURAL">#REF!</definedName>
    <definedName name="salariosref">'[11]Salarios de Referencia'!$B$7:$B$120</definedName>
    <definedName name="SalarioSuperora3SMLVMyProfesionalidad" localSheetId="0">#REF!</definedName>
    <definedName name="SalarioSuperora3SMLVMyProfesionalidad">#REF!</definedName>
    <definedName name="SAN_ANDRES" localSheetId="0">#REF!</definedName>
    <definedName name="SAN_ANDRES">#REF!</definedName>
    <definedName name="sanitario">[2]LISTAS!$F$3:$F$12</definedName>
    <definedName name="SANTANDER" localSheetId="0">#REF!</definedName>
    <definedName name="SANTANDER">#REF!</definedName>
    <definedName name="Seguimiento" localSheetId="0">#REF!</definedName>
    <definedName name="Seguimiento">#REF!</definedName>
    <definedName name="Sexo" localSheetId="0">#REF!</definedName>
    <definedName name="Sexo">#REF!</definedName>
    <definedName name="sininteres">[2]LISTAS!$E$69</definedName>
    <definedName name="SINO">[2]LISTAS!$H$13:$H$14</definedName>
    <definedName name="SSSS" localSheetId="0">#REF!</definedName>
    <definedName name="SSSS">#REF!</definedName>
    <definedName name="SUCRE" localSheetId="0">#REF!</definedName>
    <definedName name="SUCRE">#REF!</definedName>
    <definedName name="Sueldos" localSheetId="0">#REF!</definedName>
    <definedName name="Sueldos">#REF!</definedName>
    <definedName name="Tecnico">[3]PERSONAL!$P$34</definedName>
    <definedName name="Telefono" localSheetId="0">#REF!</definedName>
    <definedName name="Telefono">#REF!</definedName>
    <definedName name="tipo">[5]lista!$A$11:$A$13</definedName>
    <definedName name="TIPOCONT" localSheetId="0">#REF!</definedName>
    <definedName name="TIPOCONT">#REF!</definedName>
    <definedName name="tipodeanalisis">'[1]Analisis microbiologico'!$A$110:$A$182</definedName>
    <definedName name="TipoEmpresa" localSheetId="0">#REF!</definedName>
    <definedName name="TipoEmpresa">#REF!</definedName>
    <definedName name="TIPOOPERADOR" localSheetId="0">#REF!</definedName>
    <definedName name="TIPOOPERADOR">#REF!</definedName>
    <definedName name="_xlnm.Print_Titles" localSheetId="0">'Aprendiendo con Amor'!$2:$3</definedName>
    <definedName name="TOLIMA" localSheetId="0">#REF!</definedName>
    <definedName name="TOLIMA">#REF!</definedName>
    <definedName name="TotalContratoSinIVA" localSheetId="0">#REF!</definedName>
    <definedName name="TotalContratoSinIVA">#REF!</definedName>
    <definedName name="TotalImpuestosObra">[3]IMPUESTOS!$F$10</definedName>
    <definedName name="Tramite">[3]PERSONAL!$P$88</definedName>
    <definedName name="UNIDADMOBIL" localSheetId="0">#REF!</definedName>
    <definedName name="UNIDADMOBIL">#REF!</definedName>
    <definedName name="URBANA" localSheetId="0">#REF!</definedName>
    <definedName name="URBANA">#REF!</definedName>
    <definedName name="VALLE_DEL_CAUCA" localSheetId="0">#REF!</definedName>
    <definedName name="VALLE_DEL_CAUCA">#REF!</definedName>
    <definedName name="VAUPES" localSheetId="0">#REF!</definedName>
    <definedName name="VAUPES">#REF!</definedName>
    <definedName name="Viajes">[3]PERSONAL!$P$93</definedName>
    <definedName name="VICHADA" localSheetId="0">#REF!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4" i="1" l="1"/>
  <c r="F43" i="1"/>
  <c r="F42" i="1"/>
  <c r="F22" i="1"/>
  <c r="F26" i="1"/>
  <c r="F69" i="1" l="1"/>
  <c r="F68" i="1"/>
  <c r="F65" i="1"/>
  <c r="F63" i="1"/>
  <c r="F62" i="1"/>
  <c r="F61" i="1"/>
  <c r="F60" i="1"/>
  <c r="F59" i="1"/>
  <c r="F58" i="1"/>
  <c r="F56" i="1"/>
  <c r="F55" i="1"/>
  <c r="F54" i="1"/>
  <c r="F57" i="1"/>
  <c r="F53" i="1"/>
  <c r="F52" i="1"/>
  <c r="F51" i="1"/>
  <c r="F50" i="1"/>
  <c r="F49" i="1"/>
  <c r="F48" i="1"/>
  <c r="F9" i="1" l="1"/>
  <c r="H46" i="1" l="1"/>
  <c r="H44" i="1"/>
  <c r="F37" i="1" l="1"/>
  <c r="F35" i="1"/>
  <c r="F34" i="1"/>
  <c r="F33" i="1"/>
  <c r="F32" i="1"/>
  <c r="F31" i="1"/>
  <c r="F46" i="1" l="1"/>
  <c r="F45" i="1"/>
  <c r="F44" i="1"/>
  <c r="F41" i="1"/>
  <c r="F40" i="1"/>
  <c r="F39" i="1"/>
  <c r="F30" i="1"/>
  <c r="F29" i="1"/>
  <c r="F28" i="1"/>
  <c r="F27" i="1"/>
  <c r="F24" i="1"/>
  <c r="F23" i="1"/>
  <c r="F21" i="1"/>
  <c r="F20" i="1"/>
  <c r="F19" i="1"/>
  <c r="F18" i="1"/>
  <c r="F17" i="1"/>
  <c r="F16" i="1"/>
  <c r="F15" i="1"/>
  <c r="F14" i="1"/>
  <c r="F8" i="1"/>
  <c r="F7" i="1"/>
  <c r="F6" i="1"/>
  <c r="F5" i="1"/>
  <c r="AO18" i="1"/>
  <c r="AO17" i="1"/>
  <c r="AO16" i="1"/>
  <c r="AO15" i="1"/>
  <c r="AO14" i="1"/>
  <c r="AO11" i="1"/>
  <c r="AO10" i="1"/>
  <c r="AO9" i="1"/>
  <c r="AO8" i="1"/>
  <c r="AO7" i="1"/>
  <c r="AO6" i="1"/>
  <c r="F67" i="1" s="1"/>
  <c r="AO5" i="1"/>
  <c r="AO4" i="1"/>
  <c r="AO3" i="1"/>
  <c r="F66" i="1" l="1"/>
  <c r="F13" i="1"/>
  <c r="F36" i="1"/>
  <c r="F12" i="1"/>
  <c r="F25" i="1"/>
  <c r="F11" i="1"/>
  <c r="F4" i="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8"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8"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47"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47"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<sst xmlns="http://schemas.openxmlformats.org/spreadsheetml/2006/main" count="231" uniqueCount="143">
  <si>
    <t>Decripción</t>
  </si>
  <si>
    <t>Serv. Publicos</t>
  </si>
  <si>
    <t>Acueducto y alcantarillado</t>
  </si>
  <si>
    <t>Energía</t>
  </si>
  <si>
    <t>Teléfono fijo</t>
  </si>
  <si>
    <t>Celular</t>
  </si>
  <si>
    <t>Gas</t>
  </si>
  <si>
    <t>Otro</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</si>
  <si>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</si>
  <si>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</si>
  <si>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</si>
  <si>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</si>
  <si>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</si>
  <si>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</si>
  <si>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</si>
  <si>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</si>
  <si>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</si>
  <si>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</si>
  <si>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</si>
  <si>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</si>
  <si>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2 Años</t>
  </si>
  <si>
    <t>Cada 3 Años</t>
  </si>
  <si>
    <t>Cada 4 Años</t>
  </si>
  <si>
    <t>Cada 5 Años</t>
  </si>
  <si>
    <t>Cada 10 Años</t>
  </si>
  <si>
    <t>Cada 20 Años</t>
  </si>
  <si>
    <t>Veces
/año</t>
  </si>
  <si>
    <t>CAPACIDAD UDS / DESCRIPCIÓN</t>
  </si>
  <si>
    <t>VALORES</t>
  </si>
  <si>
    <t>Cantidad</t>
  </si>
  <si>
    <t>EAAB</t>
  </si>
  <si>
    <t>CODENSA</t>
  </si>
  <si>
    <t>TELEFONIA FIJA + INTERNET</t>
  </si>
  <si>
    <t>GAS NATURAL</t>
  </si>
  <si>
    <t>PAPEL CREPE</t>
  </si>
  <si>
    <t>BLOCK IRIS</t>
  </si>
  <si>
    <t>COLORES</t>
  </si>
  <si>
    <t>ESCARCHA</t>
  </si>
  <si>
    <t>CREYON</t>
  </si>
  <si>
    <t>PEGANTE LIQUIDO</t>
  </si>
  <si>
    <t>ARCILLA</t>
  </si>
  <si>
    <t>CORRECTOR</t>
  </si>
  <si>
    <t>PAPEL HIGIENICO</t>
  </si>
  <si>
    <t>ROLLO DE PAPEL HIGIENICO DISPENSADOR</t>
  </si>
  <si>
    <t>ROLLO PAPEL HIGIENICO DOBLE HOJA</t>
  </si>
  <si>
    <t>TOALLAS MANO</t>
  </si>
  <si>
    <t>PAQUETE TOALLA PARA MONOS DE DISPENSADOR</t>
  </si>
  <si>
    <t>SERVILLETA</t>
  </si>
  <si>
    <t>PAQUETE DE SERVILLETA X 100</t>
  </si>
  <si>
    <t>PAÑITOS HUMEDOS</t>
  </si>
  <si>
    <t>PAQTE PAÑITOS HUMEDOS X 100</t>
  </si>
  <si>
    <t>GEL ANTIBACTERIAL</t>
  </si>
  <si>
    <t>GEL ANTIBACTERIAL LITRO</t>
  </si>
  <si>
    <t>JABON LIQUIDO</t>
  </si>
  <si>
    <t>JABON LIQUIDO PARA MANOS LITRO</t>
  </si>
  <si>
    <t>JABON LIQUIDO LAVACOLITAS LITRO</t>
  </si>
  <si>
    <t>JABON EN POLVO</t>
  </si>
  <si>
    <t>JABON BARRA</t>
  </si>
  <si>
    <t>JABON LOZA</t>
  </si>
  <si>
    <t>DESENGRASANTE</t>
  </si>
  <si>
    <t>ESCOBA</t>
  </si>
  <si>
    <t>TRAPERO</t>
  </si>
  <si>
    <t>ESPONJILLA</t>
  </si>
  <si>
    <t>GUANTES</t>
  </si>
  <si>
    <t>CERA</t>
  </si>
  <si>
    <t xml:space="preserve">PLAN MENSUAL </t>
  </si>
  <si>
    <t>Atencion para 28 niños</t>
  </si>
  <si>
    <t>TELEVISION</t>
  </si>
  <si>
    <t>Dotación de consumo</t>
  </si>
  <si>
    <t>PAPEL</t>
  </si>
  <si>
    <t xml:space="preserve">RESMA CARTA </t>
  </si>
  <si>
    <t>PAPEL CREPE X 10</t>
  </si>
  <si>
    <t>PAPEL SILUETA  1/ 8 X 10</t>
  </si>
  <si>
    <t>PAPEL SILUETA</t>
  </si>
  <si>
    <t>PLASTILINA</t>
  </si>
  <si>
    <t>PLASTILINA BARRA X 12</t>
  </si>
  <si>
    <t>TUBOS ESCARCHA</t>
  </si>
  <si>
    <t>PEGANTE LIQUIDO 250 GR</t>
  </si>
  <si>
    <t>CINTA</t>
  </si>
  <si>
    <t>CINTA TRANSPARENTE 48 X 100 MT</t>
  </si>
  <si>
    <t>BLOCK IRIS CARTA</t>
  </si>
  <si>
    <t>BLOCK DEGRADE CARTA</t>
  </si>
  <si>
    <t>BLOCK DEGRADE</t>
  </si>
  <si>
    <t>FOMI</t>
  </si>
  <si>
    <t>FOMI ECONOMICO OCTAVO X 10 SURTIDO</t>
  </si>
  <si>
    <t>TITERES</t>
  </si>
  <si>
    <t>TITERES DE TELA</t>
  </si>
  <si>
    <t>VINILO</t>
  </si>
  <si>
    <t>VINILO 150 GR</t>
  </si>
  <si>
    <t>CREYON X 10 JUMBO</t>
  </si>
  <si>
    <t>LAZO</t>
  </si>
  <si>
    <t>LAZOS PARA SALTAR</t>
  </si>
  <si>
    <t>CORRECTOR LAPIZ</t>
  </si>
  <si>
    <t>ESFEROS</t>
  </si>
  <si>
    <t>CAJA ESFEROS X 12</t>
  </si>
  <si>
    <t>BORRADOR</t>
  </si>
  <si>
    <t>TAJALAPIZ</t>
  </si>
  <si>
    <t>BORRADOR ECONOMICO DE NATA</t>
  </si>
  <si>
    <t>TAJALAPIZ CON DEPOSITO</t>
  </si>
  <si>
    <t>CARTULINA</t>
  </si>
  <si>
    <t>CARTULINA BRISTOL X 100 SURTIDA</t>
  </si>
  <si>
    <t>CARTULINA CALIPSO PLIEGO</t>
  </si>
  <si>
    <t>COLORES JUMBO X 12</t>
  </si>
  <si>
    <t>ARCILLA KILO</t>
  </si>
  <si>
    <t>JABON EN POLVO BOLSA 1000 GR</t>
  </si>
  <si>
    <t>CLOROX</t>
  </si>
  <si>
    <t>CLOROX 1000 GR</t>
  </si>
  <si>
    <t>ESPONJILLA DE ALAMBRE</t>
  </si>
  <si>
    <t>ESPONJILLA SABRAS MULTIUSO</t>
  </si>
  <si>
    <t>BOLSA</t>
  </si>
  <si>
    <t>BOLSA PARA BASURA MEDIANA PAQUETE X 10</t>
  </si>
  <si>
    <t>BOLSA TRANSPARENTE TAMAÑO OFICIO PQ X 10</t>
  </si>
  <si>
    <t>BOLSA ZIPLOC PQ X 12</t>
  </si>
  <si>
    <t>ESPONJILLA DE BRILLO</t>
  </si>
  <si>
    <t>GUANTE TALLA 8</t>
  </si>
  <si>
    <t>JABON BARRA X 3 900 GR</t>
  </si>
  <si>
    <t xml:space="preserve">AROMATIZANTE </t>
  </si>
  <si>
    <t>AROMATIZANTE PARA PISOS 4 LITROS</t>
  </si>
  <si>
    <t>ANTI HONGOS</t>
  </si>
  <si>
    <t>ANTI HONGOS 500 ML</t>
  </si>
  <si>
    <t>QUITAMANCHAS</t>
  </si>
  <si>
    <t>QUITAMANCHAS 1000 ML</t>
  </si>
  <si>
    <t>DESENGRASANTE 500 ML</t>
  </si>
  <si>
    <t>PAPEL HIGIENICO DOBLE HOJA X 12 ROLLOS</t>
  </si>
  <si>
    <t>JABON LOZA 500 ML</t>
  </si>
  <si>
    <t>JABON LIQUIDO 500 ML</t>
  </si>
  <si>
    <t>TRAPERO CORRIENTE</t>
  </si>
  <si>
    <t>ESCOBA CERDAS SUAVES</t>
  </si>
  <si>
    <t>RECOGEDOR</t>
  </si>
  <si>
    <t>RECOJEDOR PLASTICO CORRIENTE</t>
  </si>
  <si>
    <t>TOALLAS COCINA</t>
  </si>
  <si>
    <t>TOALLAS COCINA ROLLO X 40 TOALLAS</t>
  </si>
  <si>
    <t>CERA COJIN 350 CM°</t>
  </si>
  <si>
    <t>Permanecen 3 maestras</t>
  </si>
  <si>
    <t>La casa es habitada por 6 personas de la familia, los sevicios publicos no estan seprados; llega un solo recibo por toda la casa</t>
  </si>
  <si>
    <t>RESMA OFICIO</t>
  </si>
  <si>
    <t>ESFERO ESCARCHADO X 12</t>
  </si>
  <si>
    <t xml:space="preserve">OLIEGO CARTULINA BRISTOL </t>
  </si>
  <si>
    <t>PLUMON</t>
  </si>
  <si>
    <t>CAJA DE PLUMONES X 12</t>
  </si>
  <si>
    <t>CARTON PAJA</t>
  </si>
  <si>
    <t>CARTON PAJA 1/8 COLORES X 10</t>
  </si>
  <si>
    <t xml:space="preserve">MODALIDAD COMUNITARIA - TRADICIONAL - SERVICIO HCB Agrupados - BOSA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</si>
</sst>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 #,##0_-;_-* &quot;-&quot;_-;_-@_-"/>
    <numFmt numFmtId="44" formatCode="_-&quot;$&quot;* #,##0.00_-;\-&quot;$&quot;* #,##0.00_-;_-&quot;$&quot;* &quot;-&quot;??_-;_-@_-"/>
    <numFmt numFmtId="43" formatCode="_-* #,##0.00_-;\-* #,##0.00_-;_-*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 numFmtId="169" formatCode="_-&quot;$&quot;* #,##0_-;\-&quot;$&quot;* #,##0_-;_-&quot;$&quot;* &quot;-&quot;??_-;_-@_-"/>
    <numFmt numFmtId="170" formatCode="_-* #,##0_-;\-* #,##0_-;_-* &quot;-&quot;??_-;_-@_-"/>
  </numFmts>
  <fonts count="12">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sz val="9"/>
      <color indexed="81"/>
      <name val="Tahoma"/>
      <family val="2"/>
    </font>
    <font>
      <b/>
      <sz val="9"/>
      <color indexed="81"/>
      <name val="Tahoma"/>
      <family val="2"/>
    </font>
    <font>
      <b/>
      <sz val="12"/>
      <color theme="1"/>
      <name val="Arial"/>
      <family val="2"/>
    </font>
    <font>
      <b/>
      <sz val="12"/>
      <name val="Arial"/>
      <family val="2"/>
    </font>
  </fonts>
  <fills count="6">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indexed="26"/>
        <bgColor indexed="64"/>
      </patternFill>
    </fill>
    <fill>
      <patternFill patternType="solid">
        <fgColor theme="9" tint="0.59999389629810485"/>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6">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0" fontId="0" fillId="0" borderId="2" xfId="0" applyBorder="1"/>
    <xf numFmtId="0" fontId="3" fillId="0" borderId="1" xfId="1" applyFont="1" applyBorder="1" applyAlignment="1">
      <alignment horizontal="center"/>
    </xf>
    <xf numFmtId="0" fontId="5" fillId="0" borderId="2" xfId="1" applyFont="1" applyBorder="1" applyAlignment="1">
      <alignment horizontal="center" vertical="center"/>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4"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5" borderId="2" xfId="1" applyFill="1" applyBorder="1" applyAlignment="1">
      <alignment horizontal="center"/>
    </xf>
    <xf numFmtId="0" fontId="10" fillId="5" borderId="2" xfId="1" applyFont="1" applyFill="1" applyBorder="1" applyAlignment="1">
      <alignment horizontal="center" vertical="center" wrapText="1"/>
    </xf>
    <xf numFmtId="0" fontId="11" fillId="5" borderId="2" xfId="1" applyFont="1" applyFill="1" applyBorder="1" applyAlignment="1">
      <alignment horizontal="center" vertical="center" wrapText="1"/>
    </xf>
    <xf numFmtId="41" fontId="2" fillId="0" borderId="0" xfId="13" applyFont="1"/>
    <xf numFmtId="169" fontId="5" fillId="0" borderId="2" xfId="12" applyNumberFormat="1" applyFont="1" applyFill="1" applyBorder="1" applyAlignment="1">
      <alignment horizontal="left" vertical="center" wrapText="1"/>
    </xf>
    <xf numFmtId="170" fontId="2" fillId="0" borderId="0" xfId="14" applyNumberFormat="1" applyFont="1"/>
    <xf numFmtId="169" fontId="5" fillId="3" borderId="2" xfId="12" applyNumberFormat="1" applyFont="1" applyFill="1" applyBorder="1" applyAlignment="1">
      <alignment horizontal="center" vertical="top" wrapText="1"/>
    </xf>
    <xf numFmtId="9" fontId="2" fillId="0" borderId="0" xfId="15" applyFont="1"/>
    <xf numFmtId="0" fontId="2" fillId="0" borderId="14" xfId="0" applyFont="1" applyBorder="1"/>
    <xf numFmtId="0" fontId="0" fillId="0" borderId="3" xfId="0" applyBorder="1"/>
    <xf numFmtId="0" fontId="0" fillId="0" borderId="15" xfId="0" applyBorder="1"/>
    <xf numFmtId="0" fontId="5" fillId="0" borderId="4" xfId="1" applyFont="1" applyFill="1" applyBorder="1" applyAlignment="1">
      <alignment horizontal="center" vertical="center" textRotation="90" wrapText="1"/>
    </xf>
    <xf numFmtId="0" fontId="10" fillId="5" borderId="6" xfId="1" applyFont="1" applyFill="1" applyBorder="1" applyAlignment="1">
      <alignment horizontal="center" vertical="center" wrapText="1"/>
    </xf>
    <xf numFmtId="0" fontId="10" fillId="5" borderId="7" xfId="1" applyFont="1" applyFill="1" applyBorder="1" applyAlignment="1">
      <alignment horizontal="center" vertical="center" wrapText="1"/>
    </xf>
    <xf numFmtId="0" fontId="10" fillId="5"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cellXfs>
  <cellStyles count="16">
    <cellStyle name="Millares" xfId="14" builtinId="3"/>
    <cellStyle name="Millares [0]" xfId="13" builtinId="6"/>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aje" xfId="15" builtinId="5"/>
    <cellStyle name="Porcentual 2 2 2" xfId="6"/>
  </cellStyles>
  <dxfs count="9">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calcChain" Target="calcChain.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25"/>
  <sheetViews>
    <sheetView showGridLines="0" tabSelected="1"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7.375" style="1" customWidth="1"/>
    <col min="10" max="10" width="17.875" style="1" customWidth="1"/>
    <col min="11" max="38" width="11.375" style="1"/>
    <col min="39" max="39" width="2.375" bestFit="1" customWidth="1"/>
    <col min="40" max="40" width="10.75" bestFit="1" customWidth="1"/>
    <col min="41" max="41" width="3.625" bestFit="1" customWidth="1"/>
    <col min="42" max="16384" width="11.375" style="1"/>
  </cols>
  <sheetData>
    <row r="1" spans="1:41" ht="10.5" customHeight="1">
      <c r="AM1" s="19">
        <v>2</v>
      </c>
      <c r="AN1" s="14" t="s">
        <v>10</v>
      </c>
      <c r="AO1" s="20">
        <v>52</v>
      </c>
    </row>
    <row r="2" spans="1:41" ht="73.5" customHeight="1">
      <c r="B2" s="29"/>
      <c r="C2" s="30" t="s">
        <v>27</v>
      </c>
      <c r="D2" s="41" t="s">
        <v>142</v>
      </c>
      <c r="E2" s="42"/>
      <c r="F2" s="42"/>
      <c r="G2" s="43"/>
      <c r="H2" s="31" t="s">
        <v>28</v>
      </c>
      <c r="AM2" s="19">
        <v>4</v>
      </c>
      <c r="AN2" s="14" t="s">
        <v>11</v>
      </c>
      <c r="AO2" s="21">
        <v>12</v>
      </c>
    </row>
    <row r="3" spans="1:41" ht="44.25" customHeight="1">
      <c r="B3" s="16">
        <v>1</v>
      </c>
      <c r="C3" s="6">
        <v>28</v>
      </c>
      <c r="D3" s="13" t="s">
        <v>29</v>
      </c>
      <c r="E3" s="13" t="s">
        <v>9</v>
      </c>
      <c r="F3" s="13" t="s">
        <v>26</v>
      </c>
      <c r="G3" s="13" t="s">
        <v>0</v>
      </c>
      <c r="H3" s="11" t="s">
        <v>8</v>
      </c>
      <c r="AM3" s="19">
        <v>5</v>
      </c>
      <c r="AN3" s="14" t="s">
        <v>12</v>
      </c>
      <c r="AO3" s="21">
        <f>12/2</f>
        <v>6</v>
      </c>
    </row>
    <row r="4" spans="1:41" s="8" customFormat="1" ht="12.75" customHeight="1">
      <c r="B4" s="44" t="s">
        <v>1</v>
      </c>
      <c r="C4" s="9" t="s">
        <v>2</v>
      </c>
      <c r="D4" s="9">
        <v>1</v>
      </c>
      <c r="E4" s="27" t="s">
        <v>12</v>
      </c>
      <c r="F4" s="28">
        <f t="shared" ref="F4:F9" si="0">VLOOKUP(E4,$AN$1:$AO$23,2,FALSE)</f>
        <v>6</v>
      </c>
      <c r="G4" s="12" t="s">
        <v>30</v>
      </c>
      <c r="H4" s="33">
        <v>80000</v>
      </c>
      <c r="J4" s="8" t="s">
        <v>66</v>
      </c>
      <c r="AM4" s="19">
        <v>6</v>
      </c>
      <c r="AN4" s="14" t="s">
        <v>13</v>
      </c>
      <c r="AO4" s="21">
        <f>12/3</f>
        <v>4</v>
      </c>
    </row>
    <row r="5" spans="1:41" s="8" customFormat="1">
      <c r="B5" s="45"/>
      <c r="C5" s="9" t="s">
        <v>3</v>
      </c>
      <c r="D5" s="9">
        <v>1</v>
      </c>
      <c r="E5" s="27" t="s">
        <v>11</v>
      </c>
      <c r="F5" s="28">
        <f t="shared" si="0"/>
        <v>12</v>
      </c>
      <c r="G5" s="12" t="s">
        <v>31</v>
      </c>
      <c r="H5" s="33">
        <v>72000</v>
      </c>
      <c r="J5" s="8" t="s">
        <v>133</v>
      </c>
      <c r="AM5" s="19">
        <v>7</v>
      </c>
      <c r="AN5" s="14" t="s">
        <v>14</v>
      </c>
      <c r="AO5" s="22">
        <f>12/4</f>
        <v>3</v>
      </c>
    </row>
    <row r="6" spans="1:41" s="8" customFormat="1">
      <c r="B6" s="45"/>
      <c r="C6" s="9" t="s">
        <v>4</v>
      </c>
      <c r="D6" s="9">
        <v>1</v>
      </c>
      <c r="E6" s="27" t="s">
        <v>11</v>
      </c>
      <c r="F6" s="28">
        <f t="shared" si="0"/>
        <v>12</v>
      </c>
      <c r="G6" s="12" t="s">
        <v>32</v>
      </c>
      <c r="H6" s="33">
        <v>0</v>
      </c>
      <c r="J6" s="8" t="s">
        <v>134</v>
      </c>
      <c r="AM6" s="19">
        <v>8</v>
      </c>
      <c r="AN6" s="14" t="s">
        <v>15</v>
      </c>
      <c r="AO6" s="21">
        <f>12/6</f>
        <v>2</v>
      </c>
    </row>
    <row r="7" spans="1:41" s="8" customFormat="1">
      <c r="B7" s="45"/>
      <c r="C7" s="9" t="s">
        <v>5</v>
      </c>
      <c r="D7" s="9">
        <v>1</v>
      </c>
      <c r="E7" s="27" t="s">
        <v>11</v>
      </c>
      <c r="F7" s="28">
        <f t="shared" si="0"/>
        <v>12</v>
      </c>
      <c r="G7" s="12" t="s">
        <v>65</v>
      </c>
      <c r="H7" s="33">
        <v>10000</v>
      </c>
      <c r="AM7" s="19">
        <v>9</v>
      </c>
      <c r="AN7" s="14" t="s">
        <v>16</v>
      </c>
      <c r="AO7" s="20">
        <f>12/7</f>
        <v>1.7142857142857142</v>
      </c>
    </row>
    <row r="8" spans="1:41" s="8" customFormat="1">
      <c r="B8" s="45"/>
      <c r="C8" s="9" t="s">
        <v>6</v>
      </c>
      <c r="D8" s="9">
        <v>1</v>
      </c>
      <c r="E8" s="27" t="s">
        <v>11</v>
      </c>
      <c r="F8" s="28">
        <f t="shared" si="0"/>
        <v>12</v>
      </c>
      <c r="G8" s="12" t="s">
        <v>33</v>
      </c>
      <c r="H8" s="33">
        <v>29000</v>
      </c>
      <c r="AM8" s="19">
        <v>10</v>
      </c>
      <c r="AN8" s="14" t="s">
        <v>17</v>
      </c>
      <c r="AO8" s="20">
        <f>12/8</f>
        <v>1.5</v>
      </c>
    </row>
    <row r="9" spans="1:41" s="8" customFormat="1">
      <c r="B9" s="46"/>
      <c r="C9" s="9" t="s">
        <v>7</v>
      </c>
      <c r="D9" s="9"/>
      <c r="E9" s="27" t="s">
        <v>11</v>
      </c>
      <c r="F9" s="28">
        <f t="shared" si="0"/>
        <v>12</v>
      </c>
      <c r="G9" s="12" t="s">
        <v>67</v>
      </c>
      <c r="H9" s="33">
        <v>28000</v>
      </c>
      <c r="AM9" s="19">
        <v>11</v>
      </c>
      <c r="AN9" s="14" t="s">
        <v>18</v>
      </c>
      <c r="AO9" s="20">
        <f>12/9</f>
        <v>1.3333333333333333</v>
      </c>
    </row>
    <row r="10" spans="1:41" ht="38.25">
      <c r="B10" s="16">
        <v>2</v>
      </c>
      <c r="C10" s="6">
        <v>28</v>
      </c>
      <c r="D10" s="13" t="s">
        <v>29</v>
      </c>
      <c r="E10" s="13" t="s">
        <v>9</v>
      </c>
      <c r="F10" s="13"/>
      <c r="G10" s="13" t="s">
        <v>0</v>
      </c>
      <c r="H10" s="11" t="s">
        <v>8</v>
      </c>
      <c r="AM10" s="19">
        <v>12</v>
      </c>
      <c r="AN10" s="14" t="s">
        <v>19</v>
      </c>
      <c r="AO10" s="20">
        <f>12/10</f>
        <v>1.2</v>
      </c>
    </row>
    <row r="11" spans="1:41">
      <c r="A11" s="8"/>
      <c r="B11" s="40" t="s">
        <v>68</v>
      </c>
      <c r="C11" s="9" t="s">
        <v>99</v>
      </c>
      <c r="D11" s="9">
        <v>4</v>
      </c>
      <c r="E11" s="27" t="s">
        <v>11</v>
      </c>
      <c r="F11" s="28">
        <f>VLOOKUP(E11,$AN$1:$AO$23,2,FALSE)</f>
        <v>12</v>
      </c>
      <c r="G11" s="9" t="s">
        <v>137</v>
      </c>
      <c r="H11" s="33">
        <v>452</v>
      </c>
      <c r="I11" s="32"/>
      <c r="J11" s="34"/>
      <c r="K11" s="34"/>
      <c r="AM11" s="19">
        <v>15</v>
      </c>
      <c r="AN11" s="14" t="s">
        <v>20</v>
      </c>
      <c r="AO11" s="20">
        <f>1/2</f>
        <v>0.5</v>
      </c>
    </row>
    <row r="12" spans="1:41">
      <c r="A12" s="8"/>
      <c r="B12" s="40"/>
      <c r="C12" s="9" t="s">
        <v>138</v>
      </c>
      <c r="D12" s="9">
        <v>1</v>
      </c>
      <c r="E12" s="27" t="s">
        <v>13</v>
      </c>
      <c r="F12" s="28">
        <f t="shared" ref="F12:F13" si="1">VLOOKUP(E12,$AN$1:$AO$23,2,FALSE)</f>
        <v>4</v>
      </c>
      <c r="G12" s="9" t="s">
        <v>139</v>
      </c>
      <c r="H12" s="33">
        <v>4773</v>
      </c>
      <c r="I12" s="32"/>
      <c r="J12" s="34"/>
      <c r="K12" s="34"/>
      <c r="AM12" s="19"/>
      <c r="AN12" s="14"/>
      <c r="AO12" s="20"/>
    </row>
    <row r="13" spans="1:41">
      <c r="A13" s="8"/>
      <c r="B13" s="40"/>
      <c r="C13" s="9" t="s">
        <v>140</v>
      </c>
      <c r="D13" s="9">
        <v>1</v>
      </c>
      <c r="E13" s="27" t="s">
        <v>12</v>
      </c>
      <c r="F13" s="28">
        <f t="shared" si="1"/>
        <v>6</v>
      </c>
      <c r="G13" s="9" t="s">
        <v>141</v>
      </c>
      <c r="H13" s="33">
        <v>5100</v>
      </c>
      <c r="I13" s="32"/>
      <c r="J13" s="34"/>
      <c r="K13" s="34"/>
      <c r="AM13" s="19"/>
      <c r="AN13" s="14"/>
      <c r="AO13" s="20"/>
    </row>
    <row r="14" spans="1:41">
      <c r="A14" s="8"/>
      <c r="B14" s="40"/>
      <c r="C14" s="9" t="s">
        <v>69</v>
      </c>
      <c r="D14" s="9">
        <v>1</v>
      </c>
      <c r="E14" s="27" t="s">
        <v>11</v>
      </c>
      <c r="F14" s="28">
        <f t="shared" ref="F14:F37" si="2">VLOOKUP(E14,$AN$1:$AO$23,2,FALSE)</f>
        <v>12</v>
      </c>
      <c r="G14" s="9" t="s">
        <v>135</v>
      </c>
      <c r="H14" s="33">
        <v>12000</v>
      </c>
      <c r="I14" s="32"/>
      <c r="J14" s="34"/>
      <c r="K14" s="34"/>
      <c r="AM14" s="19">
        <v>16</v>
      </c>
      <c r="AN14" s="14" t="s">
        <v>21</v>
      </c>
      <c r="AO14" s="20">
        <f>1/3</f>
        <v>0.33333333333333331</v>
      </c>
    </row>
    <row r="15" spans="1:41">
      <c r="A15" s="8"/>
      <c r="B15" s="40"/>
      <c r="C15" s="9" t="s">
        <v>34</v>
      </c>
      <c r="D15" s="9">
        <v>1</v>
      </c>
      <c r="E15" s="27" t="s">
        <v>11</v>
      </c>
      <c r="F15" s="28">
        <f t="shared" si="2"/>
        <v>12</v>
      </c>
      <c r="G15" s="9" t="s">
        <v>71</v>
      </c>
      <c r="H15" s="33">
        <v>3483</v>
      </c>
      <c r="I15" s="32"/>
      <c r="J15" s="34"/>
      <c r="K15" s="34"/>
      <c r="AM15" s="19">
        <v>17</v>
      </c>
      <c r="AN15" s="14" t="s">
        <v>22</v>
      </c>
      <c r="AO15" s="20">
        <f>1/4</f>
        <v>0.25</v>
      </c>
    </row>
    <row r="16" spans="1:41">
      <c r="A16" s="8"/>
      <c r="B16" s="40"/>
      <c r="C16" s="9" t="s">
        <v>73</v>
      </c>
      <c r="D16" s="9">
        <v>1</v>
      </c>
      <c r="E16" s="27" t="s">
        <v>11</v>
      </c>
      <c r="F16" s="28">
        <f t="shared" si="2"/>
        <v>12</v>
      </c>
      <c r="G16" s="9" t="s">
        <v>72</v>
      </c>
      <c r="H16" s="33">
        <v>447</v>
      </c>
      <c r="I16" s="32"/>
      <c r="J16" s="34"/>
      <c r="K16" s="34"/>
      <c r="O16" s="36"/>
      <c r="AM16" s="19">
        <v>18</v>
      </c>
      <c r="AN16" s="14" t="s">
        <v>23</v>
      </c>
      <c r="AO16" s="20">
        <f>1/5</f>
        <v>0.2</v>
      </c>
    </row>
    <row r="17" spans="1:41">
      <c r="A17" s="8"/>
      <c r="B17" s="40"/>
      <c r="C17" s="9" t="s">
        <v>74</v>
      </c>
      <c r="D17" s="9">
        <v>1</v>
      </c>
      <c r="E17" s="27" t="s">
        <v>11</v>
      </c>
      <c r="F17" s="28">
        <f t="shared" si="2"/>
        <v>12</v>
      </c>
      <c r="G17" s="9" t="s">
        <v>75</v>
      </c>
      <c r="H17" s="33">
        <v>3807</v>
      </c>
      <c r="I17" s="32"/>
      <c r="J17" s="34"/>
      <c r="K17" s="34"/>
      <c r="AM17" s="19">
        <v>19</v>
      </c>
      <c r="AN17" s="14" t="s">
        <v>24</v>
      </c>
      <c r="AO17" s="20">
        <f>1/10</f>
        <v>0.1</v>
      </c>
    </row>
    <row r="18" spans="1:41">
      <c r="A18" s="8"/>
      <c r="B18" s="40"/>
      <c r="C18" s="9" t="s">
        <v>37</v>
      </c>
      <c r="D18" s="9">
        <v>8</v>
      </c>
      <c r="E18" s="27" t="s">
        <v>11</v>
      </c>
      <c r="F18" s="28">
        <f t="shared" si="2"/>
        <v>12</v>
      </c>
      <c r="G18" s="9" t="s">
        <v>76</v>
      </c>
      <c r="H18" s="33">
        <v>200</v>
      </c>
      <c r="I18" s="32"/>
      <c r="J18" s="34"/>
      <c r="K18" s="34"/>
      <c r="AM18" s="19">
        <v>20</v>
      </c>
      <c r="AN18" s="14" t="s">
        <v>25</v>
      </c>
      <c r="AO18" s="21">
        <f>1/20</f>
        <v>0.05</v>
      </c>
    </row>
    <row r="19" spans="1:41">
      <c r="A19" s="8"/>
      <c r="B19" s="40"/>
      <c r="C19" s="9" t="s">
        <v>39</v>
      </c>
      <c r="D19" s="9">
        <v>1</v>
      </c>
      <c r="E19" s="27" t="s">
        <v>11</v>
      </c>
      <c r="F19" s="28">
        <f t="shared" si="2"/>
        <v>12</v>
      </c>
      <c r="G19" s="9" t="s">
        <v>77</v>
      </c>
      <c r="H19" s="33">
        <v>2800</v>
      </c>
      <c r="I19" s="32"/>
      <c r="J19" s="34"/>
      <c r="K19" s="34"/>
      <c r="AM19" s="19">
        <v>21</v>
      </c>
      <c r="AN19" s="14" t="s">
        <v>7</v>
      </c>
      <c r="AO19" s="21">
        <v>0</v>
      </c>
    </row>
    <row r="20" spans="1:41">
      <c r="A20" s="8"/>
      <c r="B20" s="40"/>
      <c r="C20" s="9" t="s">
        <v>78</v>
      </c>
      <c r="D20" s="9">
        <v>1</v>
      </c>
      <c r="E20" s="27" t="s">
        <v>11</v>
      </c>
      <c r="F20" s="28">
        <f t="shared" si="2"/>
        <v>12</v>
      </c>
      <c r="G20" s="9" t="s">
        <v>79</v>
      </c>
      <c r="H20" s="33">
        <v>3100</v>
      </c>
      <c r="I20" s="32"/>
      <c r="J20" s="34"/>
      <c r="K20" s="34"/>
      <c r="AM20" s="19">
        <v>22</v>
      </c>
      <c r="AN20" s="14"/>
      <c r="AO20" s="21"/>
    </row>
    <row r="21" spans="1:41">
      <c r="A21" s="8"/>
      <c r="B21" s="40"/>
      <c r="C21" s="9" t="s">
        <v>35</v>
      </c>
      <c r="D21" s="9">
        <v>2</v>
      </c>
      <c r="E21" s="27" t="s">
        <v>11</v>
      </c>
      <c r="F21" s="28">
        <f t="shared" si="2"/>
        <v>12</v>
      </c>
      <c r="G21" s="9" t="s">
        <v>80</v>
      </c>
      <c r="H21" s="33">
        <v>3500</v>
      </c>
      <c r="I21" s="32"/>
      <c r="J21" s="34"/>
      <c r="K21" s="34"/>
      <c r="AM21" s="19">
        <v>23</v>
      </c>
      <c r="AN21" s="14"/>
      <c r="AO21" s="21"/>
    </row>
    <row r="22" spans="1:41">
      <c r="A22" s="8"/>
      <c r="B22" s="40"/>
      <c r="C22" s="9" t="s">
        <v>69</v>
      </c>
      <c r="D22" s="9">
        <v>2</v>
      </c>
      <c r="E22" s="27" t="s">
        <v>11</v>
      </c>
      <c r="F22" s="28">
        <f t="shared" si="2"/>
        <v>12</v>
      </c>
      <c r="G22" s="9" t="s">
        <v>70</v>
      </c>
      <c r="H22" s="33">
        <v>9730</v>
      </c>
      <c r="I22" s="32"/>
      <c r="J22" s="34"/>
      <c r="K22" s="34"/>
      <c r="AM22" s="37"/>
      <c r="AN22" s="38"/>
      <c r="AO22" s="39"/>
    </row>
    <row r="23" spans="1:41" ht="15.75" thickBot="1">
      <c r="A23" s="8"/>
      <c r="B23" s="40"/>
      <c r="C23" s="9" t="s">
        <v>82</v>
      </c>
      <c r="D23" s="9">
        <v>2</v>
      </c>
      <c r="E23" s="27" t="s">
        <v>11</v>
      </c>
      <c r="F23" s="28">
        <f t="shared" si="2"/>
        <v>12</v>
      </c>
      <c r="G23" s="9" t="s">
        <v>81</v>
      </c>
      <c r="H23" s="33">
        <v>3900</v>
      </c>
      <c r="I23" s="32"/>
      <c r="J23" s="34"/>
      <c r="K23" s="34"/>
      <c r="AM23" s="23">
        <v>24</v>
      </c>
      <c r="AN23" s="24"/>
      <c r="AO23" s="25">
        <v>0</v>
      </c>
    </row>
    <row r="24" spans="1:41">
      <c r="A24" s="8"/>
      <c r="B24" s="40"/>
      <c r="C24" s="9" t="s">
        <v>83</v>
      </c>
      <c r="D24" s="9">
        <v>1</v>
      </c>
      <c r="E24" s="27" t="s">
        <v>11</v>
      </c>
      <c r="F24" s="28">
        <f t="shared" si="2"/>
        <v>12</v>
      </c>
      <c r="G24" s="9" t="s">
        <v>84</v>
      </c>
      <c r="H24" s="33">
        <v>4514</v>
      </c>
      <c r="I24" s="32"/>
      <c r="J24" s="34"/>
      <c r="K24" s="34"/>
    </row>
    <row r="25" spans="1:41">
      <c r="A25" s="8"/>
      <c r="B25" s="40"/>
      <c r="C25" s="9" t="s">
        <v>85</v>
      </c>
      <c r="D25" s="9">
        <v>3</v>
      </c>
      <c r="E25" s="27" t="s">
        <v>12</v>
      </c>
      <c r="F25" s="28">
        <f t="shared" si="2"/>
        <v>6</v>
      </c>
      <c r="G25" s="9" t="s">
        <v>86</v>
      </c>
      <c r="H25" s="33"/>
      <c r="I25" s="32"/>
      <c r="J25" s="34"/>
      <c r="K25" s="34"/>
    </row>
    <row r="26" spans="1:41">
      <c r="A26" s="8"/>
      <c r="B26" s="40"/>
      <c r="C26" s="9" t="s">
        <v>93</v>
      </c>
      <c r="D26" s="9">
        <v>1</v>
      </c>
      <c r="E26" s="27" t="s">
        <v>11</v>
      </c>
      <c r="F26" s="28">
        <f t="shared" si="2"/>
        <v>12</v>
      </c>
      <c r="G26" s="9" t="s">
        <v>136</v>
      </c>
      <c r="H26" s="33">
        <v>6500</v>
      </c>
      <c r="I26" s="32"/>
      <c r="J26" s="34"/>
      <c r="K26" s="34"/>
    </row>
    <row r="27" spans="1:41">
      <c r="A27" s="8"/>
      <c r="B27" s="40"/>
      <c r="C27" s="9" t="s">
        <v>87</v>
      </c>
      <c r="D27" s="9">
        <v>6</v>
      </c>
      <c r="E27" s="27" t="s">
        <v>11</v>
      </c>
      <c r="F27" s="28">
        <f t="shared" si="2"/>
        <v>12</v>
      </c>
      <c r="G27" s="9" t="s">
        <v>88</v>
      </c>
      <c r="H27" s="33">
        <v>923</v>
      </c>
      <c r="I27" s="32"/>
      <c r="J27" s="34"/>
      <c r="K27" s="34"/>
    </row>
    <row r="28" spans="1:41">
      <c r="A28" s="8"/>
      <c r="B28" s="40"/>
      <c r="C28" s="9" t="s">
        <v>38</v>
      </c>
      <c r="D28" s="9">
        <v>1</v>
      </c>
      <c r="E28" s="27" t="s">
        <v>11</v>
      </c>
      <c r="F28" s="28">
        <f t="shared" si="2"/>
        <v>12</v>
      </c>
      <c r="G28" s="9" t="s">
        <v>89</v>
      </c>
      <c r="H28" s="33">
        <v>4592</v>
      </c>
      <c r="I28" s="32"/>
      <c r="J28" s="34"/>
      <c r="K28" s="34"/>
    </row>
    <row r="29" spans="1:41">
      <c r="A29" s="8"/>
      <c r="B29" s="40"/>
      <c r="C29" s="9" t="s">
        <v>90</v>
      </c>
      <c r="D29" s="9">
        <v>1</v>
      </c>
      <c r="E29" s="27" t="s">
        <v>11</v>
      </c>
      <c r="F29" s="28">
        <f t="shared" si="2"/>
        <v>12</v>
      </c>
      <c r="G29" s="9" t="s">
        <v>91</v>
      </c>
      <c r="H29" s="33">
        <v>1500</v>
      </c>
      <c r="I29" s="32"/>
      <c r="J29" s="34"/>
      <c r="K29" s="34"/>
    </row>
    <row r="30" spans="1:41">
      <c r="A30" s="8"/>
      <c r="B30" s="40"/>
      <c r="C30" s="9" t="s">
        <v>41</v>
      </c>
      <c r="D30" s="9">
        <v>1</v>
      </c>
      <c r="E30" s="27" t="s">
        <v>11</v>
      </c>
      <c r="F30" s="28">
        <f t="shared" si="2"/>
        <v>12</v>
      </c>
      <c r="G30" s="9" t="s">
        <v>92</v>
      </c>
      <c r="H30" s="33">
        <v>1500</v>
      </c>
      <c r="I30" s="32"/>
      <c r="J30" s="34"/>
      <c r="K30" s="34"/>
    </row>
    <row r="31" spans="1:41">
      <c r="A31" s="8"/>
      <c r="B31" s="40"/>
      <c r="C31" s="9" t="s">
        <v>93</v>
      </c>
      <c r="D31" s="9">
        <v>1</v>
      </c>
      <c r="E31" s="27" t="s">
        <v>11</v>
      </c>
      <c r="F31" s="28">
        <f t="shared" si="2"/>
        <v>12</v>
      </c>
      <c r="G31" s="9" t="s">
        <v>94</v>
      </c>
      <c r="H31" s="33">
        <v>5028</v>
      </c>
      <c r="I31" s="32"/>
      <c r="J31" s="34"/>
      <c r="K31" s="34"/>
    </row>
    <row r="32" spans="1:41">
      <c r="A32" s="8"/>
      <c r="B32" s="40"/>
      <c r="C32" s="9" t="s">
        <v>95</v>
      </c>
      <c r="D32" s="9">
        <v>2</v>
      </c>
      <c r="E32" s="27" t="s">
        <v>11</v>
      </c>
      <c r="F32" s="28">
        <f t="shared" si="2"/>
        <v>12</v>
      </c>
      <c r="G32" s="9" t="s">
        <v>97</v>
      </c>
      <c r="H32" s="33">
        <v>500</v>
      </c>
      <c r="I32" s="32"/>
      <c r="J32" s="34"/>
      <c r="K32" s="34"/>
    </row>
    <row r="33" spans="1:11">
      <c r="A33" s="8"/>
      <c r="B33" s="40"/>
      <c r="C33" s="9" t="s">
        <v>96</v>
      </c>
      <c r="D33" s="9">
        <v>1</v>
      </c>
      <c r="E33" s="27" t="s">
        <v>11</v>
      </c>
      <c r="F33" s="28">
        <f t="shared" si="2"/>
        <v>12</v>
      </c>
      <c r="G33" s="9" t="s">
        <v>98</v>
      </c>
      <c r="H33" s="33">
        <v>1300</v>
      </c>
      <c r="I33" s="32"/>
      <c r="J33" s="34"/>
      <c r="K33" s="34"/>
    </row>
    <row r="34" spans="1:11">
      <c r="A34" s="8"/>
      <c r="B34" s="40"/>
      <c r="C34" s="9" t="s">
        <v>99</v>
      </c>
      <c r="D34" s="9">
        <v>1</v>
      </c>
      <c r="E34" s="27" t="s">
        <v>11</v>
      </c>
      <c r="F34" s="28">
        <f t="shared" si="2"/>
        <v>12</v>
      </c>
      <c r="G34" s="9" t="s">
        <v>100</v>
      </c>
      <c r="H34" s="33">
        <v>6182</v>
      </c>
      <c r="I34" s="32"/>
      <c r="J34" s="34"/>
      <c r="K34" s="34"/>
    </row>
    <row r="35" spans="1:11">
      <c r="A35" s="8"/>
      <c r="B35" s="40"/>
      <c r="C35" s="9" t="s">
        <v>99</v>
      </c>
      <c r="D35" s="9">
        <v>1</v>
      </c>
      <c r="E35" s="27" t="s">
        <v>11</v>
      </c>
      <c r="F35" s="28">
        <f t="shared" si="2"/>
        <v>12</v>
      </c>
      <c r="G35" s="9" t="s">
        <v>101</v>
      </c>
      <c r="H35" s="33">
        <v>600</v>
      </c>
      <c r="I35" s="32"/>
      <c r="J35" s="34"/>
      <c r="K35" s="34"/>
    </row>
    <row r="36" spans="1:11">
      <c r="A36" s="8"/>
      <c r="B36" s="40"/>
      <c r="C36" s="9" t="s">
        <v>36</v>
      </c>
      <c r="D36" s="9">
        <v>1</v>
      </c>
      <c r="E36" s="27" t="s">
        <v>13</v>
      </c>
      <c r="F36" s="28">
        <f t="shared" si="2"/>
        <v>4</v>
      </c>
      <c r="G36" s="9" t="s">
        <v>102</v>
      </c>
      <c r="H36" s="33">
        <v>10200</v>
      </c>
      <c r="I36" s="32"/>
      <c r="J36" s="34"/>
      <c r="K36" s="34"/>
    </row>
    <row r="37" spans="1:11">
      <c r="A37" s="8"/>
      <c r="B37" s="40"/>
      <c r="C37" s="9" t="s">
        <v>40</v>
      </c>
      <c r="D37" s="9">
        <v>1</v>
      </c>
      <c r="E37" s="27" t="s">
        <v>11</v>
      </c>
      <c r="F37" s="28">
        <f t="shared" si="2"/>
        <v>12</v>
      </c>
      <c r="G37" s="9" t="s">
        <v>103</v>
      </c>
      <c r="H37" s="33">
        <v>783</v>
      </c>
      <c r="I37" s="32"/>
      <c r="J37" s="34"/>
      <c r="K37" s="34"/>
    </row>
    <row r="38" spans="1:11" ht="38.25">
      <c r="B38" s="16">
        <v>3</v>
      </c>
      <c r="C38" s="6">
        <v>28</v>
      </c>
      <c r="D38" s="13" t="s">
        <v>29</v>
      </c>
      <c r="E38" s="13" t="s">
        <v>9</v>
      </c>
      <c r="F38" s="13"/>
      <c r="G38" s="13" t="s">
        <v>0</v>
      </c>
      <c r="H38" s="17" t="s">
        <v>8</v>
      </c>
    </row>
    <row r="39" spans="1:11">
      <c r="A39" s="8"/>
      <c r="B39" s="40"/>
      <c r="C39" s="9" t="s">
        <v>45</v>
      </c>
      <c r="D39" s="9">
        <v>1</v>
      </c>
      <c r="E39" s="27" t="s">
        <v>11</v>
      </c>
      <c r="F39" s="28">
        <f t="shared" ref="F39:F46" si="3">VLOOKUP(E39,$AN$1:$AO$23,2,FALSE)</f>
        <v>12</v>
      </c>
      <c r="G39" s="12" t="s">
        <v>46</v>
      </c>
      <c r="H39" s="33">
        <v>3000</v>
      </c>
    </row>
    <row r="40" spans="1:11">
      <c r="A40" s="8"/>
      <c r="B40" s="40"/>
      <c r="C40" s="9" t="s">
        <v>47</v>
      </c>
      <c r="D40" s="9">
        <v>1</v>
      </c>
      <c r="E40" s="27" t="s">
        <v>11</v>
      </c>
      <c r="F40" s="28">
        <f t="shared" si="3"/>
        <v>12</v>
      </c>
      <c r="G40" s="12" t="s">
        <v>48</v>
      </c>
      <c r="H40" s="33">
        <v>1900</v>
      </c>
    </row>
    <row r="41" spans="1:11">
      <c r="A41" s="8"/>
      <c r="B41" s="40"/>
      <c r="C41" s="9" t="s">
        <v>49</v>
      </c>
      <c r="D41" s="9">
        <v>1</v>
      </c>
      <c r="E41" s="27" t="s">
        <v>11</v>
      </c>
      <c r="F41" s="28">
        <f t="shared" si="3"/>
        <v>12</v>
      </c>
      <c r="G41" s="12" t="s">
        <v>50</v>
      </c>
      <c r="H41" s="33">
        <v>6000</v>
      </c>
    </row>
    <row r="42" spans="1:11">
      <c r="A42" s="8"/>
      <c r="B42" s="40"/>
      <c r="C42" s="9" t="s">
        <v>42</v>
      </c>
      <c r="D42" s="9">
        <v>1</v>
      </c>
      <c r="E42" s="27" t="s">
        <v>11</v>
      </c>
      <c r="F42" s="28">
        <f t="shared" si="3"/>
        <v>12</v>
      </c>
      <c r="G42" s="12" t="s">
        <v>43</v>
      </c>
      <c r="H42" s="33">
        <v>7000</v>
      </c>
    </row>
    <row r="43" spans="1:11">
      <c r="A43" s="8"/>
      <c r="B43" s="40"/>
      <c r="C43" s="9" t="s">
        <v>42</v>
      </c>
      <c r="D43" s="9">
        <v>6</v>
      </c>
      <c r="E43" s="27" t="s">
        <v>11</v>
      </c>
      <c r="F43" s="28">
        <f t="shared" si="3"/>
        <v>12</v>
      </c>
      <c r="G43" s="12" t="s">
        <v>44</v>
      </c>
      <c r="H43" s="33">
        <v>833</v>
      </c>
    </row>
    <row r="44" spans="1:11">
      <c r="A44" s="8"/>
      <c r="B44" s="40"/>
      <c r="C44" s="9" t="s">
        <v>51</v>
      </c>
      <c r="D44" s="9">
        <v>1</v>
      </c>
      <c r="E44" s="27" t="s">
        <v>11</v>
      </c>
      <c r="F44" s="28">
        <f t="shared" si="3"/>
        <v>12</v>
      </c>
      <c r="G44" s="12" t="s">
        <v>52</v>
      </c>
      <c r="H44" s="33">
        <f>9000*D44</f>
        <v>9000</v>
      </c>
    </row>
    <row r="45" spans="1:11">
      <c r="A45" s="8"/>
      <c r="B45" s="40"/>
      <c r="C45" s="9" t="s">
        <v>53</v>
      </c>
      <c r="D45" s="9">
        <v>1</v>
      </c>
      <c r="E45" s="27" t="s">
        <v>11</v>
      </c>
      <c r="F45" s="28">
        <f t="shared" si="3"/>
        <v>12</v>
      </c>
      <c r="G45" s="12" t="s">
        <v>54</v>
      </c>
      <c r="H45" s="33">
        <v>8000</v>
      </c>
    </row>
    <row r="46" spans="1:11">
      <c r="A46" s="8"/>
      <c r="B46" s="40"/>
      <c r="C46" s="9" t="s">
        <v>53</v>
      </c>
      <c r="D46" s="9">
        <v>1</v>
      </c>
      <c r="E46" s="27" t="s">
        <v>11</v>
      </c>
      <c r="F46" s="28">
        <f t="shared" si="3"/>
        <v>12</v>
      </c>
      <c r="G46" s="12" t="s">
        <v>55</v>
      </c>
      <c r="H46" s="33">
        <f>8000*D46</f>
        <v>8000</v>
      </c>
    </row>
    <row r="47" spans="1:11" ht="38.25">
      <c r="B47" s="7">
        <v>4</v>
      </c>
      <c r="C47" s="6">
        <v>28</v>
      </c>
      <c r="D47" s="13" t="s">
        <v>29</v>
      </c>
      <c r="E47" s="13" t="s">
        <v>9</v>
      </c>
      <c r="F47" s="13"/>
      <c r="G47" s="13" t="s">
        <v>0</v>
      </c>
      <c r="H47" s="35" t="s">
        <v>8</v>
      </c>
    </row>
    <row r="48" spans="1:11" ht="12.75" customHeight="1">
      <c r="A48" s="8"/>
      <c r="B48" s="40"/>
      <c r="C48" s="9" t="s">
        <v>105</v>
      </c>
      <c r="D48" s="9">
        <v>1</v>
      </c>
      <c r="E48" s="27" t="s">
        <v>11</v>
      </c>
      <c r="F48" s="28">
        <f t="shared" ref="F48:F69" si="4">VLOOKUP(E48,$AN$1:$AO$23,2,FALSE)</f>
        <v>12</v>
      </c>
      <c r="G48" s="12" t="s">
        <v>106</v>
      </c>
      <c r="H48" s="33"/>
    </row>
    <row r="49" spans="1:8" ht="12.75" customHeight="1">
      <c r="A49" s="8"/>
      <c r="B49" s="40"/>
      <c r="C49" s="9" t="s">
        <v>62</v>
      </c>
      <c r="D49" s="9">
        <v>6</v>
      </c>
      <c r="E49" s="27" t="s">
        <v>11</v>
      </c>
      <c r="F49" s="28">
        <f t="shared" si="4"/>
        <v>12</v>
      </c>
      <c r="G49" s="12" t="s">
        <v>107</v>
      </c>
      <c r="H49" s="33"/>
    </row>
    <row r="50" spans="1:8" ht="12.75" customHeight="1">
      <c r="A50" s="8"/>
      <c r="B50" s="40"/>
      <c r="C50" s="9" t="s">
        <v>62</v>
      </c>
      <c r="D50" s="9">
        <v>6</v>
      </c>
      <c r="E50" s="27" t="s">
        <v>11</v>
      </c>
      <c r="F50" s="28">
        <f t="shared" si="4"/>
        <v>12</v>
      </c>
      <c r="G50" s="12" t="s">
        <v>108</v>
      </c>
      <c r="H50" s="33"/>
    </row>
    <row r="51" spans="1:8" ht="12.75" customHeight="1">
      <c r="A51" s="8"/>
      <c r="B51" s="40"/>
      <c r="C51" s="9" t="s">
        <v>109</v>
      </c>
      <c r="D51" s="9">
        <v>8</v>
      </c>
      <c r="E51" s="27" t="s">
        <v>11</v>
      </c>
      <c r="F51" s="28">
        <f t="shared" si="4"/>
        <v>12</v>
      </c>
      <c r="G51" s="12" t="s">
        <v>110</v>
      </c>
      <c r="H51" s="33"/>
    </row>
    <row r="52" spans="1:8" ht="12.75" customHeight="1">
      <c r="A52" s="8"/>
      <c r="B52" s="40"/>
      <c r="C52" s="9" t="s">
        <v>109</v>
      </c>
      <c r="D52" s="9">
        <v>8</v>
      </c>
      <c r="E52" s="27" t="s">
        <v>11</v>
      </c>
      <c r="F52" s="28">
        <f t="shared" si="4"/>
        <v>12</v>
      </c>
      <c r="G52" s="12" t="s">
        <v>111</v>
      </c>
      <c r="H52" s="33"/>
    </row>
    <row r="53" spans="1:8" ht="12.75" customHeight="1">
      <c r="A53" s="8"/>
      <c r="B53" s="40"/>
      <c r="C53" s="9" t="s">
        <v>109</v>
      </c>
      <c r="D53" s="9">
        <v>3</v>
      </c>
      <c r="E53" s="27" t="s">
        <v>11</v>
      </c>
      <c r="F53" s="28">
        <f t="shared" si="4"/>
        <v>12</v>
      </c>
      <c r="G53" s="12" t="s">
        <v>112</v>
      </c>
      <c r="H53" s="33"/>
    </row>
    <row r="54" spans="1:8" ht="12.75" customHeight="1">
      <c r="A54" s="8"/>
      <c r="B54" s="40"/>
      <c r="C54" s="9" t="s">
        <v>63</v>
      </c>
      <c r="D54" s="9">
        <v>3</v>
      </c>
      <c r="E54" s="27" t="s">
        <v>11</v>
      </c>
      <c r="F54" s="28">
        <f t="shared" si="4"/>
        <v>12</v>
      </c>
      <c r="G54" s="12" t="s">
        <v>114</v>
      </c>
      <c r="H54" s="33"/>
    </row>
    <row r="55" spans="1:8" ht="12.75" customHeight="1">
      <c r="A55" s="8"/>
      <c r="B55" s="40"/>
      <c r="C55" s="9" t="s">
        <v>57</v>
      </c>
      <c r="D55" s="9">
        <v>3</v>
      </c>
      <c r="E55" s="27" t="s">
        <v>11</v>
      </c>
      <c r="F55" s="28">
        <f t="shared" si="4"/>
        <v>12</v>
      </c>
      <c r="G55" s="12" t="s">
        <v>115</v>
      </c>
      <c r="H55" s="33"/>
    </row>
    <row r="56" spans="1:8">
      <c r="A56" s="8"/>
      <c r="B56" s="40"/>
      <c r="C56" s="9" t="s">
        <v>116</v>
      </c>
      <c r="D56" s="9">
        <v>1</v>
      </c>
      <c r="E56" s="27" t="s">
        <v>11</v>
      </c>
      <c r="F56" s="28">
        <f t="shared" si="4"/>
        <v>12</v>
      </c>
      <c r="G56" s="12" t="s">
        <v>117</v>
      </c>
      <c r="H56" s="33"/>
    </row>
    <row r="57" spans="1:8">
      <c r="A57" s="8"/>
      <c r="B57" s="40"/>
      <c r="C57" s="9" t="s">
        <v>62</v>
      </c>
      <c r="D57" s="9">
        <v>6</v>
      </c>
      <c r="E57" s="27" t="s">
        <v>11</v>
      </c>
      <c r="F57" s="28">
        <f t="shared" si="4"/>
        <v>12</v>
      </c>
      <c r="G57" s="12" t="s">
        <v>113</v>
      </c>
      <c r="H57" s="33"/>
    </row>
    <row r="58" spans="1:8">
      <c r="A58" s="8"/>
      <c r="B58" s="40"/>
      <c r="C58" s="9" t="s">
        <v>118</v>
      </c>
      <c r="D58" s="9">
        <v>1</v>
      </c>
      <c r="E58" s="27" t="s">
        <v>11</v>
      </c>
      <c r="F58" s="28">
        <f t="shared" si="4"/>
        <v>12</v>
      </c>
      <c r="G58" s="12" t="s">
        <v>119</v>
      </c>
      <c r="H58" s="33"/>
    </row>
    <row r="59" spans="1:8">
      <c r="A59" s="8"/>
      <c r="B59" s="40"/>
      <c r="C59" s="9" t="s">
        <v>120</v>
      </c>
      <c r="D59" s="9">
        <v>1</v>
      </c>
      <c r="E59" s="27" t="s">
        <v>11</v>
      </c>
      <c r="F59" s="28">
        <f t="shared" si="4"/>
        <v>12</v>
      </c>
      <c r="G59" s="12" t="s">
        <v>121</v>
      </c>
      <c r="H59" s="33"/>
    </row>
    <row r="60" spans="1:8">
      <c r="A60" s="8"/>
      <c r="B60" s="40"/>
      <c r="C60" s="9" t="s">
        <v>59</v>
      </c>
      <c r="D60" s="9">
        <v>1</v>
      </c>
      <c r="E60" s="27" t="s">
        <v>11</v>
      </c>
      <c r="F60" s="28">
        <f t="shared" si="4"/>
        <v>12</v>
      </c>
      <c r="G60" s="12" t="s">
        <v>122</v>
      </c>
      <c r="H60" s="33"/>
    </row>
    <row r="61" spans="1:8">
      <c r="A61" s="8"/>
      <c r="B61" s="40"/>
      <c r="C61" s="9" t="s">
        <v>42</v>
      </c>
      <c r="D61" s="9">
        <v>2</v>
      </c>
      <c r="E61" s="27" t="s">
        <v>11</v>
      </c>
      <c r="F61" s="28">
        <f t="shared" si="4"/>
        <v>12</v>
      </c>
      <c r="G61" s="9" t="s">
        <v>123</v>
      </c>
      <c r="H61" s="33"/>
    </row>
    <row r="62" spans="1:8">
      <c r="A62" s="8"/>
      <c r="B62" s="40"/>
      <c r="C62" s="9" t="s">
        <v>58</v>
      </c>
      <c r="D62" s="9">
        <v>2</v>
      </c>
      <c r="E62" s="27" t="s">
        <v>11</v>
      </c>
      <c r="F62" s="28">
        <f t="shared" si="4"/>
        <v>12</v>
      </c>
      <c r="G62" s="9" t="s">
        <v>124</v>
      </c>
      <c r="H62" s="33"/>
    </row>
    <row r="63" spans="1:8">
      <c r="A63" s="8"/>
      <c r="B63" s="40"/>
      <c r="C63" s="9" t="s">
        <v>53</v>
      </c>
      <c r="D63" s="9">
        <v>1</v>
      </c>
      <c r="E63" s="27" t="s">
        <v>11</v>
      </c>
      <c r="F63" s="28">
        <f t="shared" si="4"/>
        <v>12</v>
      </c>
      <c r="G63" s="9" t="s">
        <v>125</v>
      </c>
      <c r="H63" s="33"/>
    </row>
    <row r="64" spans="1:8">
      <c r="A64" s="8"/>
      <c r="B64" s="40"/>
      <c r="C64" s="9" t="s">
        <v>56</v>
      </c>
      <c r="D64" s="9">
        <v>1</v>
      </c>
      <c r="E64" s="27" t="s">
        <v>11</v>
      </c>
      <c r="F64" s="28">
        <f t="shared" si="4"/>
        <v>12</v>
      </c>
      <c r="G64" s="12" t="s">
        <v>104</v>
      </c>
      <c r="H64" s="33"/>
    </row>
    <row r="65" spans="1:40">
      <c r="A65" s="8"/>
      <c r="B65" s="40"/>
      <c r="C65" s="9" t="s">
        <v>61</v>
      </c>
      <c r="D65" s="9">
        <v>1</v>
      </c>
      <c r="E65" s="27" t="s">
        <v>11</v>
      </c>
      <c r="F65" s="28">
        <f t="shared" si="4"/>
        <v>12</v>
      </c>
      <c r="G65" s="12" t="s">
        <v>126</v>
      </c>
      <c r="H65" s="33"/>
    </row>
    <row r="66" spans="1:40">
      <c r="A66" s="8"/>
      <c r="B66" s="40"/>
      <c r="C66" s="9" t="s">
        <v>60</v>
      </c>
      <c r="D66" s="9">
        <v>1</v>
      </c>
      <c r="E66" s="27" t="s">
        <v>12</v>
      </c>
      <c r="F66" s="28">
        <f t="shared" si="4"/>
        <v>6</v>
      </c>
      <c r="G66" s="12" t="s">
        <v>127</v>
      </c>
      <c r="H66" s="33"/>
    </row>
    <row r="67" spans="1:40">
      <c r="A67" s="8"/>
      <c r="B67" s="40"/>
      <c r="C67" s="9" t="s">
        <v>128</v>
      </c>
      <c r="D67" s="9">
        <v>1</v>
      </c>
      <c r="E67" s="27" t="s">
        <v>15</v>
      </c>
      <c r="F67" s="28">
        <f t="shared" si="4"/>
        <v>2</v>
      </c>
      <c r="G67" s="12" t="s">
        <v>129</v>
      </c>
      <c r="H67" s="33"/>
    </row>
    <row r="68" spans="1:40">
      <c r="A68" s="8"/>
      <c r="B68" s="40"/>
      <c r="C68" s="9" t="s">
        <v>130</v>
      </c>
      <c r="D68" s="9">
        <v>6</v>
      </c>
      <c r="E68" s="27" t="s">
        <v>11</v>
      </c>
      <c r="F68" s="28">
        <f t="shared" si="4"/>
        <v>12</v>
      </c>
      <c r="G68" s="12" t="s">
        <v>131</v>
      </c>
      <c r="H68" s="33"/>
    </row>
    <row r="69" spans="1:40">
      <c r="A69" s="8"/>
      <c r="B69" s="40"/>
      <c r="C69" s="9" t="s">
        <v>64</v>
      </c>
      <c r="D69" s="9">
        <v>1</v>
      </c>
      <c r="E69" s="27" t="s">
        <v>11</v>
      </c>
      <c r="F69" s="28">
        <f t="shared" si="4"/>
        <v>12</v>
      </c>
      <c r="G69" s="12" t="s">
        <v>132</v>
      </c>
      <c r="H69" s="33"/>
    </row>
    <row r="70" spans="1:40" ht="15" customHeight="1">
      <c r="H70" s="18"/>
    </row>
    <row r="71" spans="1:40" ht="15" customHeight="1">
      <c r="H71" s="18"/>
    </row>
    <row r="72" spans="1:40" ht="15" customHeight="1">
      <c r="H72" s="18"/>
    </row>
    <row r="73" spans="1:40" ht="15" customHeight="1">
      <c r="H73" s="18"/>
    </row>
    <row r="74" spans="1:40" ht="15" customHeight="1">
      <c r="H74" s="18"/>
      <c r="AM74" s="26"/>
      <c r="AN74" s="26"/>
    </row>
    <row r="75" spans="1:40" ht="15" customHeight="1">
      <c r="H75" s="18"/>
      <c r="AM75" s="26"/>
      <c r="AN75" s="26"/>
    </row>
    <row r="76" spans="1:40" ht="15" customHeight="1">
      <c r="H76" s="18"/>
      <c r="AM76" s="26"/>
      <c r="AN76" s="26"/>
    </row>
    <row r="77" spans="1:40" ht="15" customHeight="1">
      <c r="H77" s="18"/>
      <c r="AM77" s="26"/>
      <c r="AN77" s="26"/>
    </row>
    <row r="78" spans="1:40" ht="15" customHeight="1">
      <c r="H78" s="18"/>
      <c r="AM78" s="26"/>
      <c r="AN78" s="26"/>
    </row>
    <row r="79" spans="1:40" ht="15" customHeight="1">
      <c r="H79" s="18"/>
      <c r="AM79" s="26"/>
      <c r="AN79" s="26"/>
    </row>
    <row r="80" spans="1:40" ht="15" customHeight="1">
      <c r="H80" s="18"/>
      <c r="AM80" s="26"/>
      <c r="AN80" s="26"/>
    </row>
    <row r="81" spans="7:41" ht="15" customHeight="1">
      <c r="H81" s="18"/>
      <c r="AM81" s="26"/>
      <c r="AN81" s="26"/>
    </row>
    <row r="82" spans="7:41" ht="15" customHeight="1">
      <c r="H82" s="18"/>
      <c r="AM82" s="26"/>
      <c r="AN82" s="26"/>
    </row>
    <row r="83" spans="7:41" s="3" customFormat="1" ht="15" customHeight="1">
      <c r="G83" s="10"/>
      <c r="H83" s="18"/>
      <c r="I83" s="1"/>
      <c r="J83" s="1"/>
      <c r="K83" s="1"/>
      <c r="L83" s="1"/>
      <c r="AM83" s="26"/>
      <c r="AN83" s="26"/>
      <c r="AO83"/>
    </row>
    <row r="84" spans="7:41" s="3" customFormat="1" ht="15" customHeight="1">
      <c r="G84" s="10"/>
      <c r="H84" s="18"/>
      <c r="I84" s="1"/>
      <c r="J84" s="1"/>
      <c r="K84" s="1"/>
      <c r="L84" s="1"/>
      <c r="AM84" s="26"/>
      <c r="AN84" s="26"/>
      <c r="AO84"/>
    </row>
    <row r="85" spans="7:41" s="3" customFormat="1" ht="15" customHeight="1">
      <c r="G85" s="10"/>
      <c r="H85" s="18"/>
      <c r="I85" s="1"/>
      <c r="J85" s="1"/>
      <c r="K85" s="1"/>
      <c r="L85" s="1"/>
      <c r="AM85"/>
      <c r="AN85"/>
      <c r="AO85"/>
    </row>
    <row r="86" spans="7:41" s="3" customFormat="1" ht="15" customHeight="1">
      <c r="G86" s="10"/>
      <c r="H86" s="18"/>
      <c r="I86" s="1"/>
      <c r="J86" s="1"/>
      <c r="K86" s="1"/>
      <c r="L86" s="1"/>
      <c r="AM86"/>
      <c r="AN86"/>
      <c r="AO86"/>
    </row>
    <row r="87" spans="7:41" s="3" customFormat="1" ht="15" customHeight="1">
      <c r="G87" s="10"/>
      <c r="H87" s="18"/>
      <c r="I87" s="1"/>
      <c r="J87" s="1"/>
      <c r="K87" s="1"/>
      <c r="L87" s="1"/>
      <c r="AM87"/>
      <c r="AN87"/>
      <c r="AO87"/>
    </row>
    <row r="88" spans="7:41" s="3" customFormat="1" ht="15" customHeight="1">
      <c r="G88" s="10"/>
      <c r="H88" s="18"/>
      <c r="I88" s="1"/>
      <c r="J88" s="1"/>
      <c r="K88" s="1"/>
      <c r="L88" s="1"/>
      <c r="AM88"/>
      <c r="AN88"/>
      <c r="AO88"/>
    </row>
    <row r="89" spans="7:41" s="3" customFormat="1" ht="15" customHeight="1">
      <c r="G89" s="10"/>
      <c r="H89" s="18"/>
      <c r="I89" s="1"/>
      <c r="J89" s="1"/>
      <c r="K89" s="1"/>
      <c r="L89" s="1"/>
      <c r="AM89"/>
      <c r="AN89"/>
      <c r="AO89"/>
    </row>
    <row r="90" spans="7:41" s="3" customFormat="1" ht="15" customHeight="1">
      <c r="G90" s="10"/>
      <c r="H90" s="18"/>
      <c r="I90" s="1"/>
      <c r="J90" s="1"/>
      <c r="K90" s="1"/>
      <c r="L90" s="1"/>
      <c r="AM90"/>
      <c r="AN90"/>
      <c r="AO90"/>
    </row>
    <row r="91" spans="7:41" s="3" customFormat="1" ht="15" customHeight="1">
      <c r="G91" s="10"/>
      <c r="H91" s="2"/>
      <c r="I91" s="1"/>
      <c r="J91" s="1"/>
      <c r="K91" s="1"/>
      <c r="L91" s="1"/>
      <c r="AM91"/>
      <c r="AN91"/>
      <c r="AO91"/>
    </row>
    <row r="92" spans="7:41" s="3" customFormat="1" ht="15" customHeight="1">
      <c r="G92" s="10"/>
      <c r="H92" s="2"/>
      <c r="I92" s="1"/>
      <c r="J92" s="1"/>
      <c r="K92" s="1"/>
      <c r="L92" s="1"/>
      <c r="AM92"/>
      <c r="AN92"/>
      <c r="AO92"/>
    </row>
    <row r="93" spans="7:41" s="3" customFormat="1" ht="15" customHeight="1">
      <c r="G93" s="10"/>
      <c r="H93" s="2"/>
      <c r="I93" s="1"/>
      <c r="J93" s="1"/>
      <c r="K93" s="1"/>
      <c r="L93" s="1"/>
      <c r="AM93"/>
      <c r="AN93"/>
      <c r="AO93"/>
    </row>
    <row r="94" spans="7:41" s="3" customFormat="1" ht="15" customHeight="1">
      <c r="G94" s="10"/>
      <c r="H94" s="2"/>
      <c r="I94" s="1"/>
      <c r="J94" s="1"/>
      <c r="K94" s="1"/>
      <c r="L94" s="1"/>
      <c r="AM94"/>
      <c r="AN94"/>
      <c r="AO94"/>
    </row>
    <row r="95" spans="7:41" s="3" customFormat="1" ht="15" customHeight="1">
      <c r="G95" s="10"/>
      <c r="H95" s="2"/>
      <c r="I95" s="1"/>
      <c r="J95" s="1"/>
      <c r="K95" s="1"/>
      <c r="L95" s="1"/>
      <c r="AM95"/>
      <c r="AN95"/>
      <c r="AO95"/>
    </row>
    <row r="96" spans="7: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ht="15" customHeight="1"/>
    <row r="100" spans="7:41" ht="15" customHeight="1"/>
    <row r="101" spans="7:41" ht="15" customHeight="1"/>
    <row r="103" spans="7:41" ht="15.75" thickBot="1"/>
    <row r="104" spans="7:41" ht="18.75" thickBot="1">
      <c r="H104" s="15"/>
    </row>
    <row r="105" spans="7:41">
      <c r="H105" s="5"/>
    </row>
    <row r="106" spans="7:41">
      <c r="H106" s="5"/>
    </row>
    <row r="107" spans="7:41">
      <c r="H107" s="5"/>
    </row>
    <row r="108" spans="7:41">
      <c r="H108" s="5"/>
    </row>
    <row r="109" spans="7:41">
      <c r="H109" s="5"/>
    </row>
    <row r="110" spans="7:41">
      <c r="H110" s="5"/>
    </row>
    <row r="111" spans="7:41">
      <c r="H111" s="4"/>
    </row>
    <row r="112" spans="7:41">
      <c r="H112" s="5"/>
    </row>
    <row r="113" spans="8:8">
      <c r="H113" s="5"/>
    </row>
    <row r="114" spans="8:8">
      <c r="H114" s="5"/>
    </row>
    <row r="115" spans="8:8">
      <c r="H115" s="5"/>
    </row>
    <row r="116" spans="8:8">
      <c r="H116" s="5"/>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sheetData>
  <protectedRanges>
    <protectedRange sqref="E4:E9 E11:E37 E39:E46 E48:E53 E54:E69" name="Ingreso"/>
  </protectedRanges>
  <mergeCells count="5">
    <mergeCell ref="B39:B46"/>
    <mergeCell ref="B48:B69"/>
    <mergeCell ref="D2:G2"/>
    <mergeCell ref="B4:B9"/>
    <mergeCell ref="B11:B37"/>
  </mergeCells>
  <conditionalFormatting sqref="F4 F11 F27:F37 F23:F25 F14:F21 F39:F41 F48:F57">
    <cfRule type="cellIs" dxfId="8" priority="14" stopIfTrue="1" operator="equal">
      <formula>0</formula>
    </cfRule>
  </conditionalFormatting>
  <conditionalFormatting sqref="F5:F9">
    <cfRule type="cellIs" dxfId="7" priority="13" stopIfTrue="1" operator="equal">
      <formula>0</formula>
    </cfRule>
  </conditionalFormatting>
  <conditionalFormatting sqref="F44:F46">
    <cfRule type="cellIs" dxfId="6" priority="11" stopIfTrue="1" operator="equal">
      <formula>0</formula>
    </cfRule>
  </conditionalFormatting>
  <conditionalFormatting sqref="F65:F69 F58:F63">
    <cfRule type="cellIs" dxfId="5" priority="6" stopIfTrue="1" operator="equal">
      <formula>0</formula>
    </cfRule>
  </conditionalFormatting>
  <conditionalFormatting sqref="F26">
    <cfRule type="cellIs" dxfId="4" priority="5" stopIfTrue="1" operator="equal">
      <formula>0</formula>
    </cfRule>
  </conditionalFormatting>
  <conditionalFormatting sqref="F22">
    <cfRule type="cellIs" dxfId="3" priority="4" stopIfTrue="1" operator="equal">
      <formula>0</formula>
    </cfRule>
  </conditionalFormatting>
  <conditionalFormatting sqref="F12:F13">
    <cfRule type="cellIs" dxfId="2" priority="3" stopIfTrue="1" operator="equal">
      <formula>0</formula>
    </cfRule>
  </conditionalFormatting>
  <conditionalFormatting sqref="F42:F43">
    <cfRule type="cellIs" dxfId="1" priority="2" stopIfTrue="1" operator="equal">
      <formula>0</formula>
    </cfRule>
  </conditionalFormatting>
  <conditionalFormatting sqref="F64">
    <cfRule type="cellIs" dxfId="0" priority="1" stopIfTrue="1" operator="equal">
      <formula>0</formula>
    </cfRule>
  </conditionalFormatting>
  <dataValidations xWindow="475" yWindow="730" count="1">
    <dataValidation type="list" allowBlank="1" showInputMessage="1" showErrorMessage="1" error="Por favor especifique &quot;Otro&quot; y en la siguiente columna especifíquelo" sqref="E11:E37 E4:E9 E39:E46 E48:E53 E54:E69">
      <formula1>$AN$1:$AN$23</formula1>
    </dataValidation>
  </dataValidations>
  <printOptions horizontalCentered="1" verticalCentered="1"/>
  <pageMargins left="0.74803149606299213" right="0.31496062992125984" top="0.70866141732283472" bottom="0.64" header="0.39370078740157483" footer="0.42"/>
  <pageSetup scale="48" orientation="portrait" horizontalDpi="4294967295" verticalDpi="4294967295" r:id="rId1"/>
  <headerFooter alignWithMargins="0">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Aprendiendo con Amor</vt:lpstr>
      <vt:lpstr>'Aprendiendo con Amor'!Área_de_impresión</vt:lpstr>
      <vt:lpstr>'Aprendiendo con Amor'!Títulos_a_imprimir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2017-03-30T23:33:32Z</cp:lastPrinted>
  <dcterms:created xsi:type="dcterms:W3CDTF">2014-08-27T18:56:17Z</dcterms:created>
  <dcterms:modified xsi:type="dcterms:W3CDTF">2017-09-11T14:57:15Z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