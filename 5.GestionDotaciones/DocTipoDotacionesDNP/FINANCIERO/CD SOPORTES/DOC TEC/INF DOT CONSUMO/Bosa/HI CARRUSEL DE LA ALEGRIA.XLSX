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Carrusel de la Alegria"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'Carrusel de la Alegria'!$B$4:$L$71</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'Carrusel de la Alegria'!$B$2:$H$71</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'Carrusel de la Alegria'!$2:$3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3" i="1" l="1"/>
  <c r="F67" i="1"/>
  <c r="F63" i="1"/>
  <c r="F54" i="1"/>
  <c r="F65" i="1"/>
  <c r="F68" i="1"/>
  <c r="F66" i="1"/>
  <c r="F64" i="1"/>
  <c r="F62" i="1"/>
  <c r="F61" i="1"/>
  <c r="F60" i="1"/>
  <c r="F59" i="1"/>
  <c r="F58" i="1"/>
  <c r="H58" i="1"/>
  <c r="F57" i="1"/>
  <c r="F52" i="1"/>
  <c r="F46" i="1" l="1"/>
  <c r="F47" i="1"/>
  <c r="F45" i="1"/>
  <c r="H72" i="1"/>
  <c r="F72" i="1"/>
  <c r="H71" i="1"/>
  <c r="F71" i="1"/>
  <c r="H70" i="1"/>
  <c r="F70" i="1"/>
  <c r="H69" i="1"/>
  <c r="F69" i="1"/>
  <c r="F48" i="1"/>
  <c r="F9" i="1" l="1"/>
  <c r="D41" i="1"/>
  <c r="H37" i="1"/>
  <c r="H32" i="1"/>
  <c r="H6" i="1" l="1"/>
  <c r="F36" i="1" l="1"/>
  <c r="F31" i="1"/>
  <c r="F29" i="1"/>
  <c r="F41" i="1"/>
  <c r="F37" i="1"/>
  <c r="F50" i="1" l="1"/>
  <c r="F44" i="1"/>
  <c r="F26" i="1"/>
  <c r="F25" i="1"/>
  <c r="F24" i="1"/>
  <c r="F23" i="1"/>
  <c r="F22" i="1"/>
  <c r="F21" i="1"/>
  <c r="F20" i="1"/>
  <c r="F19" i="1"/>
  <c r="F18" i="1"/>
  <c r="F17" i="1"/>
  <c r="F16" i="1"/>
  <c r="F15" i="1"/>
  <c r="F14" i="1"/>
  <c r="F13" i="1"/>
  <c r="F8" i="1"/>
  <c r="F7" i="1"/>
  <c r="F6" i="1"/>
  <c r="F5" i="1"/>
  <c r="AO17" i="1"/>
  <c r="AO16" i="1"/>
  <c r="AO15" i="1"/>
  <c r="AO14" i="1"/>
  <c r="AO13" i="1"/>
  <c r="AO12" i="1"/>
  <c r="AO11" i="1"/>
  <c r="AO10" i="1"/>
  <c r="AO8" i="1"/>
  <c r="AO7" i="1"/>
  <c r="AO6" i="1"/>
  <c r="F10" i="1" s="1"/>
  <c r="AO5" i="1"/>
  <c r="AO4" i="1"/>
  <c r="AO3" i="1"/>
  <c r="F30" i="1" s="1"/>
  <c r="F56" i="1" l="1"/>
  <c r="F55" i="1"/>
  <c r="F38" i="1"/>
  <c r="F28" i="1"/>
  <c r="F35" i="1"/>
  <c r="F34" i="1"/>
  <c r="F40" i="1"/>
  <c r="F32" i="1"/>
  <c r="F33" i="1"/>
  <c r="F42" i="1"/>
  <c r="F39" i="1"/>
  <c r="F27" i="1"/>
  <c r="F12" i="1"/>
  <c r="F51" i="1"/>
  <c r="F4" i="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1"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1"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49"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49"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<sst xmlns="http://schemas.openxmlformats.org/spreadsheetml/2006/main" count="240" uniqueCount="150">
  <si>
    <t>Decripción</t>
  </si>
  <si>
    <t>Serv. Publicos</t>
  </si>
  <si>
    <t>Acueducto y alcantarillado</t>
  </si>
  <si>
    <t>Energía</t>
  </si>
  <si>
    <t>Teléfono fijo</t>
  </si>
  <si>
    <t>Celular</t>
  </si>
  <si>
    <t>Gas</t>
  </si>
  <si>
    <t>Otro</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</si>
  <si>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</si>
  <si>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</si>
  <si>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</si>
  <si>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</si>
  <si>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</si>
  <si>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</si>
  <si>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</si>
  <si>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</si>
  <si>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</si>
  <si>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</si>
  <si>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</si>
  <si>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</si>
  <si>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</si>
  <si>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2 Años</t>
  </si>
  <si>
    <t>Cada 3 Años</t>
  </si>
  <si>
    <t>Cada 4 Años</t>
  </si>
  <si>
    <t>Cada 5 Años</t>
  </si>
  <si>
    <t>Cada 10 Años</t>
  </si>
  <si>
    <t>Cada 20 Años</t>
  </si>
  <si>
    <t>Veces
/año</t>
  </si>
  <si>
    <r>
      <t xml:space="preserve">Mantenimiento y adecuaciones </t>
    </r>
    <r>
      <rPr>
        <b/>
        <sz val="8"/>
        <rFont val="Arial"/>
        <family val="2"/>
      </rPr>
      <t>(Elementos de aseo institucional, mantenimiento de la sede, el control de agua (lavado de tanques), fumigaciones, manejo de basuras y control de plagas)</t>
    </r>
  </si>
  <si>
    <t>CAPACIDAD UDS / DESCRIPCIÓN</t>
  </si>
  <si>
    <t>VALORES</t>
  </si>
  <si>
    <t>Cantidad</t>
  </si>
  <si>
    <t>EAAB</t>
  </si>
  <si>
    <t>CODENSA</t>
  </si>
  <si>
    <t>TELEFONIA FIJA + INTERNET</t>
  </si>
  <si>
    <t>GAS NATURAL</t>
  </si>
  <si>
    <t>PAPEL SEDA</t>
  </si>
  <si>
    <t>PAPEL CREPE</t>
  </si>
  <si>
    <t>BLOCK IRIS</t>
  </si>
  <si>
    <t>RESALTADOR</t>
  </si>
  <si>
    <t>LANA</t>
  </si>
  <si>
    <t xml:space="preserve">LAPIZ </t>
  </si>
  <si>
    <t>ESFERO</t>
  </si>
  <si>
    <t>PAPEL HIGIENICO</t>
  </si>
  <si>
    <t>PAÑITOS HUMEDOS</t>
  </si>
  <si>
    <t>GEL ANTIBACTERIAL</t>
  </si>
  <si>
    <t>JABON LIQUIDO</t>
  </si>
  <si>
    <t>JABON EN POLVO</t>
  </si>
  <si>
    <t>JABON BARRA</t>
  </si>
  <si>
    <t>JABON LOZA</t>
  </si>
  <si>
    <t>DESENGRASANTE</t>
  </si>
  <si>
    <t>GUANTES NEGROS CALIBRE 35</t>
  </si>
  <si>
    <t>GUANTES COLOR CALIBRE 35</t>
  </si>
  <si>
    <t xml:space="preserve">TAPOBOCAS </t>
  </si>
  <si>
    <t>ESCOBA</t>
  </si>
  <si>
    <t>TRAPERO</t>
  </si>
  <si>
    <t>ESPONJILLA</t>
  </si>
  <si>
    <t>GUANTES</t>
  </si>
  <si>
    <t>DESENGRASANTE X 4 LITROS</t>
  </si>
  <si>
    <t>GALON LIMPIAVIDRIOS X 4 LITROS</t>
  </si>
  <si>
    <t>LIMPIAVIDRIOS</t>
  </si>
  <si>
    <t>CERA</t>
  </si>
  <si>
    <t>CAJA GUANTES DE MANIPULACION LATEX</t>
  </si>
  <si>
    <t>JABON EN POTE PARA LOZA  450 GR</t>
  </si>
  <si>
    <t>CLOROX  20 LITROS</t>
  </si>
  <si>
    <t>TAPABOCAS DESECHABLE X 50</t>
  </si>
  <si>
    <t>COFIA</t>
  </si>
  <si>
    <t>PAQUETE DE COFIAS X 100</t>
  </si>
  <si>
    <t>AMBIENTADOR</t>
  </si>
  <si>
    <t>AMBIENTADOR EN SPRAIT</t>
  </si>
  <si>
    <t>CREOLINA</t>
  </si>
  <si>
    <t>FRASCO CREOLINA 250 GR</t>
  </si>
  <si>
    <t xml:space="preserve">PLAN MENSUAL </t>
  </si>
  <si>
    <t>JABON EN BARA REY 750 GR</t>
  </si>
  <si>
    <t>RESMA</t>
  </si>
  <si>
    <t>RESMA OFICIO 75GR</t>
  </si>
  <si>
    <t>MEMORIA USB</t>
  </si>
  <si>
    <t>MEMORIA USB 64 GIGAS</t>
  </si>
  <si>
    <t>CARPETA PLASTICA</t>
  </si>
  <si>
    <t xml:space="preserve">CARPETA PLASTICA CON CAUCHO </t>
  </si>
  <si>
    <t xml:space="preserve">CARTULINA </t>
  </si>
  <si>
    <t>CARTULINA BRISTOL PLIEGO COLOR</t>
  </si>
  <si>
    <t>CARTULINA NEGRA PLIEGO FINA</t>
  </si>
  <si>
    <t>VINILO</t>
  </si>
  <si>
    <t>VINILO X 125 ML</t>
  </si>
  <si>
    <t>PALO PALETA</t>
  </si>
  <si>
    <t>PALO PALETA POPULAR MEDIANO</t>
  </si>
  <si>
    <t>PAPEL KRAF</t>
  </si>
  <si>
    <t>PAPEL KRAF PLIEGO X 60 GR X 25</t>
  </si>
  <si>
    <t>PAPEL CREPE PLEGOS COLO X 10</t>
  </si>
  <si>
    <t>PAPEL SEDA PLIEGOS COLO X 25</t>
  </si>
  <si>
    <t>MARCADOR</t>
  </si>
  <si>
    <t>MARCADOR PARA TABLERO</t>
  </si>
  <si>
    <t>MARCADOR PERMANENTE</t>
  </si>
  <si>
    <t>CINTA</t>
  </si>
  <si>
    <t xml:space="preserve">CINTA DE ENMASCARAR SOCO 24 X 20 </t>
  </si>
  <si>
    <t>GRAPA COSEDORA</t>
  </si>
  <si>
    <t>GRAPA COSEDORA ESTÁNDAR</t>
  </si>
  <si>
    <t>RESMA CARTA 75 GR</t>
  </si>
  <si>
    <t xml:space="preserve">PISTOLA DE SILICONA </t>
  </si>
  <si>
    <t>PISTOLA DE SILICONA GRANDE</t>
  </si>
  <si>
    <t>TABLA DE PICADO</t>
  </si>
  <si>
    <t>TABLA DE PICADO ECONOMICA</t>
  </si>
  <si>
    <t>ESFERO RETRACTIL X 12</t>
  </si>
  <si>
    <t>PLASTILINA</t>
  </si>
  <si>
    <t>PLASTILINA TRENSITO X 250</t>
  </si>
  <si>
    <t>PEGANTE EN BARRA 40GR</t>
  </si>
  <si>
    <t>PEGANTE EN BARRA</t>
  </si>
  <si>
    <t>CUADERNO</t>
  </si>
  <si>
    <t>CUADERNO 105 X 50 HOJAS GAMA ALTA</t>
  </si>
  <si>
    <t>COSEDORA</t>
  </si>
  <si>
    <t>COSEDORA MEDIANA</t>
  </si>
  <si>
    <t>PERFORADORA</t>
  </si>
  <si>
    <t>PERFORADORA 2 HUECOS</t>
  </si>
  <si>
    <t>CINTATRANSPARENTE 48 X 100</t>
  </si>
  <si>
    <t>LAPIZ ROJO X 12</t>
  </si>
  <si>
    <t>REGLA</t>
  </si>
  <si>
    <t>REGLA PLASTICA ECONOMICA</t>
  </si>
  <si>
    <t>CRAYOLAS X 10</t>
  </si>
  <si>
    <t>CRAYOLAS</t>
  </si>
  <si>
    <t>MADEJAS DE LANA</t>
  </si>
  <si>
    <t>BLOCK IRIS TAMAÑO CARTA FINO</t>
  </si>
  <si>
    <t>PINCELES</t>
  </si>
  <si>
    <t>PINCEL No 10</t>
  </si>
  <si>
    <t xml:space="preserve">SERVICIO DE FUMIGACION </t>
  </si>
  <si>
    <t>SERVICIO DE VIGILANCIA</t>
  </si>
  <si>
    <t xml:space="preserve">LITRO DE GEL ANTIBACTERIAL </t>
  </si>
  <si>
    <t>JABON EN POLVO BOLSA 4000 GR</t>
  </si>
  <si>
    <t>JABON PARA MANOS LIQUIDO LITRO</t>
  </si>
  <si>
    <t>PACAS DE PAPEL HIGIENICO DOBLE HOJA X 48</t>
  </si>
  <si>
    <t>TARRO CERA EMULSIONADA PARA PISO ROJA X 2000 ML</t>
  </si>
  <si>
    <t>TOALLAS PARA MANOS</t>
  </si>
  <si>
    <t>TOALLA DE MANOS PARA DISPENSADOR</t>
  </si>
  <si>
    <t>PAÑITOS HUMEDOS PAQUETE X 100</t>
  </si>
  <si>
    <t xml:space="preserve">HIPOCLORITO </t>
  </si>
  <si>
    <t>ESCOBA CERDAS SUAVES</t>
  </si>
  <si>
    <t>ESPONJILLA SABRA PARA LOZA</t>
  </si>
  <si>
    <t>ESPONJILLA PARA LOZA MATRIX</t>
  </si>
  <si>
    <t>ESPONJILLA DE ALAMBRE PARA LOZA</t>
  </si>
  <si>
    <t>AROMATIZANTE</t>
  </si>
  <si>
    <t>AROMATIZANTE PARA PISOS 5LITROS</t>
  </si>
  <si>
    <t>ANTI HONGOS</t>
  </si>
  <si>
    <t>ANTI HONGOS REMOVEDOR DE MANCHAS Y HONGOS 500 ML</t>
  </si>
  <si>
    <t>BOLSA BASURA</t>
  </si>
  <si>
    <t>BOLSA PARA LA BASURA 60 X 100 CM X PQ X 30 BOLSAS</t>
  </si>
  <si>
    <t>TOALLA PARA COCINA</t>
  </si>
  <si>
    <t>TOALLA PARA COCINA ABSORVENTE PQ X 3</t>
  </si>
  <si>
    <t>Inicio de atencion para la vigencia 2017 el 31/01/2017</t>
  </si>
  <si>
    <t>En este HI trabajan 53 profesionales.</t>
  </si>
  <si>
    <t>MODALIDAD INSTITUCIONAL HI - 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</si>
</sst>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4" formatCode="_-&quot;$&quot;* #,##0.00_-;\-&quot;$&quot;* #,##0.00_-;_-&quot;$&quot;* &quot;-&quot;??_-;_-@_-"/>
    <numFmt numFmtId="43" formatCode="_-* #,##0.00_-;\-* #,##0.00_-;_-*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 numFmtId="170" formatCode="_-* #,##0_-;\-* #,##0_-;_-* &quot;-&quot;??_-;_-@_-"/>
  </numFmts>
  <fonts count="13">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8"/>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s>
  <cellStyleXfs count="15">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cellStyleXfs>
  <cellXfs count="46">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2"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170" fontId="2" fillId="0" borderId="0" xfId="14" applyNumberFormat="1" applyFont="1"/>
    <xf numFmtId="169" fontId="5" fillId="3" borderId="2" xfId="12" applyNumberFormat="1" applyFont="1" applyFill="1" applyBorder="1" applyAlignment="1">
      <alignment horizontal="center" vertical="top"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14" xfId="1" applyFont="1" applyFill="1" applyBorder="1" applyAlignment="1">
      <alignment horizontal="center" vertical="center" textRotation="90" wrapText="1"/>
    </xf>
    <xf numFmtId="0" fontId="5" fillId="0" borderId="15" xfId="1" applyFont="1" applyFill="1" applyBorder="1" applyAlignment="1">
      <alignment horizontal="center" vertical="center" textRotation="90" wrapText="1"/>
    </xf>
  </cellXfs>
  <cellStyles count="15">
    <cellStyle name="Millares" xfId="14" builtinId="3"/>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24"/>
  <sheetViews>
    <sheetView showGridLines="0" tabSelected="1"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14.8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11</v>
      </c>
      <c r="AO1" s="20">
        <v>52</v>
      </c>
    </row>
    <row r="2" spans="1:41" ht="73.5" customHeight="1">
      <c r="B2" s="29"/>
      <c r="C2" s="30" t="s">
        <v>29</v>
      </c>
      <c r="D2" s="38" t="s">
        <v>149</v>
      </c>
      <c r="E2" s="39"/>
      <c r="F2" s="39"/>
      <c r="G2" s="40"/>
      <c r="H2" s="31" t="s">
        <v>30</v>
      </c>
      <c r="AM2" s="19">
        <v>4</v>
      </c>
      <c r="AN2" s="14" t="s">
        <v>12</v>
      </c>
      <c r="AO2" s="21">
        <v>12</v>
      </c>
    </row>
    <row r="3" spans="1:41" ht="44.25" customHeight="1">
      <c r="B3" s="16">
        <v>1</v>
      </c>
      <c r="C3" s="6">
        <v>436</v>
      </c>
      <c r="D3" s="13" t="s">
        <v>31</v>
      </c>
      <c r="E3" s="13" t="s">
        <v>10</v>
      </c>
      <c r="F3" s="13" t="s">
        <v>27</v>
      </c>
      <c r="G3" s="13" t="s">
        <v>0</v>
      </c>
      <c r="H3" s="11" t="s">
        <v>9</v>
      </c>
      <c r="AM3" s="19">
        <v>5</v>
      </c>
      <c r="AN3" s="14" t="s">
        <v>13</v>
      </c>
      <c r="AO3" s="21">
        <f>12/2</f>
        <v>6</v>
      </c>
    </row>
    <row r="4" spans="1:41" s="8" customFormat="1" ht="12.75" customHeight="1">
      <c r="B4" s="41" t="s">
        <v>1</v>
      </c>
      <c r="C4" s="9" t="s">
        <v>2</v>
      </c>
      <c r="D4" s="9">
        <v>1</v>
      </c>
      <c r="E4" s="27" t="s">
        <v>13</v>
      </c>
      <c r="F4" s="28">
        <f t="shared" ref="F4:F10" si="0">VLOOKUP(E4,$AN$1:$AO$21,2,FALSE)</f>
        <v>6</v>
      </c>
      <c r="G4" s="12" t="s">
        <v>32</v>
      </c>
      <c r="H4" s="33">
        <v>2000000</v>
      </c>
      <c r="AM4" s="19">
        <v>6</v>
      </c>
      <c r="AN4" s="14" t="s">
        <v>14</v>
      </c>
      <c r="AO4" s="21">
        <f>12/3</f>
        <v>4</v>
      </c>
    </row>
    <row r="5" spans="1:41" s="8" customFormat="1">
      <c r="B5" s="42"/>
      <c r="C5" s="9" t="s">
        <v>3</v>
      </c>
      <c r="D5" s="9">
        <v>1</v>
      </c>
      <c r="E5" s="27" t="s">
        <v>12</v>
      </c>
      <c r="F5" s="28">
        <f t="shared" si="0"/>
        <v>12</v>
      </c>
      <c r="G5" s="12" t="s">
        <v>33</v>
      </c>
      <c r="H5" s="33">
        <v>1000000</v>
      </c>
      <c r="AM5" s="19">
        <v>7</v>
      </c>
      <c r="AN5" s="14" t="s">
        <v>15</v>
      </c>
      <c r="AO5" s="22">
        <f>12/4</f>
        <v>3</v>
      </c>
    </row>
    <row r="6" spans="1:41" s="8" customFormat="1">
      <c r="B6" s="42"/>
      <c r="C6" s="9" t="s">
        <v>4</v>
      </c>
      <c r="D6" s="9">
        <v>1</v>
      </c>
      <c r="E6" s="27" t="s">
        <v>12</v>
      </c>
      <c r="F6" s="28">
        <f t="shared" si="0"/>
        <v>12</v>
      </c>
      <c r="G6" s="12" t="s">
        <v>34</v>
      </c>
      <c r="H6" s="33">
        <f>83000+63000+187000</f>
        <v>333000</v>
      </c>
      <c r="J6" s="8" t="s">
        <v>147</v>
      </c>
      <c r="AM6" s="19">
        <v>8</v>
      </c>
      <c r="AN6" s="14" t="s">
        <v>16</v>
      </c>
      <c r="AO6" s="21">
        <f>12/6</f>
        <v>2</v>
      </c>
    </row>
    <row r="7" spans="1:41" s="8" customFormat="1">
      <c r="B7" s="42"/>
      <c r="C7" s="9" t="s">
        <v>5</v>
      </c>
      <c r="D7" s="9">
        <v>1</v>
      </c>
      <c r="E7" s="27" t="s">
        <v>12</v>
      </c>
      <c r="F7" s="28">
        <f t="shared" si="0"/>
        <v>12</v>
      </c>
      <c r="G7" s="12" t="s">
        <v>72</v>
      </c>
      <c r="H7" s="33">
        <v>30000</v>
      </c>
      <c r="AM7" s="19">
        <v>9</v>
      </c>
      <c r="AN7" s="14" t="s">
        <v>17</v>
      </c>
      <c r="AO7" s="20">
        <f>12/7</f>
        <v>1.7142857142857142</v>
      </c>
    </row>
    <row r="8" spans="1:41" s="8" customFormat="1">
      <c r="B8" s="42"/>
      <c r="C8" s="9" t="s">
        <v>6</v>
      </c>
      <c r="D8" s="9">
        <v>1</v>
      </c>
      <c r="E8" s="27" t="s">
        <v>12</v>
      </c>
      <c r="F8" s="28">
        <f t="shared" si="0"/>
        <v>12</v>
      </c>
      <c r="G8" s="12" t="s">
        <v>35</v>
      </c>
      <c r="H8" s="33">
        <v>670000</v>
      </c>
      <c r="J8" s="8" t="s">
        <v>148</v>
      </c>
      <c r="AM8" s="19">
        <v>10</v>
      </c>
      <c r="AN8" s="14" t="s">
        <v>18</v>
      </c>
      <c r="AO8" s="20">
        <f>12/8</f>
        <v>1.5</v>
      </c>
    </row>
    <row r="9" spans="1:41" s="8" customFormat="1">
      <c r="B9" s="42"/>
      <c r="C9" s="9" t="s">
        <v>7</v>
      </c>
      <c r="D9" s="9">
        <v>1</v>
      </c>
      <c r="E9" s="27" t="s">
        <v>12</v>
      </c>
      <c r="F9" s="28">
        <f t="shared" ref="F9" si="1">VLOOKUP(E9,$AN$1:$AO$21,2,FALSE)</f>
        <v>12</v>
      </c>
      <c r="G9" s="12" t="s">
        <v>125</v>
      </c>
      <c r="H9" s="33">
        <v>175000</v>
      </c>
      <c r="AM9" s="19"/>
      <c r="AN9" s="14"/>
      <c r="AO9" s="20"/>
    </row>
    <row r="10" spans="1:41" s="8" customFormat="1">
      <c r="B10" s="43"/>
      <c r="C10" s="9" t="s">
        <v>7</v>
      </c>
      <c r="D10" s="9">
        <v>1</v>
      </c>
      <c r="E10" s="27" t="s">
        <v>16</v>
      </c>
      <c r="F10" s="28">
        <f t="shared" si="0"/>
        <v>2</v>
      </c>
      <c r="G10" s="12" t="s">
        <v>124</v>
      </c>
      <c r="H10" s="33">
        <v>312500</v>
      </c>
      <c r="AM10" s="19">
        <v>11</v>
      </c>
      <c r="AN10" s="14" t="s">
        <v>19</v>
      </c>
      <c r="AO10" s="20">
        <f>12/9</f>
        <v>1.3333333333333333</v>
      </c>
    </row>
    <row r="11" spans="1:41" ht="38.25">
      <c r="B11" s="16">
        <v>2</v>
      </c>
      <c r="C11" s="6">
        <v>436</v>
      </c>
      <c r="D11" s="13" t="s">
        <v>31</v>
      </c>
      <c r="E11" s="13" t="s">
        <v>10</v>
      </c>
      <c r="F11" s="13"/>
      <c r="G11" s="13" t="s">
        <v>0</v>
      </c>
      <c r="H11" s="11" t="s">
        <v>9</v>
      </c>
      <c r="AM11" s="19">
        <v>12</v>
      </c>
      <c r="AN11" s="14" t="s">
        <v>20</v>
      </c>
      <c r="AO11" s="20">
        <f>12/10</f>
        <v>1.2</v>
      </c>
    </row>
    <row r="12" spans="1:41">
      <c r="A12" s="8"/>
      <c r="B12" s="37"/>
      <c r="C12" s="9" t="s">
        <v>74</v>
      </c>
      <c r="D12" s="9">
        <v>7</v>
      </c>
      <c r="E12" s="27" t="s">
        <v>12</v>
      </c>
      <c r="F12" s="28">
        <f t="shared" ref="F12:F36" si="2">VLOOKUP(E12,$AN$1:$AO$21,2,FALSE)</f>
        <v>12</v>
      </c>
      <c r="G12" s="9" t="s">
        <v>75</v>
      </c>
      <c r="H12" s="33">
        <v>12000</v>
      </c>
      <c r="I12" s="32"/>
      <c r="J12" s="34"/>
      <c r="K12" s="34"/>
      <c r="AM12" s="19">
        <v>15</v>
      </c>
      <c r="AN12" s="14" t="s">
        <v>21</v>
      </c>
      <c r="AO12" s="20">
        <f>1/2</f>
        <v>0.5</v>
      </c>
    </row>
    <row r="13" spans="1:41">
      <c r="A13" s="8"/>
      <c r="B13" s="37"/>
      <c r="C13" s="9" t="s">
        <v>76</v>
      </c>
      <c r="D13" s="9">
        <v>1</v>
      </c>
      <c r="E13" s="27" t="s">
        <v>12</v>
      </c>
      <c r="F13" s="28">
        <f t="shared" si="2"/>
        <v>12</v>
      </c>
      <c r="G13" s="9" t="s">
        <v>77</v>
      </c>
      <c r="H13" s="33">
        <v>76000</v>
      </c>
      <c r="I13" s="32"/>
      <c r="J13" s="34"/>
      <c r="K13" s="34"/>
      <c r="AM13" s="19">
        <v>16</v>
      </c>
      <c r="AN13" s="14" t="s">
        <v>22</v>
      </c>
      <c r="AO13" s="20">
        <f>1/3</f>
        <v>0.33333333333333331</v>
      </c>
    </row>
    <row r="14" spans="1:41">
      <c r="A14" s="8"/>
      <c r="B14" s="37"/>
      <c r="C14" s="9" t="s">
        <v>78</v>
      </c>
      <c r="D14" s="9">
        <v>1</v>
      </c>
      <c r="E14" s="27" t="s">
        <v>12</v>
      </c>
      <c r="F14" s="28">
        <f t="shared" si="2"/>
        <v>12</v>
      </c>
      <c r="G14" s="9" t="s">
        <v>79</v>
      </c>
      <c r="H14" s="33">
        <v>2850</v>
      </c>
      <c r="I14" s="32"/>
      <c r="J14" s="34"/>
      <c r="K14" s="34"/>
      <c r="AM14" s="19">
        <v>17</v>
      </c>
      <c r="AN14" s="14" t="s">
        <v>23</v>
      </c>
      <c r="AO14" s="20">
        <f>1/4</f>
        <v>0.25</v>
      </c>
    </row>
    <row r="15" spans="1:41">
      <c r="A15" s="8"/>
      <c r="B15" s="37"/>
      <c r="C15" s="9" t="s">
        <v>80</v>
      </c>
      <c r="D15" s="9">
        <v>50</v>
      </c>
      <c r="E15" s="27" t="s">
        <v>12</v>
      </c>
      <c r="F15" s="28">
        <f t="shared" si="2"/>
        <v>12</v>
      </c>
      <c r="G15" s="9" t="s">
        <v>81</v>
      </c>
      <c r="H15" s="33">
        <v>550</v>
      </c>
      <c r="I15" s="32"/>
      <c r="J15" s="34"/>
      <c r="K15" s="34"/>
      <c r="AM15" s="19">
        <v>18</v>
      </c>
      <c r="AN15" s="14" t="s">
        <v>24</v>
      </c>
      <c r="AO15" s="20">
        <f>1/5</f>
        <v>0.2</v>
      </c>
    </row>
    <row r="16" spans="1:41">
      <c r="A16" s="8"/>
      <c r="B16" s="37"/>
      <c r="C16" s="9" t="s">
        <v>80</v>
      </c>
      <c r="D16" s="9">
        <v>50</v>
      </c>
      <c r="E16" s="27" t="s">
        <v>12</v>
      </c>
      <c r="F16" s="28">
        <f t="shared" si="2"/>
        <v>12</v>
      </c>
      <c r="G16" s="9" t="s">
        <v>82</v>
      </c>
      <c r="H16" s="33">
        <v>1500</v>
      </c>
      <c r="I16" s="32"/>
      <c r="J16" s="34"/>
      <c r="K16" s="34"/>
      <c r="AM16" s="19">
        <v>19</v>
      </c>
      <c r="AN16" s="14" t="s">
        <v>25</v>
      </c>
      <c r="AO16" s="20">
        <f>1/10</f>
        <v>0.1</v>
      </c>
    </row>
    <row r="17" spans="1:41">
      <c r="A17" s="8"/>
      <c r="B17" s="37"/>
      <c r="C17" s="9" t="s">
        <v>83</v>
      </c>
      <c r="D17" s="9">
        <v>125</v>
      </c>
      <c r="E17" s="27" t="s">
        <v>12</v>
      </c>
      <c r="F17" s="28">
        <f t="shared" si="2"/>
        <v>12</v>
      </c>
      <c r="G17" s="9" t="s">
        <v>84</v>
      </c>
      <c r="H17" s="33">
        <v>1150</v>
      </c>
      <c r="I17" s="32"/>
      <c r="J17" s="34"/>
      <c r="K17" s="34"/>
      <c r="AM17" s="19">
        <v>20</v>
      </c>
      <c r="AN17" s="14" t="s">
        <v>26</v>
      </c>
      <c r="AO17" s="21">
        <f>1/20</f>
        <v>0.05</v>
      </c>
    </row>
    <row r="18" spans="1:41">
      <c r="A18" s="8"/>
      <c r="B18" s="37"/>
      <c r="C18" s="9" t="s">
        <v>85</v>
      </c>
      <c r="D18" s="9">
        <v>4</v>
      </c>
      <c r="E18" s="27" t="s">
        <v>12</v>
      </c>
      <c r="F18" s="28">
        <f t="shared" si="2"/>
        <v>12</v>
      </c>
      <c r="G18" s="9" t="s">
        <v>86</v>
      </c>
      <c r="H18" s="33">
        <v>7000</v>
      </c>
      <c r="I18" s="32"/>
      <c r="J18" s="34"/>
      <c r="K18" s="34"/>
      <c r="AM18" s="19">
        <v>21</v>
      </c>
      <c r="AN18" s="14" t="s">
        <v>7</v>
      </c>
      <c r="AO18" s="21">
        <v>0</v>
      </c>
    </row>
    <row r="19" spans="1:41">
      <c r="A19" s="8"/>
      <c r="B19" s="37"/>
      <c r="C19" s="9" t="s">
        <v>87</v>
      </c>
      <c r="D19" s="9">
        <v>4</v>
      </c>
      <c r="E19" s="27" t="s">
        <v>12</v>
      </c>
      <c r="F19" s="28">
        <f t="shared" si="2"/>
        <v>12</v>
      </c>
      <c r="G19" s="9" t="s">
        <v>88</v>
      </c>
      <c r="H19" s="33">
        <v>3400</v>
      </c>
      <c r="I19" s="32"/>
      <c r="J19" s="34"/>
      <c r="K19" s="34"/>
      <c r="AM19" s="19">
        <v>22</v>
      </c>
      <c r="AN19" s="14"/>
      <c r="AO19" s="21"/>
    </row>
    <row r="20" spans="1:41">
      <c r="A20" s="8"/>
      <c r="B20" s="37"/>
      <c r="C20" s="9" t="s">
        <v>37</v>
      </c>
      <c r="D20" s="9">
        <v>30</v>
      </c>
      <c r="E20" s="27" t="s">
        <v>12</v>
      </c>
      <c r="F20" s="28">
        <f t="shared" si="2"/>
        <v>12</v>
      </c>
      <c r="G20" s="9" t="s">
        <v>89</v>
      </c>
      <c r="H20" s="33">
        <v>3250</v>
      </c>
      <c r="I20" s="32"/>
      <c r="J20" s="34"/>
      <c r="K20" s="34"/>
      <c r="AM20" s="19">
        <v>23</v>
      </c>
      <c r="AN20" s="14"/>
      <c r="AO20" s="21"/>
    </row>
    <row r="21" spans="1:41" ht="15.75" thickBot="1">
      <c r="A21" s="8"/>
      <c r="B21" s="37"/>
      <c r="C21" s="9" t="s">
        <v>36</v>
      </c>
      <c r="D21" s="9">
        <v>12</v>
      </c>
      <c r="E21" s="27" t="s">
        <v>12</v>
      </c>
      <c r="F21" s="28">
        <f t="shared" si="2"/>
        <v>12</v>
      </c>
      <c r="G21" s="9" t="s">
        <v>90</v>
      </c>
      <c r="H21" s="33">
        <v>2000</v>
      </c>
      <c r="I21" s="32"/>
      <c r="J21" s="34"/>
      <c r="K21" s="34"/>
      <c r="AM21" s="23">
        <v>24</v>
      </c>
      <c r="AN21" s="24"/>
      <c r="AO21" s="25">
        <v>0</v>
      </c>
    </row>
    <row r="22" spans="1:41">
      <c r="A22" s="8"/>
      <c r="B22" s="37"/>
      <c r="C22" s="9" t="s">
        <v>91</v>
      </c>
      <c r="D22" s="9">
        <v>30</v>
      </c>
      <c r="E22" s="27" t="s">
        <v>12</v>
      </c>
      <c r="F22" s="28">
        <f t="shared" si="2"/>
        <v>12</v>
      </c>
      <c r="G22" s="9" t="s">
        <v>92</v>
      </c>
      <c r="H22" s="33">
        <v>1300</v>
      </c>
      <c r="I22" s="32"/>
      <c r="J22" s="34"/>
      <c r="K22" s="34"/>
    </row>
    <row r="23" spans="1:41">
      <c r="A23" s="8"/>
      <c r="B23" s="37"/>
      <c r="C23" s="9" t="s">
        <v>91</v>
      </c>
      <c r="D23" s="9">
        <v>40</v>
      </c>
      <c r="E23" s="27" t="s">
        <v>12</v>
      </c>
      <c r="F23" s="28">
        <f t="shared" si="2"/>
        <v>12</v>
      </c>
      <c r="G23" s="9" t="s">
        <v>93</v>
      </c>
      <c r="H23" s="33">
        <v>900</v>
      </c>
      <c r="I23" s="32"/>
      <c r="J23" s="34"/>
      <c r="K23" s="34"/>
    </row>
    <row r="24" spans="1:41">
      <c r="A24" s="8"/>
      <c r="B24" s="37"/>
      <c r="C24" s="9" t="s">
        <v>94</v>
      </c>
      <c r="D24" s="9">
        <v>36</v>
      </c>
      <c r="E24" s="27" t="s">
        <v>12</v>
      </c>
      <c r="F24" s="28">
        <f t="shared" si="2"/>
        <v>12</v>
      </c>
      <c r="G24" s="9" t="s">
        <v>95</v>
      </c>
      <c r="H24" s="33">
        <v>1850</v>
      </c>
      <c r="I24" s="32"/>
      <c r="J24" s="34"/>
      <c r="K24" s="34"/>
    </row>
    <row r="25" spans="1:41">
      <c r="A25" s="8"/>
      <c r="B25" s="37"/>
      <c r="C25" s="9" t="s">
        <v>96</v>
      </c>
      <c r="D25" s="9">
        <v>10</v>
      </c>
      <c r="E25" s="27" t="s">
        <v>12</v>
      </c>
      <c r="F25" s="28">
        <f t="shared" si="2"/>
        <v>12</v>
      </c>
      <c r="G25" s="9" t="s">
        <v>97</v>
      </c>
      <c r="H25" s="33">
        <v>1850</v>
      </c>
      <c r="I25" s="32"/>
      <c r="J25" s="34"/>
      <c r="K25" s="34"/>
    </row>
    <row r="26" spans="1:41">
      <c r="A26" s="8"/>
      <c r="B26" s="37"/>
      <c r="C26" s="9" t="s">
        <v>74</v>
      </c>
      <c r="D26" s="9">
        <v>10</v>
      </c>
      <c r="E26" s="27" t="s">
        <v>12</v>
      </c>
      <c r="F26" s="28">
        <f t="shared" si="2"/>
        <v>12</v>
      </c>
      <c r="G26" s="9" t="s">
        <v>98</v>
      </c>
      <c r="H26" s="33">
        <v>8750</v>
      </c>
      <c r="I26" s="32"/>
      <c r="J26" s="34"/>
      <c r="K26" s="34"/>
    </row>
    <row r="27" spans="1:41">
      <c r="A27" s="8"/>
      <c r="B27" s="37"/>
      <c r="C27" s="9" t="s">
        <v>99</v>
      </c>
      <c r="D27" s="9">
        <v>6</v>
      </c>
      <c r="E27" s="27" t="s">
        <v>14</v>
      </c>
      <c r="F27" s="28">
        <f t="shared" si="2"/>
        <v>4</v>
      </c>
      <c r="G27" s="9" t="s">
        <v>100</v>
      </c>
      <c r="H27" s="33">
        <v>14000</v>
      </c>
      <c r="I27" s="32"/>
      <c r="J27" s="34"/>
      <c r="K27" s="34"/>
    </row>
    <row r="28" spans="1:41" ht="24">
      <c r="A28" s="8"/>
      <c r="B28" s="37"/>
      <c r="C28" s="9" t="s">
        <v>101</v>
      </c>
      <c r="D28" s="9">
        <v>300</v>
      </c>
      <c r="E28" s="27" t="s">
        <v>19</v>
      </c>
      <c r="F28" s="28">
        <f t="shared" si="2"/>
        <v>1.3333333333333333</v>
      </c>
      <c r="G28" s="9" t="s">
        <v>102</v>
      </c>
      <c r="H28" s="33">
        <v>1500</v>
      </c>
      <c r="I28" s="32"/>
      <c r="J28" s="34"/>
      <c r="K28" s="34"/>
    </row>
    <row r="29" spans="1:41">
      <c r="A29" s="8"/>
      <c r="B29" s="37"/>
      <c r="C29" s="9" t="s">
        <v>42</v>
      </c>
      <c r="D29" s="9">
        <v>6</v>
      </c>
      <c r="E29" s="27" t="s">
        <v>12</v>
      </c>
      <c r="F29" s="28">
        <f t="shared" si="2"/>
        <v>12</v>
      </c>
      <c r="G29" s="9" t="s">
        <v>103</v>
      </c>
      <c r="H29" s="33">
        <v>6350</v>
      </c>
      <c r="I29" s="32"/>
      <c r="J29" s="34"/>
      <c r="K29" s="34"/>
    </row>
    <row r="30" spans="1:41">
      <c r="A30" s="8"/>
      <c r="B30" s="37"/>
      <c r="C30" s="9" t="s">
        <v>104</v>
      </c>
      <c r="D30" s="9">
        <v>220</v>
      </c>
      <c r="E30" s="27" t="s">
        <v>13</v>
      </c>
      <c r="F30" s="28">
        <f t="shared" si="2"/>
        <v>6</v>
      </c>
      <c r="G30" s="9" t="s">
        <v>105</v>
      </c>
      <c r="H30" s="33">
        <v>1500</v>
      </c>
      <c r="I30" s="32"/>
      <c r="J30" s="34"/>
      <c r="K30" s="34"/>
    </row>
    <row r="31" spans="1:41">
      <c r="A31" s="8"/>
      <c r="B31" s="37"/>
      <c r="C31" s="9" t="s">
        <v>107</v>
      </c>
      <c r="D31" s="9">
        <v>24</v>
      </c>
      <c r="E31" s="27" t="s">
        <v>12</v>
      </c>
      <c r="F31" s="28">
        <f t="shared" si="2"/>
        <v>12</v>
      </c>
      <c r="G31" s="9" t="s">
        <v>106</v>
      </c>
      <c r="H31" s="33">
        <v>5750</v>
      </c>
      <c r="I31" s="32"/>
      <c r="J31" s="34"/>
      <c r="K31" s="34"/>
    </row>
    <row r="32" spans="1:41" ht="24">
      <c r="A32" s="8"/>
      <c r="B32" s="37"/>
      <c r="C32" s="9" t="s">
        <v>108</v>
      </c>
      <c r="D32" s="9">
        <v>35</v>
      </c>
      <c r="E32" s="27" t="s">
        <v>19</v>
      </c>
      <c r="F32" s="28">
        <f t="shared" si="2"/>
        <v>1.3333333333333333</v>
      </c>
      <c r="G32" s="9" t="s">
        <v>109</v>
      </c>
      <c r="H32" s="33">
        <f>250250/35</f>
        <v>7150</v>
      </c>
      <c r="I32" s="32"/>
      <c r="J32" s="34"/>
      <c r="K32" s="34"/>
    </row>
    <row r="33" spans="1:11">
      <c r="A33" s="8"/>
      <c r="B33" s="37"/>
      <c r="C33" s="9" t="s">
        <v>39</v>
      </c>
      <c r="D33" s="9">
        <v>10</v>
      </c>
      <c r="E33" s="27" t="s">
        <v>14</v>
      </c>
      <c r="F33" s="28">
        <f t="shared" si="2"/>
        <v>4</v>
      </c>
      <c r="G33" s="9" t="s">
        <v>39</v>
      </c>
      <c r="H33" s="33">
        <v>1000</v>
      </c>
      <c r="I33" s="32"/>
      <c r="J33" s="34"/>
      <c r="K33" s="34"/>
    </row>
    <row r="34" spans="1:11">
      <c r="A34" s="8"/>
      <c r="B34" s="37"/>
      <c r="C34" s="9" t="s">
        <v>110</v>
      </c>
      <c r="D34" s="9">
        <v>1</v>
      </c>
      <c r="E34" s="27" t="s">
        <v>16</v>
      </c>
      <c r="F34" s="28">
        <f t="shared" si="2"/>
        <v>2</v>
      </c>
      <c r="G34" s="9" t="s">
        <v>111</v>
      </c>
      <c r="H34" s="33">
        <v>5000</v>
      </c>
      <c r="I34" s="32"/>
      <c r="J34" s="34"/>
      <c r="K34" s="34"/>
    </row>
    <row r="35" spans="1:11">
      <c r="A35" s="8"/>
      <c r="B35" s="37"/>
      <c r="C35" s="9" t="s">
        <v>112</v>
      </c>
      <c r="D35" s="9">
        <v>1</v>
      </c>
      <c r="E35" s="27" t="s">
        <v>16</v>
      </c>
      <c r="F35" s="28">
        <f t="shared" si="2"/>
        <v>2</v>
      </c>
      <c r="G35" s="9" t="s">
        <v>113</v>
      </c>
      <c r="H35" s="33">
        <v>5500</v>
      </c>
      <c r="I35" s="32"/>
      <c r="J35" s="34"/>
      <c r="K35" s="34"/>
    </row>
    <row r="36" spans="1:11">
      <c r="A36" s="8"/>
      <c r="B36" s="37"/>
      <c r="C36" s="9" t="s">
        <v>94</v>
      </c>
      <c r="D36" s="9">
        <v>1</v>
      </c>
      <c r="E36" s="27" t="s">
        <v>12</v>
      </c>
      <c r="F36" s="28">
        <f t="shared" si="2"/>
        <v>12</v>
      </c>
      <c r="G36" s="9" t="s">
        <v>114</v>
      </c>
      <c r="H36" s="33">
        <v>3222</v>
      </c>
      <c r="I36" s="32"/>
      <c r="J36" s="34"/>
      <c r="K36" s="34"/>
    </row>
    <row r="37" spans="1:11">
      <c r="A37" s="8"/>
      <c r="B37" s="37"/>
      <c r="C37" s="9" t="s">
        <v>41</v>
      </c>
      <c r="D37" s="9">
        <v>10</v>
      </c>
      <c r="E37" s="27" t="s">
        <v>12</v>
      </c>
      <c r="F37" s="28">
        <f t="shared" ref="F37:F42" si="3">VLOOKUP(E37,$AN$1:$AO$22,2,FALSE)</f>
        <v>12</v>
      </c>
      <c r="G37" s="9" t="s">
        <v>115</v>
      </c>
      <c r="H37" s="33">
        <f>61500/10</f>
        <v>6150</v>
      </c>
      <c r="I37" s="32"/>
      <c r="J37" s="34"/>
      <c r="K37" s="34"/>
    </row>
    <row r="38" spans="1:11">
      <c r="A38" s="8"/>
      <c r="B38" s="37"/>
      <c r="C38" s="9" t="s">
        <v>116</v>
      </c>
      <c r="D38" s="9">
        <v>50</v>
      </c>
      <c r="E38" s="27" t="s">
        <v>16</v>
      </c>
      <c r="F38" s="28">
        <f t="shared" si="3"/>
        <v>2</v>
      </c>
      <c r="G38" s="9" t="s">
        <v>117</v>
      </c>
      <c r="H38" s="33">
        <v>304</v>
      </c>
      <c r="I38" s="32"/>
      <c r="J38" s="34"/>
      <c r="K38" s="34"/>
    </row>
    <row r="39" spans="1:11">
      <c r="A39" s="8"/>
      <c r="B39" s="37"/>
      <c r="C39" s="9" t="s">
        <v>119</v>
      </c>
      <c r="D39" s="9">
        <v>200</v>
      </c>
      <c r="E39" s="27" t="s">
        <v>14</v>
      </c>
      <c r="F39" s="28">
        <f t="shared" si="3"/>
        <v>4</v>
      </c>
      <c r="G39" s="9" t="s">
        <v>118</v>
      </c>
      <c r="H39" s="33">
        <v>4752</v>
      </c>
      <c r="I39" s="32"/>
      <c r="J39" s="34"/>
      <c r="K39" s="34"/>
    </row>
    <row r="40" spans="1:11">
      <c r="A40" s="8"/>
      <c r="B40" s="37"/>
      <c r="C40" s="9" t="s">
        <v>40</v>
      </c>
      <c r="D40" s="9">
        <v>400</v>
      </c>
      <c r="E40" s="27" t="s">
        <v>16</v>
      </c>
      <c r="F40" s="28">
        <f t="shared" si="3"/>
        <v>2</v>
      </c>
      <c r="G40" s="9" t="s">
        <v>120</v>
      </c>
      <c r="H40" s="33">
        <v>529</v>
      </c>
      <c r="I40" s="32"/>
      <c r="J40" s="34"/>
      <c r="K40" s="34"/>
    </row>
    <row r="41" spans="1:11">
      <c r="A41" s="8"/>
      <c r="B41" s="37"/>
      <c r="C41" s="9" t="s">
        <v>38</v>
      </c>
      <c r="D41" s="9">
        <f>400/50</f>
        <v>8</v>
      </c>
      <c r="E41" s="27" t="s">
        <v>12</v>
      </c>
      <c r="F41" s="28">
        <f t="shared" si="3"/>
        <v>12</v>
      </c>
      <c r="G41" s="9" t="s">
        <v>121</v>
      </c>
      <c r="H41" s="33">
        <v>2500</v>
      </c>
      <c r="I41" s="32"/>
      <c r="J41" s="34"/>
      <c r="K41" s="34"/>
    </row>
    <row r="42" spans="1:11">
      <c r="A42" s="8"/>
      <c r="B42" s="37"/>
      <c r="C42" s="9" t="s">
        <v>122</v>
      </c>
      <c r="D42" s="9">
        <v>100</v>
      </c>
      <c r="E42" s="27" t="s">
        <v>14</v>
      </c>
      <c r="F42" s="28">
        <f t="shared" si="3"/>
        <v>4</v>
      </c>
      <c r="G42" s="9" t="s">
        <v>123</v>
      </c>
      <c r="H42" s="33">
        <v>800</v>
      </c>
      <c r="I42" s="32"/>
      <c r="J42" s="34"/>
      <c r="K42" s="34"/>
    </row>
    <row r="43" spans="1:11" ht="38.25">
      <c r="B43" s="16">
        <v>3</v>
      </c>
      <c r="C43" s="6">
        <v>436</v>
      </c>
      <c r="D43" s="13" t="s">
        <v>31</v>
      </c>
      <c r="E43" s="13" t="s">
        <v>10</v>
      </c>
      <c r="F43" s="13"/>
      <c r="G43" s="13" t="s">
        <v>0</v>
      </c>
      <c r="H43" s="17" t="s">
        <v>9</v>
      </c>
      <c r="I43" s="32"/>
    </row>
    <row r="44" spans="1:11" ht="12.75" customHeight="1">
      <c r="A44" s="8"/>
      <c r="B44" s="36" t="s">
        <v>8</v>
      </c>
      <c r="C44" s="9" t="s">
        <v>45</v>
      </c>
      <c r="D44" s="9">
        <v>3</v>
      </c>
      <c r="E44" s="27" t="s">
        <v>12</v>
      </c>
      <c r="F44" s="28">
        <f t="shared" ref="F44:F45" si="4">VLOOKUP(E44,$AN$1:$AO$21,2,FALSE)</f>
        <v>12</v>
      </c>
      <c r="G44" s="12" t="s">
        <v>126</v>
      </c>
      <c r="H44" s="33">
        <v>7800</v>
      </c>
      <c r="I44" s="32"/>
    </row>
    <row r="45" spans="1:11" ht="12.75" customHeight="1">
      <c r="A45" s="8"/>
      <c r="B45" s="37"/>
      <c r="C45" s="9" t="s">
        <v>43</v>
      </c>
      <c r="D45" s="9">
        <v>25</v>
      </c>
      <c r="E45" s="27" t="s">
        <v>12</v>
      </c>
      <c r="F45" s="28">
        <f t="shared" si="4"/>
        <v>12</v>
      </c>
      <c r="G45" s="12" t="s">
        <v>129</v>
      </c>
      <c r="H45" s="33">
        <v>73000</v>
      </c>
      <c r="I45" s="32"/>
    </row>
    <row r="46" spans="1:11" ht="12.75" customHeight="1">
      <c r="A46" s="8"/>
      <c r="B46" s="37"/>
      <c r="C46" s="9" t="s">
        <v>46</v>
      </c>
      <c r="D46" s="9">
        <v>4</v>
      </c>
      <c r="E46" s="27" t="s">
        <v>12</v>
      </c>
      <c r="F46" s="28">
        <f t="shared" ref="F46:F47" si="5">VLOOKUP(E46,$AN$1:$AO$21,2,FALSE)</f>
        <v>12</v>
      </c>
      <c r="G46" s="12" t="s">
        <v>128</v>
      </c>
      <c r="H46" s="33">
        <v>8000</v>
      </c>
      <c r="I46" s="32"/>
      <c r="K46" s="34"/>
    </row>
    <row r="47" spans="1:11" ht="12.75" customHeight="1">
      <c r="A47" s="8"/>
      <c r="B47" s="37"/>
      <c r="C47" s="9" t="s">
        <v>44</v>
      </c>
      <c r="D47" s="9">
        <v>10</v>
      </c>
      <c r="E47" s="27" t="s">
        <v>12</v>
      </c>
      <c r="F47" s="28">
        <f t="shared" si="5"/>
        <v>12</v>
      </c>
      <c r="G47" s="12" t="s">
        <v>133</v>
      </c>
      <c r="H47" s="33">
        <v>5800</v>
      </c>
      <c r="I47" s="32"/>
    </row>
    <row r="48" spans="1:11" ht="12.75" customHeight="1">
      <c r="A48" s="8"/>
      <c r="B48" s="37"/>
      <c r="C48" s="9" t="s">
        <v>131</v>
      </c>
      <c r="D48" s="9">
        <v>12</v>
      </c>
      <c r="E48" s="27" t="s">
        <v>12</v>
      </c>
      <c r="F48" s="28">
        <f t="shared" ref="F48" si="6">VLOOKUP(E48,$AN$1:$AO$22,2,FALSE)</f>
        <v>12</v>
      </c>
      <c r="G48" s="12" t="s">
        <v>132</v>
      </c>
      <c r="H48" s="33">
        <v>2800</v>
      </c>
      <c r="I48" s="32"/>
    </row>
    <row r="49" spans="1:9" ht="38.25">
      <c r="B49" s="7">
        <v>4</v>
      </c>
      <c r="C49" s="6">
        <v>436</v>
      </c>
      <c r="D49" s="13" t="s">
        <v>31</v>
      </c>
      <c r="E49" s="13" t="s">
        <v>10</v>
      </c>
      <c r="F49" s="13"/>
      <c r="G49" s="13" t="s">
        <v>0</v>
      </c>
      <c r="H49" s="35" t="s">
        <v>9</v>
      </c>
      <c r="I49" s="32"/>
    </row>
    <row r="50" spans="1:9" ht="12.75" customHeight="1">
      <c r="A50" s="8"/>
      <c r="B50" s="44" t="s">
        <v>28</v>
      </c>
      <c r="C50" s="9" t="s">
        <v>134</v>
      </c>
      <c r="D50" s="9">
        <v>3</v>
      </c>
      <c r="E50" s="27" t="s">
        <v>12</v>
      </c>
      <c r="F50" s="28">
        <f t="shared" ref="F50:F51" si="7">VLOOKUP(E50,$AN$1:$AO$21,2,FALSE)</f>
        <v>12</v>
      </c>
      <c r="G50" s="12" t="s">
        <v>64</v>
      </c>
      <c r="H50" s="33">
        <v>19200</v>
      </c>
      <c r="I50" s="32"/>
    </row>
    <row r="51" spans="1:9">
      <c r="A51" s="8"/>
      <c r="B51" s="45"/>
      <c r="C51" s="9" t="s">
        <v>48</v>
      </c>
      <c r="D51" s="9">
        <v>12</v>
      </c>
      <c r="E51" s="27" t="s">
        <v>12</v>
      </c>
      <c r="F51" s="28">
        <f t="shared" si="7"/>
        <v>12</v>
      </c>
      <c r="G51" s="12" t="s">
        <v>73</v>
      </c>
      <c r="H51" s="33">
        <v>1200</v>
      </c>
      <c r="I51" s="32"/>
    </row>
    <row r="52" spans="1:9">
      <c r="A52" s="8"/>
      <c r="B52" s="45"/>
      <c r="C52" s="9" t="s">
        <v>47</v>
      </c>
      <c r="D52" s="9">
        <v>4</v>
      </c>
      <c r="E52" s="27" t="s">
        <v>12</v>
      </c>
      <c r="F52" s="28">
        <f t="shared" ref="F52:F56" si="8">VLOOKUP(E52,$AN$1:$AO$21,2,FALSE)</f>
        <v>12</v>
      </c>
      <c r="G52" s="12" t="s">
        <v>127</v>
      </c>
      <c r="H52" s="33">
        <v>30000</v>
      </c>
      <c r="I52" s="32"/>
    </row>
    <row r="53" spans="1:9">
      <c r="A53" s="8"/>
      <c r="B53" s="45"/>
      <c r="C53" s="9" t="s">
        <v>145</v>
      </c>
      <c r="D53" s="9">
        <v>3</v>
      </c>
      <c r="E53" s="27" t="s">
        <v>12</v>
      </c>
      <c r="F53" s="28">
        <f t="shared" ref="F53" si="9">VLOOKUP(E53,$AN$1:$AO$21,2,FALSE)</f>
        <v>12</v>
      </c>
      <c r="G53" s="12" t="s">
        <v>146</v>
      </c>
      <c r="H53" s="33">
        <v>4750</v>
      </c>
      <c r="I53" s="32"/>
    </row>
    <row r="54" spans="1:9">
      <c r="A54" s="8"/>
      <c r="B54" s="45"/>
      <c r="C54" s="9" t="s">
        <v>139</v>
      </c>
      <c r="D54" s="9">
        <v>3</v>
      </c>
      <c r="E54" s="27" t="s">
        <v>12</v>
      </c>
      <c r="F54" s="28">
        <f t="shared" ref="F54" si="10">VLOOKUP(E54,$AN$1:$AO$21,2,FALSE)</f>
        <v>12</v>
      </c>
      <c r="G54" s="12" t="s">
        <v>140</v>
      </c>
      <c r="H54" s="33">
        <v>16000</v>
      </c>
      <c r="I54" s="32"/>
    </row>
    <row r="55" spans="1:9">
      <c r="A55" s="8"/>
      <c r="B55" s="45"/>
      <c r="C55" s="9" t="s">
        <v>55</v>
      </c>
      <c r="D55" s="9">
        <v>15</v>
      </c>
      <c r="E55" s="27" t="s">
        <v>14</v>
      </c>
      <c r="F55" s="28">
        <f t="shared" si="8"/>
        <v>4</v>
      </c>
      <c r="G55" s="12" t="s">
        <v>55</v>
      </c>
      <c r="H55" s="33">
        <v>3700</v>
      </c>
      <c r="I55" s="32"/>
    </row>
    <row r="56" spans="1:9">
      <c r="A56" s="8"/>
      <c r="B56" s="45"/>
      <c r="C56" s="9" t="s">
        <v>54</v>
      </c>
      <c r="D56" s="9">
        <v>15</v>
      </c>
      <c r="E56" s="27" t="s">
        <v>14</v>
      </c>
      <c r="F56" s="28">
        <f t="shared" si="8"/>
        <v>4</v>
      </c>
      <c r="G56" s="12" t="s">
        <v>135</v>
      </c>
      <c r="H56" s="33">
        <v>3500</v>
      </c>
      <c r="I56" s="32"/>
    </row>
    <row r="57" spans="1:9">
      <c r="A57" s="8"/>
      <c r="B57" s="45"/>
      <c r="C57" s="9" t="s">
        <v>49</v>
      </c>
      <c r="D57" s="9">
        <v>4</v>
      </c>
      <c r="E57" s="27" t="s">
        <v>12</v>
      </c>
      <c r="F57" s="28">
        <f t="shared" ref="F57" si="11">VLOOKUP(E57,$AN$1:$AO$21,2,FALSE)</f>
        <v>12</v>
      </c>
      <c r="G57" s="12" t="s">
        <v>63</v>
      </c>
      <c r="H57" s="33">
        <v>6500</v>
      </c>
      <c r="I57" s="32"/>
    </row>
    <row r="58" spans="1:9">
      <c r="A58" s="8"/>
      <c r="B58" s="45"/>
      <c r="C58" s="9" t="s">
        <v>50</v>
      </c>
      <c r="D58" s="9">
        <v>3</v>
      </c>
      <c r="E58" s="27" t="s">
        <v>12</v>
      </c>
      <c r="F58" s="28">
        <f t="shared" ref="F58:F61" si="12">VLOOKUP(E58,$AN$1:$AO$21,2,FALSE)</f>
        <v>12</v>
      </c>
      <c r="G58" s="12" t="s">
        <v>58</v>
      </c>
      <c r="H58" s="33">
        <f>4000*D58</f>
        <v>12000</v>
      </c>
      <c r="I58" s="32"/>
    </row>
    <row r="59" spans="1:9">
      <c r="A59" s="8"/>
      <c r="B59" s="45"/>
      <c r="C59" s="9" t="s">
        <v>57</v>
      </c>
      <c r="D59" s="9">
        <v>4</v>
      </c>
      <c r="E59" s="27" t="s">
        <v>12</v>
      </c>
      <c r="F59" s="28">
        <f t="shared" si="12"/>
        <v>12</v>
      </c>
      <c r="G59" s="9" t="s">
        <v>51</v>
      </c>
      <c r="H59" s="33">
        <v>2100</v>
      </c>
      <c r="I59" s="32"/>
    </row>
    <row r="60" spans="1:9">
      <c r="A60" s="8"/>
      <c r="B60" s="45"/>
      <c r="C60" s="9" t="s">
        <v>57</v>
      </c>
      <c r="D60" s="9">
        <v>2</v>
      </c>
      <c r="E60" s="27" t="s">
        <v>12</v>
      </c>
      <c r="F60" s="28">
        <f t="shared" si="12"/>
        <v>12</v>
      </c>
      <c r="G60" s="9" t="s">
        <v>52</v>
      </c>
      <c r="H60" s="33">
        <v>2100</v>
      </c>
      <c r="I60" s="32"/>
    </row>
    <row r="61" spans="1:9">
      <c r="A61" s="8"/>
      <c r="B61" s="45"/>
      <c r="C61" s="9" t="s">
        <v>57</v>
      </c>
      <c r="D61" s="9">
        <v>2</v>
      </c>
      <c r="E61" s="27" t="s">
        <v>12</v>
      </c>
      <c r="F61" s="28">
        <f t="shared" si="12"/>
        <v>12</v>
      </c>
      <c r="G61" s="9" t="s">
        <v>62</v>
      </c>
      <c r="H61" s="33">
        <v>19000</v>
      </c>
      <c r="I61" s="32"/>
    </row>
    <row r="62" spans="1:9">
      <c r="A62" s="8"/>
      <c r="B62" s="45"/>
      <c r="C62" s="9" t="s">
        <v>56</v>
      </c>
      <c r="D62" s="9">
        <v>12</v>
      </c>
      <c r="E62" s="27" t="s">
        <v>12</v>
      </c>
      <c r="F62" s="28">
        <f t="shared" ref="F62" si="13">VLOOKUP(E62,$AN$1:$AO$21,2,FALSE)</f>
        <v>12</v>
      </c>
      <c r="G62" s="12" t="s">
        <v>136</v>
      </c>
      <c r="H62" s="33">
        <v>900</v>
      </c>
      <c r="I62" s="32"/>
    </row>
    <row r="63" spans="1:9">
      <c r="A63" s="8"/>
      <c r="B63" s="45"/>
      <c r="C63" s="9" t="s">
        <v>141</v>
      </c>
      <c r="D63" s="9">
        <v>6</v>
      </c>
      <c r="E63" s="27" t="s">
        <v>12</v>
      </c>
      <c r="F63" s="28">
        <f t="shared" ref="F63" si="14">VLOOKUP(E63,$AN$1:$AO$21,2,FALSE)</f>
        <v>12</v>
      </c>
      <c r="G63" s="9" t="s">
        <v>142</v>
      </c>
      <c r="H63" s="33">
        <v>2850</v>
      </c>
      <c r="I63" s="32"/>
    </row>
    <row r="64" spans="1:9">
      <c r="A64" s="8"/>
      <c r="B64" s="45"/>
      <c r="C64" s="9" t="s">
        <v>56</v>
      </c>
      <c r="D64" s="9">
        <v>12</v>
      </c>
      <c r="E64" s="27" t="s">
        <v>12</v>
      </c>
      <c r="F64" s="28">
        <f t="shared" ref="F64" si="15">VLOOKUP(E64,$AN$1:$AO$21,2,FALSE)</f>
        <v>12</v>
      </c>
      <c r="G64" s="12" t="s">
        <v>137</v>
      </c>
      <c r="H64" s="33">
        <v>700</v>
      </c>
      <c r="I64" s="32"/>
    </row>
    <row r="65" spans="1:40">
      <c r="A65" s="8"/>
      <c r="B65" s="45"/>
      <c r="C65" s="9" t="s">
        <v>56</v>
      </c>
      <c r="D65" s="9">
        <v>12</v>
      </c>
      <c r="E65" s="27" t="s">
        <v>12</v>
      </c>
      <c r="F65" s="28">
        <f t="shared" ref="F65" si="16">VLOOKUP(E65,$AN$1:$AO$21,2,FALSE)</f>
        <v>12</v>
      </c>
      <c r="G65" s="12" t="s">
        <v>138</v>
      </c>
      <c r="H65" s="33">
        <v>300</v>
      </c>
      <c r="I65" s="32"/>
    </row>
    <row r="66" spans="1:40">
      <c r="A66" s="8"/>
      <c r="B66" s="45"/>
      <c r="C66" s="9" t="s">
        <v>60</v>
      </c>
      <c r="D66" s="9">
        <v>2</v>
      </c>
      <c r="E66" s="27" t="s">
        <v>12</v>
      </c>
      <c r="F66" s="28">
        <f t="shared" ref="F66" si="17">VLOOKUP(E66,$AN$1:$AO$21,2,FALSE)</f>
        <v>12</v>
      </c>
      <c r="G66" s="12" t="s">
        <v>59</v>
      </c>
      <c r="H66" s="33">
        <v>12000</v>
      </c>
      <c r="I66" s="32"/>
    </row>
    <row r="67" spans="1:40">
      <c r="A67" s="8"/>
      <c r="B67" s="45"/>
      <c r="C67" s="9" t="s">
        <v>143</v>
      </c>
      <c r="D67" s="9">
        <v>2</v>
      </c>
      <c r="E67" s="27" t="s">
        <v>12</v>
      </c>
      <c r="F67" s="28">
        <f t="shared" ref="F67" si="18">VLOOKUP(E67,$AN$1:$AO$21,2,FALSE)</f>
        <v>12</v>
      </c>
      <c r="G67" s="12" t="s">
        <v>144</v>
      </c>
      <c r="H67" s="33">
        <v>19450</v>
      </c>
      <c r="I67" s="32"/>
    </row>
    <row r="68" spans="1:40">
      <c r="A68" s="8"/>
      <c r="B68" s="45"/>
      <c r="C68" s="9" t="s">
        <v>61</v>
      </c>
      <c r="D68" s="9">
        <v>6</v>
      </c>
      <c r="E68" s="27" t="s">
        <v>12</v>
      </c>
      <c r="F68" s="28">
        <f t="shared" ref="F68" si="19">VLOOKUP(E68,$AN$1:$AO$22,2,FALSE)</f>
        <v>12</v>
      </c>
      <c r="G68" s="12" t="s">
        <v>130</v>
      </c>
      <c r="H68" s="33">
        <v>18700</v>
      </c>
      <c r="I68" s="32"/>
    </row>
    <row r="69" spans="1:40">
      <c r="A69" s="8"/>
      <c r="B69" s="45"/>
      <c r="C69" s="9" t="s">
        <v>53</v>
      </c>
      <c r="D69" s="9">
        <v>1</v>
      </c>
      <c r="E69" s="27" t="s">
        <v>12</v>
      </c>
      <c r="F69" s="28">
        <f t="shared" ref="F69:F72" si="20">VLOOKUP(E69,$AN$1:$AO$22,2,FALSE)</f>
        <v>12</v>
      </c>
      <c r="G69" s="12" t="s">
        <v>65</v>
      </c>
      <c r="H69" s="33">
        <f>6000*D69</f>
        <v>6000</v>
      </c>
      <c r="I69" s="32"/>
    </row>
    <row r="70" spans="1:40">
      <c r="A70" s="8"/>
      <c r="B70" s="45"/>
      <c r="C70" s="9" t="s">
        <v>66</v>
      </c>
      <c r="D70" s="9">
        <v>1</v>
      </c>
      <c r="E70" s="27" t="s">
        <v>12</v>
      </c>
      <c r="F70" s="28">
        <f t="shared" si="20"/>
        <v>12</v>
      </c>
      <c r="G70" s="12" t="s">
        <v>67</v>
      </c>
      <c r="H70" s="33">
        <f>6000/D70</f>
        <v>6000</v>
      </c>
      <c r="I70" s="32"/>
    </row>
    <row r="71" spans="1:40">
      <c r="A71" s="8"/>
      <c r="B71" s="45"/>
      <c r="C71" s="9" t="s">
        <v>68</v>
      </c>
      <c r="D71" s="9">
        <v>1</v>
      </c>
      <c r="E71" s="27" t="s">
        <v>12</v>
      </c>
      <c r="F71" s="28">
        <f t="shared" si="20"/>
        <v>12</v>
      </c>
      <c r="G71" s="12" t="s">
        <v>69</v>
      </c>
      <c r="H71" s="33">
        <f>7000*D71</f>
        <v>7000</v>
      </c>
      <c r="I71" s="32"/>
    </row>
    <row r="72" spans="1:40" ht="15" customHeight="1">
      <c r="B72" s="45"/>
      <c r="C72" s="9" t="s">
        <v>70</v>
      </c>
      <c r="D72" s="9">
        <v>1</v>
      </c>
      <c r="E72" s="27" t="s">
        <v>12</v>
      </c>
      <c r="F72" s="28">
        <f t="shared" si="20"/>
        <v>12</v>
      </c>
      <c r="G72" s="12" t="s">
        <v>71</v>
      </c>
      <c r="H72" s="33">
        <f>6000*D72</f>
        <v>6000</v>
      </c>
      <c r="I72" s="32"/>
    </row>
    <row r="73" spans="1:40" ht="15" customHeight="1">
      <c r="H73" s="18"/>
      <c r="I73" s="32"/>
    </row>
    <row r="74" spans="1:40" ht="15" customHeight="1">
      <c r="H74" s="18"/>
      <c r="I74" s="32"/>
    </row>
    <row r="75" spans="1:40" ht="15" customHeight="1">
      <c r="H75" s="18"/>
      <c r="I75" s="32"/>
      <c r="J75" s="34"/>
    </row>
    <row r="76" spans="1:40" ht="15" customHeight="1">
      <c r="H76" s="18"/>
      <c r="AM76" s="26"/>
      <c r="AN76" s="26"/>
    </row>
    <row r="77" spans="1:40" ht="15" customHeight="1">
      <c r="H77" s="18"/>
      <c r="AM77" s="26"/>
      <c r="AN77" s="26"/>
    </row>
    <row r="78" spans="1:40" ht="15" customHeight="1">
      <c r="H78" s="18"/>
      <c r="AM78" s="26"/>
      <c r="AN78" s="26"/>
    </row>
    <row r="79" spans="1:40" ht="15" customHeight="1">
      <c r="H79" s="18"/>
      <c r="AM79" s="26"/>
      <c r="AN79" s="26"/>
    </row>
    <row r="80" spans="1:40" ht="15" customHeight="1">
      <c r="H80" s="18"/>
      <c r="AM80" s="26"/>
      <c r="AN80" s="26"/>
    </row>
    <row r="81" spans="7:41" ht="15" customHeight="1">
      <c r="H81" s="18"/>
      <c r="AM81" s="26"/>
      <c r="AN81" s="26"/>
    </row>
    <row r="82" spans="7:41" ht="15" customHeight="1">
      <c r="H82" s="18"/>
      <c r="AM82" s="26"/>
      <c r="AN82" s="26"/>
    </row>
    <row r="83" spans="7:41" ht="15" customHeight="1">
      <c r="H83" s="18"/>
      <c r="AM83" s="26"/>
      <c r="AN83" s="26"/>
    </row>
    <row r="84" spans="7:41" ht="15" customHeight="1">
      <c r="H84" s="18"/>
      <c r="AM84" s="26"/>
      <c r="AN84" s="26"/>
    </row>
    <row r="85" spans="7:41" s="3" customFormat="1" ht="15" customHeight="1">
      <c r="G85" s="10"/>
      <c r="H85" s="18"/>
      <c r="I85" s="1"/>
      <c r="J85" s="1"/>
      <c r="K85" s="1"/>
      <c r="L85" s="1"/>
      <c r="AM85" s="26"/>
      <c r="AN85" s="26"/>
      <c r="AO85"/>
    </row>
    <row r="86" spans="7:41" s="3" customFormat="1" ht="15" customHeight="1">
      <c r="G86" s="10"/>
      <c r="H86" s="18"/>
      <c r="I86" s="1"/>
      <c r="J86" s="1"/>
      <c r="K86" s="1"/>
      <c r="L86" s="1"/>
      <c r="AM86" s="26"/>
      <c r="AN86" s="26"/>
      <c r="AO86"/>
    </row>
    <row r="87" spans="7:41" s="3" customFormat="1" ht="15" customHeight="1">
      <c r="G87" s="10"/>
      <c r="H87" s="18"/>
      <c r="I87" s="1"/>
      <c r="J87" s="1"/>
      <c r="K87" s="1"/>
      <c r="L87" s="1"/>
      <c r="AM87"/>
      <c r="AN87"/>
      <c r="AO87"/>
    </row>
    <row r="88" spans="7:41" s="3" customFormat="1" ht="15" customHeight="1">
      <c r="G88" s="10"/>
      <c r="H88" s="18"/>
      <c r="I88" s="1"/>
      <c r="J88" s="1"/>
      <c r="K88" s="1"/>
      <c r="L88" s="1"/>
      <c r="AM88"/>
      <c r="AN88"/>
      <c r="AO88"/>
    </row>
    <row r="89" spans="7:41" s="3" customFormat="1" ht="15" customHeight="1">
      <c r="G89" s="10"/>
      <c r="H89" s="18"/>
      <c r="I89" s="1"/>
      <c r="J89" s="1"/>
      <c r="K89" s="1"/>
      <c r="L89" s="1"/>
      <c r="AM89"/>
      <c r="AN89"/>
      <c r="AO89"/>
    </row>
    <row r="90" spans="7:41" s="3" customFormat="1" ht="15" customHeight="1">
      <c r="G90" s="10"/>
      <c r="H90" s="2"/>
      <c r="I90" s="1"/>
      <c r="J90" s="1"/>
      <c r="K90" s="1"/>
      <c r="L90" s="1"/>
      <c r="AM90"/>
      <c r="AN90"/>
      <c r="AO90"/>
    </row>
    <row r="91" spans="7:41" s="3" customFormat="1" ht="15" customHeight="1">
      <c r="G91" s="10"/>
      <c r="H91" s="2"/>
      <c r="I91" s="1"/>
      <c r="J91" s="1"/>
      <c r="K91" s="1"/>
      <c r="L91" s="1"/>
      <c r="AM91"/>
      <c r="AN91"/>
      <c r="AO91"/>
    </row>
    <row r="92" spans="7:41" s="3" customFormat="1" ht="15" customHeight="1">
      <c r="G92" s="10"/>
      <c r="H92" s="2"/>
      <c r="I92" s="1"/>
      <c r="J92" s="1"/>
      <c r="K92" s="1"/>
      <c r="L92" s="1"/>
      <c r="AM92"/>
      <c r="AN92"/>
      <c r="AO92"/>
    </row>
    <row r="93" spans="7:41" s="3" customFormat="1" ht="15" customHeight="1">
      <c r="G93" s="10"/>
      <c r="H93" s="2"/>
      <c r="I93" s="1"/>
      <c r="J93" s="1"/>
      <c r="K93" s="1"/>
      <c r="L93" s="1"/>
      <c r="AM93"/>
      <c r="AN93"/>
      <c r="AO93"/>
    </row>
    <row r="94" spans="7:41" s="3" customFormat="1" ht="15" customHeight="1">
      <c r="G94" s="10"/>
      <c r="H94" s="2"/>
      <c r="I94" s="1"/>
      <c r="J94" s="1"/>
      <c r="K94" s="1"/>
      <c r="L94" s="1"/>
      <c r="AM94"/>
      <c r="AN94"/>
      <c r="AO94"/>
    </row>
    <row r="95" spans="7:41" s="3" customFormat="1" ht="15" customHeight="1">
      <c r="G95" s="10"/>
      <c r="H95" s="2"/>
      <c r="I95" s="1"/>
      <c r="J95" s="1"/>
      <c r="K95" s="1"/>
      <c r="L95" s="1"/>
      <c r="AM95"/>
      <c r="AN95"/>
      <c r="AO95"/>
    </row>
    <row r="96" spans="7: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ht="15" customHeight="1"/>
    <row r="102" spans="7:41" ht="15" customHeight="1" thickBot="1"/>
    <row r="103" spans="7:41" ht="15" customHeight="1" thickBot="1">
      <c r="H103" s="15"/>
    </row>
    <row r="104" spans="7:41">
      <c r="H104" s="5"/>
    </row>
    <row r="105" spans="7:41">
      <c r="H105" s="5"/>
    </row>
    <row r="106" spans="7:41">
      <c r="H106" s="5"/>
    </row>
    <row r="107" spans="7:41">
      <c r="H107" s="5"/>
    </row>
    <row r="108" spans="7:41">
      <c r="H108" s="5"/>
    </row>
    <row r="109" spans="7:41">
      <c r="H109" s="5"/>
    </row>
    <row r="110" spans="7:41">
      <c r="H110" s="4"/>
    </row>
    <row r="111" spans="7:41">
      <c r="H111" s="5"/>
    </row>
    <row r="112" spans="7:41">
      <c r="H112" s="5"/>
    </row>
    <row r="113" spans="8:8">
      <c r="H113" s="5"/>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sheetData>
  <protectedRanges>
    <protectedRange sqref="E12:E36 E4:E10 E44:E47 E50:E67" name="Ingreso"/>
    <protectedRange sqref="E37:E42" name="Ingreso_1"/>
    <protectedRange sqref="E48" name="Ingreso_3"/>
    <protectedRange sqref="E68:E72" name="Ingreso_4"/>
  </protectedRanges>
  <mergeCells count="5">
    <mergeCell ref="B44:B48"/>
    <mergeCell ref="D2:G2"/>
    <mergeCell ref="B4:B10"/>
    <mergeCell ref="B12:B42"/>
    <mergeCell ref="B50:B72"/>
  </mergeCells>
  <conditionalFormatting sqref="F4 F12:F42 F69 F71:F72">
    <cfRule type="cellIs" dxfId="18" priority="26" stopIfTrue="1" operator="equal">
      <formula>0</formula>
    </cfRule>
  </conditionalFormatting>
  <conditionalFormatting sqref="F5:F8 F10">
    <cfRule type="cellIs" dxfId="17" priority="25" stopIfTrue="1" operator="equal">
      <formula>0</formula>
    </cfRule>
  </conditionalFormatting>
  <conditionalFormatting sqref="F44:F47">
    <cfRule type="cellIs" dxfId="16" priority="23" stopIfTrue="1" operator="equal">
      <formula>0</formula>
    </cfRule>
  </conditionalFormatting>
  <conditionalFormatting sqref="F50:F51">
    <cfRule type="cellIs" dxfId="15" priority="22" stopIfTrue="1" operator="equal">
      <formula>0</formula>
    </cfRule>
  </conditionalFormatting>
  <conditionalFormatting sqref="F48">
    <cfRule type="cellIs" dxfId="14" priority="17" stopIfTrue="1" operator="equal">
      <formula>0</formula>
    </cfRule>
  </conditionalFormatting>
  <conditionalFormatting sqref="F9">
    <cfRule type="cellIs" dxfId="13" priority="18" stopIfTrue="1" operator="equal">
      <formula>0</formula>
    </cfRule>
  </conditionalFormatting>
  <conditionalFormatting sqref="F70">
    <cfRule type="cellIs" dxfId="12" priority="15" stopIfTrue="1" operator="equal">
      <formula>0</formula>
    </cfRule>
  </conditionalFormatting>
  <conditionalFormatting sqref="F64">
    <cfRule type="cellIs" dxfId="11" priority="8" stopIfTrue="1" operator="equal">
      <formula>0</formula>
    </cfRule>
  </conditionalFormatting>
  <conditionalFormatting sqref="F68">
    <cfRule type="cellIs" dxfId="10" priority="6" stopIfTrue="1" operator="equal">
      <formula>0</formula>
    </cfRule>
  </conditionalFormatting>
  <conditionalFormatting sqref="F52 F55:F56">
    <cfRule type="cellIs" dxfId="9" priority="14" stopIfTrue="1" operator="equal">
      <formula>0</formula>
    </cfRule>
  </conditionalFormatting>
  <conditionalFormatting sqref="F57">
    <cfRule type="cellIs" dxfId="8" priority="13" stopIfTrue="1" operator="equal">
      <formula>0</formula>
    </cfRule>
  </conditionalFormatting>
  <conditionalFormatting sqref="F66">
    <cfRule type="cellIs" dxfId="7" priority="7" stopIfTrue="1" operator="equal">
      <formula>0</formula>
    </cfRule>
  </conditionalFormatting>
  <conditionalFormatting sqref="F58:F61">
    <cfRule type="cellIs" dxfId="6" priority="10" stopIfTrue="1" operator="equal">
      <formula>0</formula>
    </cfRule>
  </conditionalFormatting>
  <conditionalFormatting sqref="F62">
    <cfRule type="cellIs" dxfId="5" priority="9" stopIfTrue="1" operator="equal">
      <formula>0</formula>
    </cfRule>
  </conditionalFormatting>
  <conditionalFormatting sqref="F65">
    <cfRule type="cellIs" dxfId="4" priority="5" stopIfTrue="1" operator="equal">
      <formula>0</formula>
    </cfRule>
  </conditionalFormatting>
  <conditionalFormatting sqref="F54">
    <cfRule type="cellIs" dxfId="3" priority="4" stopIfTrue="1" operator="equal">
      <formula>0</formula>
    </cfRule>
  </conditionalFormatting>
  <conditionalFormatting sqref="F63">
    <cfRule type="cellIs" dxfId="2" priority="3" stopIfTrue="1" operator="equal">
      <formula>0</formula>
    </cfRule>
  </conditionalFormatting>
  <conditionalFormatting sqref="F67">
    <cfRule type="cellIs" dxfId="1" priority="2" stopIfTrue="1" operator="equal">
      <formula>0</formula>
    </cfRule>
  </conditionalFormatting>
  <conditionalFormatting sqref="F53">
    <cfRule type="cellIs" dxfId="0" priority="1" stopIfTrue="1" operator="equal">
      <formula>0</formula>
    </cfRule>
  </conditionalFormatting>
  <dataValidations xWindow="475" yWindow="730" count="2">
    <dataValidation type="list" allowBlank="1" showInputMessage="1" showErrorMessage="1" error="Por favor especifique &quot;Otro&quot; y en la siguiente columna especifíquelo" sqref="E4:E10 E12:E36 E44:E47 E50:E67">
      <formula1>$AN$1:$AN$21</formula1>
    </dataValidation>
    <dataValidation type="list" allowBlank="1" showInputMessage="1" showErrorMessage="1" error="Por favor especifique &quot;Otro&quot; y en la siguiente columna especifíquelo" sqref="E37:E42 E48 E68:E72">
      <formula1>$AN$1:$AN$22</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Carrusel de la Alegria</vt:lpstr>
      <vt:lpstr>'Carrusel de la Alegria'!Área_de_impresión</vt:lpstr>
      <vt:lpstr>'Carrusel de la Alegria'!Títulos_a_imprimir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