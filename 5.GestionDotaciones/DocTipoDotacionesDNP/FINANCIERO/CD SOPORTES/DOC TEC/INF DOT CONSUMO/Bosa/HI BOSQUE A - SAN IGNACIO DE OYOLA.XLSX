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Mod. Institucional 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'Mod. Institucional HI'!$B$4:$L$91</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'Mod. Institucional HI'!$B$2:$H$91</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'Mod. Institucional HI'!$2:$3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 i="1" l="1"/>
  <c r="H91" i="1" l="1"/>
  <c r="H90" i="1"/>
  <c r="F82" i="1"/>
  <c r="H82" i="1"/>
  <c r="H80" i="1"/>
  <c r="H78" i="1"/>
  <c r="H77" i="1"/>
  <c r="H89" i="1"/>
  <c r="H88" i="1"/>
  <c r="H75" i="1"/>
  <c r="H87" i="1"/>
  <c r="H76" i="1"/>
  <c r="H70" i="1"/>
  <c r="H68" i="1"/>
  <c r="D29" i="1" l="1"/>
  <c r="F35" i="1"/>
  <c r="F34" i="1"/>
  <c r="F33" i="1"/>
  <c r="F31" i="1"/>
  <c r="F30" i="1"/>
  <c r="F29" i="1"/>
  <c r="F28" i="1"/>
  <c r="F27" i="1"/>
  <c r="F61" i="1"/>
  <c r="F60" i="1"/>
  <c r="F59" i="1"/>
  <c r="F58" i="1"/>
  <c r="F57" i="1"/>
  <c r="F56" i="1"/>
  <c r="F55" i="1"/>
  <c r="F54" i="1"/>
  <c r="D54" i="1"/>
  <c r="F53" i="1"/>
  <c r="F52" i="1"/>
  <c r="F51" i="1"/>
  <c r="F50" i="1"/>
  <c r="F47" i="1"/>
  <c r="F46" i="1"/>
  <c r="F45" i="1"/>
  <c r="F44" i="1"/>
  <c r="F43" i="1"/>
  <c r="F42" i="1"/>
  <c r="F41" i="1"/>
  <c r="F40" i="1"/>
  <c r="F39" i="1"/>
  <c r="F38" i="1"/>
  <c r="F37" i="1"/>
  <c r="F36" i="1"/>
  <c r="F91" i="1" l="1"/>
  <c r="F90" i="1"/>
  <c r="F89" i="1"/>
  <c r="F88" i="1"/>
  <c r="F87" i="1"/>
  <c r="F85" i="1"/>
  <c r="F84" i="1"/>
  <c r="F83" i="1"/>
  <c r="F81" i="1"/>
  <c r="F80" i="1"/>
  <c r="F79" i="1"/>
  <c r="F78" i="1"/>
  <c r="F77" i="1"/>
  <c r="F76" i="1"/>
  <c r="F75" i="1"/>
  <c r="F74" i="1"/>
  <c r="F72" i="1"/>
  <c r="F70" i="1"/>
  <c r="F69" i="1"/>
  <c r="F68" i="1"/>
  <c r="F67" i="1"/>
  <c r="F66" i="1"/>
  <c r="F65" i="1"/>
  <c r="F63" i="1"/>
  <c r="F26" i="1"/>
  <c r="F25" i="1"/>
  <c r="F24" i="1"/>
  <c r="F23" i="1"/>
  <c r="F22" i="1"/>
  <c r="F21" i="1"/>
  <c r="F20" i="1"/>
  <c r="F19" i="1"/>
  <c r="F18" i="1"/>
  <c r="F17" i="1"/>
  <c r="F16" i="1"/>
  <c r="F15" i="1"/>
  <c r="F14" i="1"/>
  <c r="F13" i="1"/>
  <c r="F12" i="1"/>
  <c r="F8" i="1"/>
  <c r="F7" i="1"/>
  <c r="F6" i="1"/>
  <c r="F5" i="1"/>
  <c r="AO16" i="1"/>
  <c r="AO15" i="1"/>
  <c r="AO14" i="1"/>
  <c r="AO13" i="1"/>
  <c r="AO12" i="1"/>
  <c r="AO11" i="1"/>
  <c r="AO10" i="1"/>
  <c r="AO9" i="1"/>
  <c r="AO8" i="1"/>
  <c r="AO7" i="1"/>
  <c r="AO6" i="1"/>
  <c r="AO5" i="1"/>
  <c r="AO4" i="1"/>
  <c r="F32" i="1" s="1"/>
  <c r="AO3" i="1"/>
  <c r="F86" i="1" s="1"/>
  <c r="F11" i="1" l="1"/>
  <c r="F73" i="1"/>
  <c r="F4" i="1"/>
  <c r="F49" i="1"/>
  <c r="F48" i="1"/>
  <c r="F64" i="1"/>
  <c r="A73" i="1"/>
  <c r="A74" i="1" s="1"/>
  <c r="A75" i="1" s="1"/>
  <c r="A76" i="1" s="1"/>
  <c r="A77" i="1" s="1"/>
  <c r="A78" i="1" s="1"/>
  <c r="A79" i="1" s="1"/>
  <c r="A80" i="1" s="1"/>
  <c r="A81" i="1" s="1"/>
  <c r="A83" i="1" s="1"/>
  <c r="A84" i="1" s="1"/>
  <c r="A85" i="1" s="1"/>
  <c r="A86" i="1" s="1"/>
  <c r="A87" i="1" s="1"/>
  <c r="A88" i="1" s="1"/>
  <c r="A89" i="1" s="1"/>
  <c r="A90" i="1" s="1"/>
  <c r="A91" i="1" s="1"/>
  <c r="A64" i="1"/>
  <c r="A65" i="1" s="1"/>
  <c r="A66" i="1" s="1"/>
  <c r="A67" i="1" s="1"/>
  <c r="A68" i="1" s="1"/>
  <c r="A69" i="1" s="1"/>
  <c r="A70" i="1" s="1"/>
  <c r="A11" i="1"/>
  <c r="A12" i="1" s="1"/>
  <c r="A13" i="1" s="1"/>
  <c r="A14" i="1" s="1"/>
  <c r="A15" i="1" s="1"/>
  <c r="A16" i="1" s="1"/>
  <c r="A17" i="1" s="1"/>
  <c r="A18" i="1" s="1"/>
  <c r="A19" i="1" s="1"/>
  <c r="A20" i="1" s="1"/>
  <c r="A21" i="1" s="1"/>
  <c r="A22" i="1" s="1"/>
  <c r="A23" i="1" s="1"/>
  <c r="A24" i="1" s="1"/>
  <c r="A25" i="1" s="1"/>
  <c r="A26"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6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6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71"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71"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<sst xmlns="http://schemas.openxmlformats.org/spreadsheetml/2006/main" count="294" uniqueCount="177">
  <si>
    <t>Decripción</t>
  </si>
  <si>
    <t>Serv. Publicos</t>
  </si>
  <si>
    <t>Acueducto y alcantarillado</t>
  </si>
  <si>
    <t>Energía</t>
  </si>
  <si>
    <t>Teléfono fijo</t>
  </si>
  <si>
    <t>Celular</t>
  </si>
  <si>
    <t>Gas</t>
  </si>
  <si>
    <t>Otro</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</si>
  <si>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</si>
  <si>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</si>
  <si>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</si>
  <si>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</si>
  <si>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</si>
  <si>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</si>
  <si>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</si>
  <si>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</si>
  <si>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</si>
  <si>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</si>
  <si>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</si>
  <si>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</si>
  <si>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</si>
  <si>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2 Años</t>
  </si>
  <si>
    <t>Cada 3 Años</t>
  </si>
  <si>
    <t>Cada 4 Años</t>
  </si>
  <si>
    <t>Cada 5 Años</t>
  </si>
  <si>
    <t>Cada 10 Años</t>
  </si>
  <si>
    <t>Cada 20 Años</t>
  </si>
  <si>
    <t>Veces
/año</t>
  </si>
  <si>
    <r>
      <t xml:space="preserve">Mantenimiento y adecuaciones </t>
    </r>
    <r>
      <rPr>
        <b/>
        <sz val="8"/>
        <rFont val="Arial"/>
        <family val="2"/>
      </rPr>
      <t>(Elementos de aseo institucional, mantenimiento de la sede, el control de agua (lavado de tanques), fumigaciones, manejo de basuras y control de plagas)</t>
    </r>
  </si>
  <si>
    <t>CAPACIDAD UDS / DESCRIPCIÓN</t>
  </si>
  <si>
    <t>VALORES</t>
  </si>
  <si>
    <t>Cantidad</t>
  </si>
  <si>
    <t>EAAB</t>
  </si>
  <si>
    <t>CODENSA</t>
  </si>
  <si>
    <t>TELEFONIA FIJA + INTERNET</t>
  </si>
  <si>
    <t>GAS NATURAL</t>
  </si>
  <si>
    <t>TAPAS TIPO YUTE OFICIO</t>
  </si>
  <si>
    <t>TAPAS TIPO YUTE</t>
  </si>
  <si>
    <t>FOAMY PLIEGO SURTIDO X 10</t>
  </si>
  <si>
    <t>FOAMY PLIEGO</t>
  </si>
  <si>
    <t>PAPEL PERIODICO X 25 PLIEGOS</t>
  </si>
  <si>
    <t>PAPEL PERIODICO</t>
  </si>
  <si>
    <t>PAPEL KRAF 90 GRM PLIEGO X 25</t>
  </si>
  <si>
    <t>PAPEL KRAF 90 GRM</t>
  </si>
  <si>
    <t>PAPEL SEDA LILA X 25 PLIEGOS</t>
  </si>
  <si>
    <t>PAPEL SEDA</t>
  </si>
  <si>
    <t>PAPEL CREPE SURTIDO X 10</t>
  </si>
  <si>
    <t>PAPEL CREPE</t>
  </si>
  <si>
    <t xml:space="preserve">CARTULINA BRISTOL PLIEGO BLANCA </t>
  </si>
  <si>
    <t>CARTULINA BRISTOL PLIEGO</t>
  </si>
  <si>
    <t>PAPEL SILUETA 1/8 X 10</t>
  </si>
  <si>
    <t>PAPEL SILUETA 1/8</t>
  </si>
  <si>
    <t>BLOCK IRIS CARTA FINO</t>
  </si>
  <si>
    <t>BLOCK IRIS</t>
  </si>
  <si>
    <t>FOAMY 1/8 X 10 SURTIDO</t>
  </si>
  <si>
    <t>FOAMY 1/8</t>
  </si>
  <si>
    <t>FOAMY ESCARCHADO 1/8 SURTIDO X 10</t>
  </si>
  <si>
    <t>FOAMY ESCARCHADO 1/8</t>
  </si>
  <si>
    <t>RESMA CARTA</t>
  </si>
  <si>
    <t>RESMA OFICIO</t>
  </si>
  <si>
    <t>CARTON PAJA 1/8 X 25</t>
  </si>
  <si>
    <t>CARTON PAJA 1/8</t>
  </si>
  <si>
    <t>CARTON PAJA PLIEGO</t>
  </si>
  <si>
    <t>VINILO KILO</t>
  </si>
  <si>
    <t>VINILO KILO FLUORESCENTE</t>
  </si>
  <si>
    <t>PEGANTE EN BARRA 40 GR</t>
  </si>
  <si>
    <t xml:space="preserve">MARCADOR PERMANENTE </t>
  </si>
  <si>
    <t>MARCADOR PERMANENTE REF. 420</t>
  </si>
  <si>
    <t>MARCADOR BORRASECO</t>
  </si>
  <si>
    <t>MARCADOR BORRASECO REF. 424</t>
  </si>
  <si>
    <t>BORRADOR PARA TABLERO MADERA</t>
  </si>
  <si>
    <t>RESALTADOR MARK 2</t>
  </si>
  <si>
    <t>RESALTADOR</t>
  </si>
  <si>
    <t>COLORES</t>
  </si>
  <si>
    <t>COLORES PUNTA SENCILLA X 12 GAMA MEDIA</t>
  </si>
  <si>
    <t>ESCARCHA</t>
  </si>
  <si>
    <t>ESCARCHA X LIBRA</t>
  </si>
  <si>
    <t>LENTEJUELAS</t>
  </si>
  <si>
    <t>ROLLO DE LENTEJUELAS</t>
  </si>
  <si>
    <t>PLUMON</t>
  </si>
  <si>
    <t>PLUMON X 12</t>
  </si>
  <si>
    <t>LANA</t>
  </si>
  <si>
    <t>LANA SURTIDA X 12</t>
  </si>
  <si>
    <t>PINTUCARITA</t>
  </si>
  <si>
    <t>PINTUCARITA X 12 SURTIDA</t>
  </si>
  <si>
    <t>PAPEL CELOFAN</t>
  </si>
  <si>
    <t>PAPEL CELOFAN X 25</t>
  </si>
  <si>
    <t>CREYON</t>
  </si>
  <si>
    <t>CREYON JUMBO X 10</t>
  </si>
  <si>
    <t>PEGANTE LIQUIDO</t>
  </si>
  <si>
    <t>PEGANTE LIQUIDO SIPEGA 250 GR</t>
  </si>
  <si>
    <t>ARCILLA</t>
  </si>
  <si>
    <t>ARCILLA PAQUETE MEDIANO</t>
  </si>
  <si>
    <t>BOLSILLO CATALOGO</t>
  </si>
  <si>
    <t>BOLSILLO CATALOGO CARTA GRUESO X 25</t>
  </si>
  <si>
    <t>BOLSILLO CATALOGO OFICIO GRUESO X 25</t>
  </si>
  <si>
    <t>AZ</t>
  </si>
  <si>
    <t>AZ ARCHIVADOR OFICIO PLASTIFICADO ECONOMICO</t>
  </si>
  <si>
    <t>AZ ARCHIVADOR CARTA PLASTIFICADO ECONOMICO</t>
  </si>
  <si>
    <t>PISTOLA SILICONA</t>
  </si>
  <si>
    <t>PISTOLA SILICONA PEQUEÑA</t>
  </si>
  <si>
    <t>PISTOLA SILICONA GRANDE</t>
  </si>
  <si>
    <t>BARRA SILICONA</t>
  </si>
  <si>
    <t>BARRA SILICONA DELGADA KILO</t>
  </si>
  <si>
    <t>CLIP METALICO</t>
  </si>
  <si>
    <t>CLIP ESTÁNDAR X 100 PZS</t>
  </si>
  <si>
    <t>POST IT</t>
  </si>
  <si>
    <t>POST IT 5 CM 320 STICKERS</t>
  </si>
  <si>
    <t>CORRECTOR</t>
  </si>
  <si>
    <t>CORRECTOR ESFERO LIQUIDO GAMA ALTA</t>
  </si>
  <si>
    <t xml:space="preserve">LAPIZ </t>
  </si>
  <si>
    <t>LAPIZ ROJO CAJA X 12 GAMA MEDIA</t>
  </si>
  <si>
    <t>LAPIZ NEGRO CAJA X 12 GAMA MEDIA</t>
  </si>
  <si>
    <t>ESFERO</t>
  </si>
  <si>
    <t>ESFERO BIC NEGRO X 12</t>
  </si>
  <si>
    <t>BOMBA</t>
  </si>
  <si>
    <t>BOMBA R-12 X 50 SURTIDA</t>
  </si>
  <si>
    <t>CARPETA</t>
  </si>
  <si>
    <t>CARPETA PLASTICA LEGAJADORA OFICIO</t>
  </si>
  <si>
    <t>PALO DE PALETA</t>
  </si>
  <si>
    <t>PALO DE PALETA X 1000</t>
  </si>
  <si>
    <t>PALO DE PINCHO</t>
  </si>
  <si>
    <t>PALOD E PINCHO 25 X 200</t>
  </si>
  <si>
    <t>PAPEL HIGIENICO</t>
  </si>
  <si>
    <t>ROLLO DE PAPEL HIGIENICO DISPENSADOR</t>
  </si>
  <si>
    <t>ROLLO PAPEL HIGIENICO DOBLE HOJA</t>
  </si>
  <si>
    <t>TOALLAS MANO</t>
  </si>
  <si>
    <t>PAQUETE TOALLA PARA MONOS DE DISPENSADOR</t>
  </si>
  <si>
    <t>SERVILLETA</t>
  </si>
  <si>
    <t>PAQUETE DE SERVILLETA X 100</t>
  </si>
  <si>
    <t>PAÑITOS HUMEDOS</t>
  </si>
  <si>
    <t>PAQTE PAÑITOS HUMEDOS X 100</t>
  </si>
  <si>
    <t>GEL ANTIBACTERIAL</t>
  </si>
  <si>
    <t>GEL ANTIBACTERIAL LITRO</t>
  </si>
  <si>
    <t>JABON LIQUIDO</t>
  </si>
  <si>
    <t>JABON LIQUIDO PARA MANOS LITRO</t>
  </si>
  <si>
    <t>JABON LIQUIDO LAVACOLITAS LITRO</t>
  </si>
  <si>
    <t>JABON EN POLVO</t>
  </si>
  <si>
    <t>JABON BARRA</t>
  </si>
  <si>
    <t>JABON LOZA</t>
  </si>
  <si>
    <t>HIPOCLORITO / CLOROX</t>
  </si>
  <si>
    <t>DESENGRASANTE</t>
  </si>
  <si>
    <t>GUANTES NEGROS CALIBRE 35</t>
  </si>
  <si>
    <t>GUANTES COLOR CALIBRE 35</t>
  </si>
  <si>
    <t xml:space="preserve">TAPOBOCAS </t>
  </si>
  <si>
    <t>ESCOBA</t>
  </si>
  <si>
    <t>TRAPERO</t>
  </si>
  <si>
    <t>SABRA PARA LOZA</t>
  </si>
  <si>
    <t>ESPONJILLA</t>
  </si>
  <si>
    <t>GUANTES</t>
  </si>
  <si>
    <t>ESCOBA CERDAS SUVES</t>
  </si>
  <si>
    <t>DESENGRASANTE X 4 LITROS</t>
  </si>
  <si>
    <t>GALON LIMPIAVIDRIOS X 4 LITROS</t>
  </si>
  <si>
    <t>LIMPIAVIDRIOS</t>
  </si>
  <si>
    <t>CERA</t>
  </si>
  <si>
    <t>GALON CERA BLANCA X 4 LITROS</t>
  </si>
  <si>
    <t>VINIPEL</t>
  </si>
  <si>
    <t>CAJA GUANTES DE MANIPULACION LATEX</t>
  </si>
  <si>
    <t>JABON EN POTE PARA LOZA  450 GR</t>
  </si>
  <si>
    <t>CLOROX  20 LITROS</t>
  </si>
  <si>
    <t>ROLLO VINIPEL X 100 MT</t>
  </si>
  <si>
    <t>PAPEL ALUMINIO</t>
  </si>
  <si>
    <t>ROLLO PAPEL ALUMINIO X 20 MTR</t>
  </si>
  <si>
    <t>TAPABOCAS DESECHABLE X 50</t>
  </si>
  <si>
    <t>COFIA</t>
  </si>
  <si>
    <t>PAQUETE DE COFIAS X 100</t>
  </si>
  <si>
    <t>INOXIDABLE DORADA UND</t>
  </si>
  <si>
    <t>AMBIENTADOR</t>
  </si>
  <si>
    <t>AMBIENTADOR EN SPRAIT</t>
  </si>
  <si>
    <t>CREOLINA</t>
  </si>
  <si>
    <t>FRASCO CREOLINA 250 GR</t>
  </si>
  <si>
    <t xml:space="preserve">PLAN MENSUAL </t>
  </si>
  <si>
    <t>TONER</t>
  </si>
  <si>
    <t>TONER CE 320 A HP NEGRO</t>
  </si>
  <si>
    <t>JABON EN POLVO BOLSA 500GR</t>
  </si>
  <si>
    <t>JABON EN BARA REY 750 GR</t>
  </si>
  <si>
    <t>MODALIDAD INSTITUCIONAL HI - 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</si>
</sst>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4" formatCode="_-&quot;$&quot;* #,##0.00_-;\-&quot;$&quot;* #,##0.00_-;_-&quot;$&quot;* &quot;-&quot;??_-;_-@_-"/>
    <numFmt numFmtId="43" formatCode="_-* #,##0.00_-;\-* #,##0.00_-;_-*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 numFmtId="170" formatCode="_-* #,##0_-;\-* #,##0_-;_-* &quot;-&quot;??_-;_-@_-"/>
  </numFmts>
  <fonts count="13">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8"/>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5">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cellStyleXfs>
  <cellXfs count="45">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2"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170" fontId="2" fillId="0" borderId="0" xfId="14" applyNumberFormat="1" applyFont="1"/>
    <xf numFmtId="169" fontId="5" fillId="3" borderId="2" xfId="12" applyNumberFormat="1" applyFont="1" applyFill="1" applyBorder="1" applyAlignment="1">
      <alignment horizontal="center" vertical="top"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cellXfs>
  <cellStyles count="15">
    <cellStyle name="Millares" xfId="14" builtinId="3"/>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47"/>
  <sheetViews>
    <sheetView showGridLines="0" tabSelected="1"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14.8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11</v>
      </c>
      <c r="AO1" s="20">
        <v>52</v>
      </c>
    </row>
    <row r="2" spans="1:41" ht="73.5" customHeight="1">
      <c r="B2" s="29"/>
      <c r="C2" s="30" t="s">
        <v>29</v>
      </c>
      <c r="D2" s="39" t="s">
        <v>176</v>
      </c>
      <c r="E2" s="40"/>
      <c r="F2" s="40"/>
      <c r="G2" s="41"/>
      <c r="H2" s="31" t="s">
        <v>30</v>
      </c>
      <c r="AM2" s="19">
        <v>4</v>
      </c>
      <c r="AN2" s="14" t="s">
        <v>12</v>
      </c>
      <c r="AO2" s="21">
        <v>12</v>
      </c>
    </row>
    <row r="3" spans="1:41" ht="44.25" customHeight="1">
      <c r="B3" s="16">
        <v>1</v>
      </c>
      <c r="C3" s="6">
        <v>125</v>
      </c>
      <c r="D3" s="13" t="s">
        <v>31</v>
      </c>
      <c r="E3" s="13" t="s">
        <v>10</v>
      </c>
      <c r="F3" s="13" t="s">
        <v>27</v>
      </c>
      <c r="G3" s="13" t="s">
        <v>0</v>
      </c>
      <c r="H3" s="11" t="s">
        <v>9</v>
      </c>
      <c r="AM3" s="19">
        <v>5</v>
      </c>
      <c r="AN3" s="14" t="s">
        <v>13</v>
      </c>
      <c r="AO3" s="21">
        <f>12/2</f>
        <v>6</v>
      </c>
    </row>
    <row r="4" spans="1:41" s="8" customFormat="1" ht="12.75" customHeight="1">
      <c r="A4" s="8">
        <v>1</v>
      </c>
      <c r="B4" s="42" t="s">
        <v>1</v>
      </c>
      <c r="C4" s="9" t="s">
        <v>2</v>
      </c>
      <c r="D4" s="9">
        <v>1</v>
      </c>
      <c r="E4" s="27" t="s">
        <v>13</v>
      </c>
      <c r="F4" s="28">
        <f t="shared" ref="F4:F9" si="0">VLOOKUP(E4,$AN$1:$AO$20,2,FALSE)</f>
        <v>6</v>
      </c>
      <c r="G4" s="12" t="s">
        <v>32</v>
      </c>
      <c r="H4" s="33">
        <v>513000</v>
      </c>
      <c r="AM4" s="19">
        <v>6</v>
      </c>
      <c r="AN4" s="14" t="s">
        <v>14</v>
      </c>
      <c r="AO4" s="21">
        <f>12/3</f>
        <v>4</v>
      </c>
    </row>
    <row r="5" spans="1:41" s="8" customFormat="1">
      <c r="A5" s="8">
        <f>A4+1</f>
        <v>2</v>
      </c>
      <c r="B5" s="43"/>
      <c r="C5" s="9" t="s">
        <v>3</v>
      </c>
      <c r="D5" s="9">
        <v>1</v>
      </c>
      <c r="E5" s="27" t="s">
        <v>12</v>
      </c>
      <c r="F5" s="28">
        <f t="shared" si="0"/>
        <v>12</v>
      </c>
      <c r="G5" s="12" t="s">
        <v>33</v>
      </c>
      <c r="H5" s="33">
        <v>100000</v>
      </c>
      <c r="AM5" s="19">
        <v>7</v>
      </c>
      <c r="AN5" s="14" t="s">
        <v>15</v>
      </c>
      <c r="AO5" s="22">
        <f>12/4</f>
        <v>3</v>
      </c>
    </row>
    <row r="6" spans="1:41" s="8" customFormat="1">
      <c r="A6" s="8">
        <f t="shared" ref="A6:A9" si="1">A5+1</f>
        <v>3</v>
      </c>
      <c r="B6" s="43"/>
      <c r="C6" s="9" t="s">
        <v>4</v>
      </c>
      <c r="D6" s="9">
        <v>1</v>
      </c>
      <c r="E6" s="27" t="s">
        <v>12</v>
      </c>
      <c r="F6" s="28">
        <f t="shared" si="0"/>
        <v>12</v>
      </c>
      <c r="G6" s="12" t="s">
        <v>34</v>
      </c>
      <c r="H6" s="33">
        <v>179900</v>
      </c>
      <c r="AM6" s="19">
        <v>8</v>
      </c>
      <c r="AN6" s="14" t="s">
        <v>16</v>
      </c>
      <c r="AO6" s="21">
        <f>12/6</f>
        <v>2</v>
      </c>
    </row>
    <row r="7" spans="1:41" s="8" customFormat="1">
      <c r="A7" s="8">
        <f t="shared" si="1"/>
        <v>4</v>
      </c>
      <c r="B7" s="43"/>
      <c r="C7" s="9" t="s">
        <v>5</v>
      </c>
      <c r="D7" s="9">
        <v>1</v>
      </c>
      <c r="E7" s="27" t="s">
        <v>12</v>
      </c>
      <c r="F7" s="28">
        <f t="shared" si="0"/>
        <v>12</v>
      </c>
      <c r="G7" s="12" t="s">
        <v>171</v>
      </c>
      <c r="H7" s="33">
        <v>70000</v>
      </c>
      <c r="AM7" s="19">
        <v>9</v>
      </c>
      <c r="AN7" s="14" t="s">
        <v>17</v>
      </c>
      <c r="AO7" s="20">
        <f>12/7</f>
        <v>1.7142857142857142</v>
      </c>
    </row>
    <row r="8" spans="1:41" s="8" customFormat="1">
      <c r="A8" s="8">
        <f t="shared" si="1"/>
        <v>5</v>
      </c>
      <c r="B8" s="43"/>
      <c r="C8" s="9" t="s">
        <v>6</v>
      </c>
      <c r="D8" s="9">
        <v>1</v>
      </c>
      <c r="E8" s="27" t="s">
        <v>12</v>
      </c>
      <c r="F8" s="28">
        <f t="shared" si="0"/>
        <v>12</v>
      </c>
      <c r="G8" s="12" t="s">
        <v>35</v>
      </c>
      <c r="H8" s="33">
        <v>60000</v>
      </c>
      <c r="AM8" s="19">
        <v>10</v>
      </c>
      <c r="AN8" s="14" t="s">
        <v>18</v>
      </c>
      <c r="AO8" s="20">
        <f>12/8</f>
        <v>1.5</v>
      </c>
    </row>
    <row r="9" spans="1:41" s="8" customFormat="1">
      <c r="A9" s="8">
        <f t="shared" si="1"/>
        <v>6</v>
      </c>
      <c r="B9" s="44"/>
      <c r="C9" s="9" t="s">
        <v>7</v>
      </c>
      <c r="D9" s="9"/>
      <c r="E9" s="27" t="s">
        <v>12</v>
      </c>
      <c r="F9" s="28">
        <f t="shared" si="0"/>
        <v>12</v>
      </c>
      <c r="G9" s="12"/>
      <c r="H9" s="33"/>
      <c r="AM9" s="19">
        <v>11</v>
      </c>
      <c r="AN9" s="14" t="s">
        <v>19</v>
      </c>
      <c r="AO9" s="20">
        <f>12/9</f>
        <v>1.3333333333333333</v>
      </c>
    </row>
    <row r="10" spans="1:41" ht="38.25">
      <c r="B10" s="16">
        <v>2</v>
      </c>
      <c r="C10" s="6">
        <v>125</v>
      </c>
      <c r="D10" s="13" t="s">
        <v>31</v>
      </c>
      <c r="E10" s="13" t="s">
        <v>10</v>
      </c>
      <c r="F10" s="13"/>
      <c r="G10" s="13" t="s">
        <v>0</v>
      </c>
      <c r="H10" s="11" t="s">
        <v>9</v>
      </c>
      <c r="AM10" s="19">
        <v>12</v>
      </c>
      <c r="AN10" s="14" t="s">
        <v>20</v>
      </c>
      <c r="AO10" s="20">
        <f>12/10</f>
        <v>1.2</v>
      </c>
    </row>
    <row r="11" spans="1:41">
      <c r="A11" s="8" t="e">
        <f>#REF!+1</f>
        <v>#REF!</v>
      </c>
      <c r="B11" s="37"/>
      <c r="C11" s="9" t="s">
        <v>172</v>
      </c>
      <c r="D11" s="9">
        <v>1</v>
      </c>
      <c r="E11" s="27" t="s">
        <v>14</v>
      </c>
      <c r="F11" s="28">
        <f t="shared" ref="F11:F35" si="2">VLOOKUP(E11,$AN$1:$AO$20,2,FALSE)</f>
        <v>4</v>
      </c>
      <c r="G11" s="9" t="s">
        <v>173</v>
      </c>
      <c r="H11" s="33">
        <v>115966</v>
      </c>
      <c r="I11" s="32"/>
      <c r="J11" s="34"/>
      <c r="K11" s="34"/>
      <c r="AM11" s="19">
        <v>15</v>
      </c>
      <c r="AN11" s="14" t="s">
        <v>21</v>
      </c>
      <c r="AO11" s="20">
        <f>1/2</f>
        <v>0.5</v>
      </c>
    </row>
    <row r="12" spans="1:41">
      <c r="A12" s="8" t="e">
        <f t="shared" ref="A12:A26" si="3">A11+1</f>
        <v>#REF!</v>
      </c>
      <c r="B12" s="37"/>
      <c r="C12" s="9" t="s">
        <v>37</v>
      </c>
      <c r="D12" s="9">
        <v>4</v>
      </c>
      <c r="E12" s="27" t="s">
        <v>12</v>
      </c>
      <c r="F12" s="28">
        <f t="shared" si="2"/>
        <v>12</v>
      </c>
      <c r="G12" s="9" t="s">
        <v>36</v>
      </c>
      <c r="H12" s="33">
        <v>568.81999999999994</v>
      </c>
      <c r="I12" s="32"/>
      <c r="J12" s="34"/>
      <c r="K12" s="34"/>
      <c r="AM12" s="19">
        <v>16</v>
      </c>
      <c r="AN12" s="14" t="s">
        <v>22</v>
      </c>
      <c r="AO12" s="20">
        <f>1/3</f>
        <v>0.33333333333333331</v>
      </c>
    </row>
    <row r="13" spans="1:41">
      <c r="A13" s="8" t="e">
        <f t="shared" si="3"/>
        <v>#REF!</v>
      </c>
      <c r="B13" s="37"/>
      <c r="C13" s="9" t="s">
        <v>39</v>
      </c>
      <c r="D13" s="9">
        <v>1</v>
      </c>
      <c r="E13" s="27" t="s">
        <v>12</v>
      </c>
      <c r="F13" s="28">
        <f t="shared" si="2"/>
        <v>12</v>
      </c>
      <c r="G13" s="9" t="s">
        <v>38</v>
      </c>
      <c r="H13" s="33">
        <v>31564.75</v>
      </c>
      <c r="I13" s="32"/>
      <c r="J13" s="34"/>
      <c r="K13" s="34"/>
      <c r="AM13" s="19">
        <v>17</v>
      </c>
      <c r="AN13" s="14" t="s">
        <v>23</v>
      </c>
      <c r="AO13" s="20">
        <f>1/4</f>
        <v>0.25</v>
      </c>
    </row>
    <row r="14" spans="1:41">
      <c r="A14" s="8" t="e">
        <f t="shared" si="3"/>
        <v>#REF!</v>
      </c>
      <c r="B14" s="37"/>
      <c r="C14" s="9" t="s">
        <v>41</v>
      </c>
      <c r="D14" s="9">
        <v>1</v>
      </c>
      <c r="E14" s="27" t="s">
        <v>12</v>
      </c>
      <c r="F14" s="28">
        <f t="shared" si="2"/>
        <v>12</v>
      </c>
      <c r="G14" s="9" t="s">
        <v>40</v>
      </c>
      <c r="H14" s="33">
        <v>2500.19</v>
      </c>
      <c r="I14" s="32"/>
      <c r="J14" s="34"/>
      <c r="K14" s="34"/>
      <c r="AM14" s="19">
        <v>18</v>
      </c>
      <c r="AN14" s="14" t="s">
        <v>24</v>
      </c>
      <c r="AO14" s="20">
        <f>1/5</f>
        <v>0.2</v>
      </c>
    </row>
    <row r="15" spans="1:41">
      <c r="A15" s="8" t="e">
        <f t="shared" si="3"/>
        <v>#REF!</v>
      </c>
      <c r="B15" s="37"/>
      <c r="C15" s="9" t="s">
        <v>43</v>
      </c>
      <c r="D15" s="9">
        <v>1</v>
      </c>
      <c r="E15" s="27" t="s">
        <v>12</v>
      </c>
      <c r="F15" s="28">
        <f t="shared" si="2"/>
        <v>12</v>
      </c>
      <c r="G15" s="9" t="s">
        <v>42</v>
      </c>
      <c r="H15" s="33">
        <v>5500.18</v>
      </c>
      <c r="I15" s="32"/>
      <c r="J15" s="34"/>
      <c r="K15" s="34"/>
      <c r="AM15" s="19">
        <v>19</v>
      </c>
      <c r="AN15" s="14" t="s">
        <v>25</v>
      </c>
      <c r="AO15" s="20">
        <f>1/10</f>
        <v>0.1</v>
      </c>
    </row>
    <row r="16" spans="1:41">
      <c r="A16" s="8" t="e">
        <f t="shared" si="3"/>
        <v>#REF!</v>
      </c>
      <c r="B16" s="37"/>
      <c r="C16" s="9" t="s">
        <v>45</v>
      </c>
      <c r="D16" s="9">
        <v>1</v>
      </c>
      <c r="E16" s="27" t="s">
        <v>12</v>
      </c>
      <c r="F16" s="28">
        <f t="shared" si="2"/>
        <v>12</v>
      </c>
      <c r="G16" s="9" t="s">
        <v>44</v>
      </c>
      <c r="H16" s="33">
        <v>2000.3899999999999</v>
      </c>
      <c r="I16" s="32"/>
      <c r="J16" s="34"/>
      <c r="K16" s="34"/>
      <c r="AM16" s="19">
        <v>20</v>
      </c>
      <c r="AN16" s="14" t="s">
        <v>26</v>
      </c>
      <c r="AO16" s="21">
        <f>1/20</f>
        <v>0.05</v>
      </c>
    </row>
    <row r="17" spans="1:41">
      <c r="A17" s="8" t="e">
        <f t="shared" si="3"/>
        <v>#REF!</v>
      </c>
      <c r="B17" s="37"/>
      <c r="C17" s="9" t="s">
        <v>47</v>
      </c>
      <c r="D17" s="9">
        <v>1</v>
      </c>
      <c r="E17" s="27" t="s">
        <v>12</v>
      </c>
      <c r="F17" s="28">
        <f t="shared" si="2"/>
        <v>12</v>
      </c>
      <c r="G17" s="9" t="s">
        <v>46</v>
      </c>
      <c r="H17" s="33">
        <v>3099.95</v>
      </c>
      <c r="I17" s="32"/>
      <c r="J17" s="34"/>
      <c r="K17" s="34"/>
      <c r="AM17" s="19">
        <v>21</v>
      </c>
      <c r="AN17" s="14" t="s">
        <v>7</v>
      </c>
      <c r="AO17" s="21">
        <v>0</v>
      </c>
    </row>
    <row r="18" spans="1:41">
      <c r="A18" s="8" t="e">
        <f t="shared" si="3"/>
        <v>#REF!</v>
      </c>
      <c r="B18" s="37"/>
      <c r="C18" s="9" t="s">
        <v>49</v>
      </c>
      <c r="D18" s="9">
        <v>4</v>
      </c>
      <c r="E18" s="27" t="s">
        <v>12</v>
      </c>
      <c r="F18" s="28">
        <f t="shared" si="2"/>
        <v>12</v>
      </c>
      <c r="G18" s="9" t="s">
        <v>48</v>
      </c>
      <c r="H18" s="33">
        <v>449.82</v>
      </c>
      <c r="I18" s="32"/>
      <c r="J18" s="34"/>
      <c r="K18" s="34"/>
      <c r="AM18" s="19">
        <v>22</v>
      </c>
      <c r="AN18" s="14"/>
      <c r="AO18" s="21"/>
    </row>
    <row r="19" spans="1:41">
      <c r="A19" s="8" t="e">
        <f t="shared" si="3"/>
        <v>#REF!</v>
      </c>
      <c r="B19" s="37"/>
      <c r="C19" s="9" t="s">
        <v>51</v>
      </c>
      <c r="D19" s="9">
        <v>1</v>
      </c>
      <c r="E19" s="27" t="s">
        <v>12</v>
      </c>
      <c r="F19" s="28">
        <f t="shared" si="2"/>
        <v>12</v>
      </c>
      <c r="G19" s="9" t="s">
        <v>50</v>
      </c>
      <c r="H19" s="33">
        <v>499.8</v>
      </c>
      <c r="I19" s="32"/>
      <c r="J19" s="34"/>
      <c r="K19" s="34"/>
      <c r="AM19" s="19">
        <v>23</v>
      </c>
      <c r="AN19" s="14"/>
      <c r="AO19" s="21"/>
    </row>
    <row r="20" spans="1:41" ht="15.75" thickBot="1">
      <c r="A20" s="8" t="e">
        <f t="shared" si="3"/>
        <v>#REF!</v>
      </c>
      <c r="B20" s="37"/>
      <c r="C20" s="9" t="s">
        <v>53</v>
      </c>
      <c r="D20" s="9">
        <v>3</v>
      </c>
      <c r="E20" s="27" t="s">
        <v>12</v>
      </c>
      <c r="F20" s="28">
        <f t="shared" si="2"/>
        <v>12</v>
      </c>
      <c r="G20" s="9" t="s">
        <v>52</v>
      </c>
      <c r="H20" s="33">
        <v>1850.45</v>
      </c>
      <c r="I20" s="32"/>
      <c r="J20" s="34"/>
      <c r="K20" s="34"/>
      <c r="AM20" s="23">
        <v>24</v>
      </c>
      <c r="AN20" s="24"/>
      <c r="AO20" s="25">
        <v>0</v>
      </c>
    </row>
    <row r="21" spans="1:41">
      <c r="A21" s="8" t="e">
        <f t="shared" si="3"/>
        <v>#REF!</v>
      </c>
      <c r="B21" s="37"/>
      <c r="C21" s="9" t="s">
        <v>55</v>
      </c>
      <c r="D21" s="9">
        <v>1</v>
      </c>
      <c r="E21" s="27" t="s">
        <v>12</v>
      </c>
      <c r="F21" s="28">
        <f t="shared" si="2"/>
        <v>12</v>
      </c>
      <c r="G21" s="9" t="s">
        <v>54</v>
      </c>
      <c r="H21" s="33">
        <v>5400.22</v>
      </c>
      <c r="I21" s="32"/>
      <c r="J21" s="34"/>
      <c r="K21" s="34"/>
    </row>
    <row r="22" spans="1:41">
      <c r="A22" s="8" t="e">
        <f t="shared" si="3"/>
        <v>#REF!</v>
      </c>
      <c r="B22" s="37"/>
      <c r="C22" s="9" t="s">
        <v>57</v>
      </c>
      <c r="D22" s="9">
        <v>1</v>
      </c>
      <c r="E22" s="27" t="s">
        <v>12</v>
      </c>
      <c r="F22" s="28">
        <f t="shared" si="2"/>
        <v>12</v>
      </c>
      <c r="G22" s="9" t="s">
        <v>56</v>
      </c>
      <c r="H22" s="33">
        <v>9799.65</v>
      </c>
      <c r="I22" s="32"/>
      <c r="J22" s="34"/>
      <c r="K22" s="34"/>
    </row>
    <row r="23" spans="1:41">
      <c r="A23" s="8" t="e">
        <f t="shared" si="3"/>
        <v>#REF!</v>
      </c>
      <c r="B23" s="37"/>
      <c r="C23" s="9" t="s">
        <v>58</v>
      </c>
      <c r="D23" s="9">
        <v>5</v>
      </c>
      <c r="E23" s="27" t="s">
        <v>12</v>
      </c>
      <c r="F23" s="28">
        <f t="shared" si="2"/>
        <v>12</v>
      </c>
      <c r="G23" s="9" t="s">
        <v>58</v>
      </c>
      <c r="H23" s="33">
        <v>8700.09</v>
      </c>
      <c r="I23" s="32"/>
      <c r="J23" s="34"/>
      <c r="K23" s="34"/>
    </row>
    <row r="24" spans="1:41">
      <c r="A24" s="8" t="e">
        <f t="shared" si="3"/>
        <v>#REF!</v>
      </c>
      <c r="B24" s="37"/>
      <c r="C24" s="9" t="s">
        <v>59</v>
      </c>
      <c r="D24" s="9">
        <v>5</v>
      </c>
      <c r="E24" s="27" t="s">
        <v>12</v>
      </c>
      <c r="F24" s="28">
        <f t="shared" si="2"/>
        <v>12</v>
      </c>
      <c r="G24" s="9" t="s">
        <v>59</v>
      </c>
      <c r="H24" s="33">
        <v>11000.36</v>
      </c>
      <c r="I24" s="32"/>
      <c r="J24" s="34"/>
      <c r="K24" s="34"/>
    </row>
    <row r="25" spans="1:41">
      <c r="A25" s="8" t="e">
        <f t="shared" si="3"/>
        <v>#REF!</v>
      </c>
      <c r="B25" s="37"/>
      <c r="C25" s="9" t="s">
        <v>61</v>
      </c>
      <c r="D25" s="9">
        <v>1</v>
      </c>
      <c r="E25" s="27" t="s">
        <v>12</v>
      </c>
      <c r="F25" s="28">
        <f t="shared" si="2"/>
        <v>12</v>
      </c>
      <c r="G25" s="9" t="s">
        <v>60</v>
      </c>
      <c r="H25" s="33">
        <v>6499.78</v>
      </c>
      <c r="I25" s="32"/>
      <c r="J25" s="34"/>
      <c r="K25" s="34"/>
    </row>
    <row r="26" spans="1:41">
      <c r="A26" s="8" t="e">
        <f t="shared" si="3"/>
        <v>#REF!</v>
      </c>
      <c r="B26" s="37"/>
      <c r="C26" s="9" t="s">
        <v>62</v>
      </c>
      <c r="D26" s="9">
        <v>1</v>
      </c>
      <c r="E26" s="27" t="s">
        <v>12</v>
      </c>
      <c r="F26" s="28">
        <f t="shared" si="2"/>
        <v>12</v>
      </c>
      <c r="G26" s="9" t="s">
        <v>62</v>
      </c>
      <c r="H26" s="33">
        <v>1850.45</v>
      </c>
      <c r="I26" s="32"/>
      <c r="J26" s="34"/>
      <c r="K26" s="34"/>
    </row>
    <row r="27" spans="1:41">
      <c r="A27" s="8"/>
      <c r="B27" s="37"/>
      <c r="C27" s="9" t="s">
        <v>63</v>
      </c>
      <c r="D27" s="9">
        <v>1</v>
      </c>
      <c r="E27" s="27" t="s">
        <v>12</v>
      </c>
      <c r="F27" s="28">
        <f t="shared" si="2"/>
        <v>12</v>
      </c>
      <c r="G27" s="9" t="s">
        <v>63</v>
      </c>
      <c r="H27" s="33">
        <v>7500.57</v>
      </c>
      <c r="I27" s="32"/>
      <c r="J27" s="34"/>
      <c r="K27" s="34"/>
    </row>
    <row r="28" spans="1:41">
      <c r="A28" s="8"/>
      <c r="B28" s="37"/>
      <c r="C28" s="9" t="s">
        <v>64</v>
      </c>
      <c r="D28" s="9">
        <v>1</v>
      </c>
      <c r="E28" s="27" t="s">
        <v>12</v>
      </c>
      <c r="F28" s="28">
        <f t="shared" si="2"/>
        <v>12</v>
      </c>
      <c r="G28" s="9" t="s">
        <v>64</v>
      </c>
      <c r="H28" s="33">
        <v>12499.76</v>
      </c>
      <c r="I28" s="32"/>
      <c r="J28" s="34"/>
      <c r="K28" s="34"/>
    </row>
    <row r="29" spans="1:41">
      <c r="A29" s="8"/>
      <c r="B29" s="37"/>
      <c r="C29" s="9" t="s">
        <v>65</v>
      </c>
      <c r="D29" s="9">
        <f>24/8</f>
        <v>3</v>
      </c>
      <c r="E29" s="27" t="s">
        <v>12</v>
      </c>
      <c r="F29" s="28">
        <f t="shared" si="2"/>
        <v>12</v>
      </c>
      <c r="G29" s="9" t="s">
        <v>65</v>
      </c>
      <c r="H29" s="33">
        <v>4149.53</v>
      </c>
      <c r="I29" s="32"/>
      <c r="J29" s="34"/>
      <c r="K29" s="34"/>
    </row>
    <row r="30" spans="1:41">
      <c r="A30" s="8"/>
      <c r="B30" s="37"/>
      <c r="C30" s="9" t="s">
        <v>66</v>
      </c>
      <c r="D30" s="9">
        <v>3</v>
      </c>
      <c r="E30" s="27" t="s">
        <v>12</v>
      </c>
      <c r="F30" s="28">
        <f t="shared" si="2"/>
        <v>12</v>
      </c>
      <c r="G30" s="9" t="s">
        <v>67</v>
      </c>
      <c r="H30" s="33">
        <v>949.62</v>
      </c>
      <c r="I30" s="32"/>
      <c r="J30" s="34"/>
      <c r="K30" s="34"/>
    </row>
    <row r="31" spans="1:41">
      <c r="A31" s="8"/>
      <c r="B31" s="37"/>
      <c r="C31" s="9" t="s">
        <v>68</v>
      </c>
      <c r="D31" s="9">
        <v>3</v>
      </c>
      <c r="E31" s="27" t="s">
        <v>12</v>
      </c>
      <c r="F31" s="28">
        <f t="shared" si="2"/>
        <v>12</v>
      </c>
      <c r="G31" s="9" t="s">
        <v>69</v>
      </c>
      <c r="H31" s="33">
        <v>1500.59</v>
      </c>
      <c r="I31" s="32"/>
      <c r="J31" s="34"/>
      <c r="K31" s="34"/>
    </row>
    <row r="32" spans="1:41">
      <c r="A32" s="8"/>
      <c r="B32" s="37"/>
      <c r="C32" s="9" t="s">
        <v>70</v>
      </c>
      <c r="D32" s="9">
        <v>1</v>
      </c>
      <c r="E32" s="27" t="s">
        <v>14</v>
      </c>
      <c r="F32" s="28">
        <f t="shared" si="2"/>
        <v>4</v>
      </c>
      <c r="G32" s="9" t="s">
        <v>70</v>
      </c>
      <c r="H32" s="33">
        <v>1500.59</v>
      </c>
      <c r="I32" s="32"/>
      <c r="J32" s="34"/>
      <c r="K32" s="34"/>
    </row>
    <row r="33" spans="1:11">
      <c r="A33" s="8"/>
      <c r="B33" s="37"/>
      <c r="C33" s="9" t="s">
        <v>72</v>
      </c>
      <c r="D33" s="9">
        <v>3</v>
      </c>
      <c r="E33" s="27" t="s">
        <v>12</v>
      </c>
      <c r="F33" s="28">
        <f t="shared" si="2"/>
        <v>12</v>
      </c>
      <c r="G33" s="9" t="s">
        <v>71</v>
      </c>
      <c r="H33" s="33">
        <v>849.66</v>
      </c>
      <c r="I33" s="32"/>
      <c r="J33" s="34"/>
      <c r="K33" s="34"/>
    </row>
    <row r="34" spans="1:11">
      <c r="A34" s="8"/>
      <c r="B34" s="37"/>
      <c r="C34" s="9" t="s">
        <v>73</v>
      </c>
      <c r="D34" s="9">
        <v>4</v>
      </c>
      <c r="E34" s="27" t="s">
        <v>12</v>
      </c>
      <c r="F34" s="28">
        <f t="shared" si="2"/>
        <v>12</v>
      </c>
      <c r="G34" s="9" t="s">
        <v>74</v>
      </c>
      <c r="H34" s="33">
        <v>8508.5</v>
      </c>
      <c r="I34" s="32"/>
      <c r="J34" s="34"/>
      <c r="K34" s="34"/>
    </row>
    <row r="35" spans="1:11">
      <c r="A35" s="8"/>
      <c r="B35" s="37"/>
      <c r="C35" s="9" t="s">
        <v>75</v>
      </c>
      <c r="D35" s="9">
        <v>1</v>
      </c>
      <c r="E35" s="27" t="s">
        <v>12</v>
      </c>
      <c r="F35" s="28">
        <f t="shared" si="2"/>
        <v>12</v>
      </c>
      <c r="G35" s="9" t="s">
        <v>76</v>
      </c>
      <c r="H35" s="33">
        <v>10800.44</v>
      </c>
      <c r="I35" s="32"/>
      <c r="J35" s="34"/>
      <c r="K35" s="34"/>
    </row>
    <row r="36" spans="1:11">
      <c r="A36" s="8"/>
      <c r="B36" s="37"/>
      <c r="C36" s="9" t="s">
        <v>77</v>
      </c>
      <c r="D36" s="9">
        <v>1</v>
      </c>
      <c r="E36" s="27" t="s">
        <v>12</v>
      </c>
      <c r="F36" s="28">
        <f t="shared" ref="F36:F61" si="4">VLOOKUP(E36,$AN$1:$AO$21,2,FALSE)</f>
        <v>12</v>
      </c>
      <c r="G36" s="9" t="s">
        <v>78</v>
      </c>
      <c r="H36" s="33">
        <v>1289.96</v>
      </c>
      <c r="I36" s="32"/>
      <c r="J36" s="34"/>
      <c r="K36" s="34"/>
    </row>
    <row r="37" spans="1:11">
      <c r="A37" s="8"/>
      <c r="B37" s="37"/>
      <c r="C37" s="9" t="s">
        <v>79</v>
      </c>
      <c r="D37" s="9">
        <v>1</v>
      </c>
      <c r="E37" s="27" t="s">
        <v>12</v>
      </c>
      <c r="F37" s="28">
        <f t="shared" si="4"/>
        <v>12</v>
      </c>
      <c r="G37" s="9" t="s">
        <v>80</v>
      </c>
      <c r="H37" s="33">
        <v>7149.52</v>
      </c>
      <c r="I37" s="32"/>
      <c r="J37" s="34"/>
      <c r="K37" s="34"/>
    </row>
    <row r="38" spans="1:11">
      <c r="A38" s="8"/>
      <c r="B38" s="37"/>
      <c r="C38" s="9" t="s">
        <v>81</v>
      </c>
      <c r="D38" s="9">
        <v>1</v>
      </c>
      <c r="E38" s="27" t="s">
        <v>12</v>
      </c>
      <c r="F38" s="28">
        <f t="shared" si="4"/>
        <v>12</v>
      </c>
      <c r="G38" s="9" t="s">
        <v>82</v>
      </c>
      <c r="H38" s="33">
        <v>8800.0499999999993</v>
      </c>
      <c r="I38" s="32"/>
      <c r="J38" s="34"/>
      <c r="K38" s="34"/>
    </row>
    <row r="39" spans="1:11">
      <c r="A39" s="8"/>
      <c r="B39" s="37"/>
      <c r="C39" s="9" t="s">
        <v>83</v>
      </c>
      <c r="D39" s="9">
        <v>1</v>
      </c>
      <c r="E39" s="27" t="s">
        <v>12</v>
      </c>
      <c r="F39" s="28">
        <f t="shared" si="4"/>
        <v>12</v>
      </c>
      <c r="G39" s="9" t="s">
        <v>84</v>
      </c>
      <c r="H39" s="33">
        <v>4500.58</v>
      </c>
      <c r="I39" s="32"/>
      <c r="J39" s="34"/>
      <c r="K39" s="34"/>
    </row>
    <row r="40" spans="1:11">
      <c r="A40" s="8"/>
      <c r="B40" s="37"/>
      <c r="C40" s="9" t="s">
        <v>85</v>
      </c>
      <c r="D40" s="9">
        <v>1</v>
      </c>
      <c r="E40" s="27" t="s">
        <v>12</v>
      </c>
      <c r="F40" s="28">
        <f t="shared" si="4"/>
        <v>12</v>
      </c>
      <c r="G40" s="9" t="s">
        <v>86</v>
      </c>
      <c r="H40" s="33">
        <v>6349.84</v>
      </c>
      <c r="I40" s="32"/>
      <c r="J40" s="34"/>
      <c r="K40" s="34"/>
    </row>
    <row r="41" spans="1:11">
      <c r="A41" s="8"/>
      <c r="B41" s="37"/>
      <c r="C41" s="9" t="s">
        <v>87</v>
      </c>
      <c r="D41" s="9">
        <v>2</v>
      </c>
      <c r="E41" s="27" t="s">
        <v>12</v>
      </c>
      <c r="F41" s="28">
        <f t="shared" si="4"/>
        <v>12</v>
      </c>
      <c r="G41" s="9" t="s">
        <v>88</v>
      </c>
      <c r="H41" s="33">
        <v>3249.89</v>
      </c>
      <c r="I41" s="32"/>
      <c r="J41" s="34"/>
      <c r="K41" s="34"/>
    </row>
    <row r="42" spans="1:11">
      <c r="A42" s="8"/>
      <c r="B42" s="37"/>
      <c r="C42" s="9" t="s">
        <v>89</v>
      </c>
      <c r="D42" s="9">
        <v>2</v>
      </c>
      <c r="E42" s="27" t="s">
        <v>12</v>
      </c>
      <c r="F42" s="28">
        <f t="shared" si="4"/>
        <v>12</v>
      </c>
      <c r="G42" s="9" t="s">
        <v>90</v>
      </c>
      <c r="H42" s="33">
        <v>2500.19</v>
      </c>
      <c r="I42" s="32"/>
      <c r="J42" s="34"/>
      <c r="K42" s="34"/>
    </row>
    <row r="43" spans="1:11">
      <c r="A43" s="8"/>
      <c r="B43" s="37"/>
      <c r="C43" s="9" t="s">
        <v>91</v>
      </c>
      <c r="D43" s="9">
        <v>5</v>
      </c>
      <c r="E43" s="27" t="s">
        <v>12</v>
      </c>
      <c r="F43" s="28">
        <f t="shared" si="4"/>
        <v>12</v>
      </c>
      <c r="G43" s="9" t="s">
        <v>92</v>
      </c>
      <c r="H43" s="33">
        <v>499.8</v>
      </c>
      <c r="I43" s="32"/>
      <c r="J43" s="34"/>
      <c r="K43" s="34"/>
    </row>
    <row r="44" spans="1:11">
      <c r="A44" s="8"/>
      <c r="B44" s="37"/>
      <c r="C44" s="9" t="s">
        <v>93</v>
      </c>
      <c r="D44" s="9">
        <v>1</v>
      </c>
      <c r="E44" s="27" t="s">
        <v>12</v>
      </c>
      <c r="F44" s="28">
        <f t="shared" si="4"/>
        <v>12</v>
      </c>
      <c r="G44" s="9" t="s">
        <v>94</v>
      </c>
      <c r="H44" s="33">
        <v>7800.45</v>
      </c>
      <c r="I44" s="32"/>
      <c r="J44" s="34"/>
      <c r="K44" s="34"/>
    </row>
    <row r="45" spans="1:11">
      <c r="A45" s="8"/>
      <c r="B45" s="37"/>
      <c r="C45" s="9" t="s">
        <v>93</v>
      </c>
      <c r="D45" s="9">
        <v>1</v>
      </c>
      <c r="E45" s="27" t="s">
        <v>12</v>
      </c>
      <c r="F45" s="28">
        <f t="shared" si="4"/>
        <v>12</v>
      </c>
      <c r="G45" s="9" t="s">
        <v>95</v>
      </c>
      <c r="H45" s="33">
        <v>12499.76</v>
      </c>
      <c r="I45" s="32"/>
      <c r="J45" s="34"/>
      <c r="K45" s="34"/>
    </row>
    <row r="46" spans="1:11">
      <c r="A46" s="8"/>
      <c r="B46" s="37"/>
      <c r="C46" s="9" t="s">
        <v>96</v>
      </c>
      <c r="D46" s="9">
        <v>2</v>
      </c>
      <c r="E46" s="27" t="s">
        <v>12</v>
      </c>
      <c r="F46" s="28">
        <f t="shared" si="4"/>
        <v>12</v>
      </c>
      <c r="G46" s="9" t="s">
        <v>97</v>
      </c>
      <c r="H46" s="33">
        <v>4149.53</v>
      </c>
      <c r="I46" s="32"/>
      <c r="J46" s="34"/>
      <c r="K46" s="34"/>
    </row>
    <row r="47" spans="1:11">
      <c r="A47" s="8"/>
      <c r="B47" s="37"/>
      <c r="C47" s="9" t="s">
        <v>96</v>
      </c>
      <c r="D47" s="9">
        <v>2</v>
      </c>
      <c r="E47" s="27" t="s">
        <v>12</v>
      </c>
      <c r="F47" s="28">
        <f t="shared" si="4"/>
        <v>12</v>
      </c>
      <c r="G47" s="9" t="s">
        <v>98</v>
      </c>
      <c r="H47" s="33">
        <v>3849.65</v>
      </c>
      <c r="I47" s="32"/>
      <c r="J47" s="34"/>
      <c r="K47" s="34"/>
    </row>
    <row r="48" spans="1:11">
      <c r="A48" s="8"/>
      <c r="B48" s="37"/>
      <c r="C48" s="9" t="s">
        <v>99</v>
      </c>
      <c r="D48" s="9">
        <v>1</v>
      </c>
      <c r="E48" s="27" t="s">
        <v>16</v>
      </c>
      <c r="F48" s="28">
        <f t="shared" si="4"/>
        <v>2</v>
      </c>
      <c r="G48" s="9" t="s">
        <v>100</v>
      </c>
      <c r="H48" s="33">
        <v>8500.17</v>
      </c>
      <c r="I48" s="32"/>
      <c r="J48" s="34"/>
      <c r="K48" s="34"/>
    </row>
    <row r="49" spans="1:11">
      <c r="A49" s="8"/>
      <c r="B49" s="37"/>
      <c r="C49" s="9" t="s">
        <v>99</v>
      </c>
      <c r="D49" s="9">
        <v>1</v>
      </c>
      <c r="E49" s="27" t="s">
        <v>16</v>
      </c>
      <c r="F49" s="28">
        <f t="shared" si="4"/>
        <v>2</v>
      </c>
      <c r="G49" s="9" t="s">
        <v>101</v>
      </c>
      <c r="H49" s="33">
        <v>15999.55</v>
      </c>
      <c r="I49" s="32"/>
      <c r="J49" s="34"/>
      <c r="K49" s="34"/>
    </row>
    <row r="50" spans="1:11">
      <c r="A50" s="8"/>
      <c r="B50" s="37"/>
      <c r="C50" s="9" t="s">
        <v>102</v>
      </c>
      <c r="D50" s="9">
        <v>1</v>
      </c>
      <c r="E50" s="27" t="s">
        <v>12</v>
      </c>
      <c r="F50" s="28">
        <f t="shared" si="4"/>
        <v>12</v>
      </c>
      <c r="G50" s="9" t="s">
        <v>103</v>
      </c>
      <c r="H50" s="33">
        <v>13099.52</v>
      </c>
      <c r="I50" s="32"/>
      <c r="J50" s="34"/>
      <c r="K50" s="34"/>
    </row>
    <row r="51" spans="1:11">
      <c r="A51" s="8"/>
      <c r="B51" s="37"/>
      <c r="C51" s="9" t="s">
        <v>102</v>
      </c>
      <c r="D51" s="9">
        <v>1</v>
      </c>
      <c r="E51" s="27" t="s">
        <v>12</v>
      </c>
      <c r="F51" s="28">
        <f t="shared" si="4"/>
        <v>12</v>
      </c>
      <c r="G51" s="9" t="s">
        <v>103</v>
      </c>
      <c r="H51" s="33">
        <v>13099.52</v>
      </c>
      <c r="I51" s="32"/>
      <c r="J51" s="34"/>
      <c r="K51" s="34"/>
    </row>
    <row r="52" spans="1:11">
      <c r="A52" s="8"/>
      <c r="B52" s="37"/>
      <c r="C52" s="9" t="s">
        <v>104</v>
      </c>
      <c r="D52" s="9">
        <v>1</v>
      </c>
      <c r="E52" s="27" t="s">
        <v>12</v>
      </c>
      <c r="F52" s="28">
        <f t="shared" si="4"/>
        <v>12</v>
      </c>
      <c r="G52" s="9" t="s">
        <v>105</v>
      </c>
      <c r="H52" s="33">
        <v>599.76</v>
      </c>
      <c r="I52" s="32"/>
      <c r="J52" s="34"/>
      <c r="K52" s="34"/>
    </row>
    <row r="53" spans="1:11">
      <c r="A53" s="8"/>
      <c r="B53" s="37"/>
      <c r="C53" s="9" t="s">
        <v>106</v>
      </c>
      <c r="D53" s="9">
        <v>1</v>
      </c>
      <c r="E53" s="27" t="s">
        <v>12</v>
      </c>
      <c r="F53" s="28">
        <f t="shared" si="4"/>
        <v>12</v>
      </c>
      <c r="G53" s="9" t="s">
        <v>107</v>
      </c>
      <c r="H53" s="33">
        <v>4600.54</v>
      </c>
      <c r="I53" s="32"/>
      <c r="J53" s="34"/>
      <c r="K53" s="34"/>
    </row>
    <row r="54" spans="1:11">
      <c r="A54" s="8"/>
      <c r="B54" s="37"/>
      <c r="C54" s="9" t="s">
        <v>108</v>
      </c>
      <c r="D54" s="9">
        <f>24/8</f>
        <v>3</v>
      </c>
      <c r="E54" s="27" t="s">
        <v>12</v>
      </c>
      <c r="F54" s="28">
        <f t="shared" si="4"/>
        <v>12</v>
      </c>
      <c r="G54" s="9" t="s">
        <v>109</v>
      </c>
      <c r="H54" s="33">
        <v>3980.55</v>
      </c>
      <c r="I54" s="32"/>
      <c r="J54" s="34"/>
      <c r="K54" s="34"/>
    </row>
    <row r="55" spans="1:11">
      <c r="A55" s="8"/>
      <c r="B55" s="37"/>
      <c r="C55" s="9" t="s">
        <v>110</v>
      </c>
      <c r="D55" s="9">
        <v>2</v>
      </c>
      <c r="E55" s="27" t="s">
        <v>12</v>
      </c>
      <c r="F55" s="28">
        <f t="shared" si="4"/>
        <v>12</v>
      </c>
      <c r="G55" s="9" t="s">
        <v>111</v>
      </c>
      <c r="H55" s="33">
        <v>8032.5</v>
      </c>
      <c r="I55" s="32"/>
      <c r="J55" s="34"/>
      <c r="K55" s="34"/>
    </row>
    <row r="56" spans="1:11">
      <c r="A56" s="8"/>
      <c r="B56" s="37"/>
      <c r="C56" s="9" t="s">
        <v>110</v>
      </c>
      <c r="D56" s="9">
        <v>2</v>
      </c>
      <c r="E56" s="27" t="s">
        <v>12</v>
      </c>
      <c r="F56" s="28">
        <f t="shared" si="4"/>
        <v>12</v>
      </c>
      <c r="G56" s="9" t="s">
        <v>112</v>
      </c>
      <c r="H56" s="33">
        <v>5355</v>
      </c>
      <c r="I56" s="32"/>
      <c r="J56" s="34"/>
      <c r="K56" s="34"/>
    </row>
    <row r="57" spans="1:11">
      <c r="A57" s="8"/>
      <c r="B57" s="37"/>
      <c r="C57" s="9" t="s">
        <v>113</v>
      </c>
      <c r="D57" s="9">
        <v>1</v>
      </c>
      <c r="E57" s="27" t="s">
        <v>12</v>
      </c>
      <c r="F57" s="28">
        <f t="shared" si="4"/>
        <v>12</v>
      </c>
      <c r="G57" s="9" t="s">
        <v>114</v>
      </c>
      <c r="H57" s="33">
        <v>3849.65</v>
      </c>
      <c r="I57" s="32"/>
      <c r="J57" s="34"/>
      <c r="K57" s="34"/>
    </row>
    <row r="58" spans="1:11">
      <c r="A58" s="8"/>
      <c r="B58" s="37"/>
      <c r="C58" s="9" t="s">
        <v>115</v>
      </c>
      <c r="D58" s="9">
        <v>3</v>
      </c>
      <c r="E58" s="27" t="s">
        <v>12</v>
      </c>
      <c r="F58" s="28">
        <f t="shared" si="4"/>
        <v>12</v>
      </c>
      <c r="G58" s="9" t="s">
        <v>116</v>
      </c>
      <c r="H58" s="33">
        <v>8700.09</v>
      </c>
      <c r="I58" s="32"/>
      <c r="J58" s="34"/>
      <c r="K58" s="34"/>
    </row>
    <row r="59" spans="1:11">
      <c r="A59" s="8"/>
      <c r="B59" s="37"/>
      <c r="C59" s="9" t="s">
        <v>117</v>
      </c>
      <c r="D59" s="9">
        <v>4</v>
      </c>
      <c r="E59" s="27" t="s">
        <v>12</v>
      </c>
      <c r="F59" s="28">
        <f t="shared" si="4"/>
        <v>12</v>
      </c>
      <c r="G59" s="9" t="s">
        <v>118</v>
      </c>
      <c r="H59" s="33">
        <v>1900.43</v>
      </c>
      <c r="I59" s="32"/>
      <c r="J59" s="34"/>
      <c r="K59" s="34"/>
    </row>
    <row r="60" spans="1:11">
      <c r="A60" s="8"/>
      <c r="B60" s="37"/>
      <c r="C60" s="9" t="s">
        <v>119</v>
      </c>
      <c r="D60" s="9">
        <v>1</v>
      </c>
      <c r="E60" s="27" t="s">
        <v>12</v>
      </c>
      <c r="F60" s="28">
        <f t="shared" si="4"/>
        <v>12</v>
      </c>
      <c r="G60" s="9" t="s">
        <v>120</v>
      </c>
      <c r="H60" s="33">
        <v>6749.68</v>
      </c>
      <c r="I60" s="32"/>
      <c r="J60" s="34"/>
      <c r="K60" s="34"/>
    </row>
    <row r="61" spans="1:11">
      <c r="A61" s="8"/>
      <c r="B61" s="37"/>
      <c r="C61" s="9" t="s">
        <v>121</v>
      </c>
      <c r="D61" s="9">
        <v>1</v>
      </c>
      <c r="E61" s="27" t="s">
        <v>12</v>
      </c>
      <c r="F61" s="28">
        <f t="shared" si="4"/>
        <v>12</v>
      </c>
      <c r="G61" s="9" t="s">
        <v>122</v>
      </c>
      <c r="H61" s="33">
        <v>4800.46</v>
      </c>
      <c r="I61" s="32"/>
      <c r="J61" s="34"/>
      <c r="K61" s="34"/>
    </row>
    <row r="62" spans="1:11" ht="38.25">
      <c r="B62" s="16">
        <v>3</v>
      </c>
      <c r="C62" s="6">
        <v>125</v>
      </c>
      <c r="D62" s="13" t="s">
        <v>31</v>
      </c>
      <c r="E62" s="13" t="s">
        <v>10</v>
      </c>
      <c r="F62" s="13"/>
      <c r="G62" s="13" t="s">
        <v>0</v>
      </c>
      <c r="H62" s="17" t="s">
        <v>9</v>
      </c>
    </row>
    <row r="63" spans="1:11" ht="12.75" customHeight="1">
      <c r="A63" s="8">
        <v>1</v>
      </c>
      <c r="B63" s="36" t="s">
        <v>8</v>
      </c>
      <c r="C63" s="9" t="s">
        <v>123</v>
      </c>
      <c r="D63" s="9">
        <v>1</v>
      </c>
      <c r="E63" s="27" t="s">
        <v>12</v>
      </c>
      <c r="F63" s="28">
        <f t="shared" ref="F63:F70" si="5">VLOOKUP(E63,$AN$1:$AO$20,2,FALSE)</f>
        <v>12</v>
      </c>
      <c r="G63" s="12" t="s">
        <v>124</v>
      </c>
      <c r="H63" s="33">
        <v>7000</v>
      </c>
    </row>
    <row r="64" spans="1:11">
      <c r="A64" s="8">
        <f>A63+1</f>
        <v>2</v>
      </c>
      <c r="B64" s="37"/>
      <c r="C64" s="9" t="s">
        <v>123</v>
      </c>
      <c r="D64" s="9">
        <v>10</v>
      </c>
      <c r="E64" s="27" t="s">
        <v>12</v>
      </c>
      <c r="F64" s="28">
        <f t="shared" si="5"/>
        <v>12</v>
      </c>
      <c r="G64" s="12" t="s">
        <v>125</v>
      </c>
      <c r="H64" s="33">
        <v>833</v>
      </c>
    </row>
    <row r="65" spans="1:8">
      <c r="A65" s="8">
        <f t="shared" ref="A65:A70" si="6">A64+1</f>
        <v>3</v>
      </c>
      <c r="B65" s="37"/>
      <c r="C65" s="9" t="s">
        <v>126</v>
      </c>
      <c r="D65" s="9">
        <v>1</v>
      </c>
      <c r="E65" s="27" t="s">
        <v>12</v>
      </c>
      <c r="F65" s="28">
        <f t="shared" si="5"/>
        <v>12</v>
      </c>
      <c r="G65" s="12" t="s">
        <v>127</v>
      </c>
      <c r="H65" s="33">
        <v>3000</v>
      </c>
    </row>
    <row r="66" spans="1:8">
      <c r="A66" s="8">
        <f t="shared" si="6"/>
        <v>4</v>
      </c>
      <c r="B66" s="37"/>
      <c r="C66" s="9" t="s">
        <v>128</v>
      </c>
      <c r="D66" s="9">
        <v>1</v>
      </c>
      <c r="E66" s="27" t="s">
        <v>12</v>
      </c>
      <c r="F66" s="28">
        <f t="shared" si="5"/>
        <v>12</v>
      </c>
      <c r="G66" s="12" t="s">
        <v>129</v>
      </c>
      <c r="H66" s="33">
        <v>1900</v>
      </c>
    </row>
    <row r="67" spans="1:8">
      <c r="A67" s="8">
        <f t="shared" si="6"/>
        <v>5</v>
      </c>
      <c r="B67" s="37"/>
      <c r="C67" s="9" t="s">
        <v>130</v>
      </c>
      <c r="D67" s="9">
        <v>1</v>
      </c>
      <c r="E67" s="27" t="s">
        <v>12</v>
      </c>
      <c r="F67" s="28">
        <f t="shared" si="5"/>
        <v>12</v>
      </c>
      <c r="G67" s="12" t="s">
        <v>131</v>
      </c>
      <c r="H67" s="33">
        <v>6000</v>
      </c>
    </row>
    <row r="68" spans="1:8">
      <c r="A68" s="8">
        <f t="shared" si="6"/>
        <v>6</v>
      </c>
      <c r="B68" s="37"/>
      <c r="C68" s="9" t="s">
        <v>132</v>
      </c>
      <c r="D68" s="9">
        <v>1</v>
      </c>
      <c r="E68" s="27" t="s">
        <v>12</v>
      </c>
      <c r="F68" s="28">
        <f t="shared" si="5"/>
        <v>12</v>
      </c>
      <c r="G68" s="12" t="s">
        <v>133</v>
      </c>
      <c r="H68" s="33">
        <f>9000*D68</f>
        <v>9000</v>
      </c>
    </row>
    <row r="69" spans="1:8">
      <c r="A69" s="8">
        <f t="shared" si="6"/>
        <v>7</v>
      </c>
      <c r="B69" s="37"/>
      <c r="C69" s="9" t="s">
        <v>134</v>
      </c>
      <c r="D69" s="9">
        <v>1</v>
      </c>
      <c r="E69" s="27" t="s">
        <v>12</v>
      </c>
      <c r="F69" s="28">
        <f t="shared" si="5"/>
        <v>12</v>
      </c>
      <c r="G69" s="12" t="s">
        <v>135</v>
      </c>
      <c r="H69" s="33">
        <v>8000</v>
      </c>
    </row>
    <row r="70" spans="1:8">
      <c r="A70" s="8">
        <f t="shared" si="6"/>
        <v>8</v>
      </c>
      <c r="B70" s="37"/>
      <c r="C70" s="9" t="s">
        <v>134</v>
      </c>
      <c r="D70" s="9">
        <v>1</v>
      </c>
      <c r="E70" s="27" t="s">
        <v>12</v>
      </c>
      <c r="F70" s="28">
        <f t="shared" si="5"/>
        <v>12</v>
      </c>
      <c r="G70" s="12" t="s">
        <v>136</v>
      </c>
      <c r="H70" s="33">
        <f>8000*D70</f>
        <v>8000</v>
      </c>
    </row>
    <row r="71" spans="1:8" ht="38.25">
      <c r="B71" s="7">
        <v>4</v>
      </c>
      <c r="C71" s="6">
        <v>125</v>
      </c>
      <c r="D71" s="13" t="s">
        <v>31</v>
      </c>
      <c r="E71" s="13" t="s">
        <v>10</v>
      </c>
      <c r="F71" s="13"/>
      <c r="G71" s="13" t="s">
        <v>0</v>
      </c>
      <c r="H71" s="35" t="s">
        <v>9</v>
      </c>
    </row>
    <row r="72" spans="1:8" ht="12.75" customHeight="1">
      <c r="A72" s="8">
        <v>1</v>
      </c>
      <c r="B72" s="36" t="s">
        <v>28</v>
      </c>
      <c r="C72" s="9" t="s">
        <v>137</v>
      </c>
      <c r="D72" s="9">
        <v>4</v>
      </c>
      <c r="E72" s="27" t="s">
        <v>12</v>
      </c>
      <c r="F72" s="28">
        <f t="shared" ref="F72:F91" si="7">VLOOKUP(E72,$AN$1:$AO$20,2,FALSE)</f>
        <v>12</v>
      </c>
      <c r="G72" s="12" t="s">
        <v>174</v>
      </c>
      <c r="H72" s="33">
        <v>2800</v>
      </c>
    </row>
    <row r="73" spans="1:8">
      <c r="A73" s="8">
        <f>A72+1</f>
        <v>2</v>
      </c>
      <c r="B73" s="37"/>
      <c r="C73" s="9" t="s">
        <v>138</v>
      </c>
      <c r="D73" s="9">
        <v>4</v>
      </c>
      <c r="E73" s="27" t="s">
        <v>12</v>
      </c>
      <c r="F73" s="28">
        <f t="shared" si="7"/>
        <v>12</v>
      </c>
      <c r="G73" s="12" t="s">
        <v>175</v>
      </c>
      <c r="H73" s="33">
        <v>1440</v>
      </c>
    </row>
    <row r="74" spans="1:8">
      <c r="A74" s="8">
        <f t="shared" ref="A74:A91" si="8">A73+1</f>
        <v>3</v>
      </c>
      <c r="B74" s="37"/>
      <c r="C74" s="9" t="s">
        <v>139</v>
      </c>
      <c r="D74" s="9">
        <v>2</v>
      </c>
      <c r="E74" s="27" t="s">
        <v>12</v>
      </c>
      <c r="F74" s="28">
        <f t="shared" si="7"/>
        <v>12</v>
      </c>
      <c r="G74" s="12" t="s">
        <v>158</v>
      </c>
      <c r="H74" s="33">
        <v>6500</v>
      </c>
    </row>
    <row r="75" spans="1:8">
      <c r="A75" s="8">
        <f t="shared" si="8"/>
        <v>4</v>
      </c>
      <c r="B75" s="37"/>
      <c r="C75" s="9" t="s">
        <v>140</v>
      </c>
      <c r="D75" s="9">
        <v>1</v>
      </c>
      <c r="E75" s="27" t="s">
        <v>12</v>
      </c>
      <c r="F75" s="28">
        <f t="shared" si="7"/>
        <v>12</v>
      </c>
      <c r="G75" s="12" t="s">
        <v>159</v>
      </c>
      <c r="H75" s="33">
        <f>20000*D75</f>
        <v>20000</v>
      </c>
    </row>
    <row r="76" spans="1:8">
      <c r="A76" s="8">
        <f t="shared" si="8"/>
        <v>5</v>
      </c>
      <c r="B76" s="37"/>
      <c r="C76" s="9" t="s">
        <v>141</v>
      </c>
      <c r="D76" s="9">
        <v>1</v>
      </c>
      <c r="E76" s="27" t="s">
        <v>12</v>
      </c>
      <c r="F76" s="28">
        <f t="shared" si="7"/>
        <v>12</v>
      </c>
      <c r="G76" s="12" t="s">
        <v>151</v>
      </c>
      <c r="H76" s="33">
        <f>4000*D76</f>
        <v>4000</v>
      </c>
    </row>
    <row r="77" spans="1:8">
      <c r="A77" s="8">
        <f t="shared" si="8"/>
        <v>6</v>
      </c>
      <c r="B77" s="37"/>
      <c r="C77" s="9" t="s">
        <v>149</v>
      </c>
      <c r="D77" s="9">
        <v>1</v>
      </c>
      <c r="E77" s="27" t="s">
        <v>12</v>
      </c>
      <c r="F77" s="28">
        <f t="shared" si="7"/>
        <v>12</v>
      </c>
      <c r="G77" s="9" t="s">
        <v>142</v>
      </c>
      <c r="H77" s="33">
        <f>+D77*2650</f>
        <v>2650</v>
      </c>
    </row>
    <row r="78" spans="1:8">
      <c r="A78" s="8">
        <f t="shared" si="8"/>
        <v>7</v>
      </c>
      <c r="B78" s="37"/>
      <c r="C78" s="9" t="s">
        <v>149</v>
      </c>
      <c r="D78" s="9">
        <v>1</v>
      </c>
      <c r="E78" s="27" t="s">
        <v>12</v>
      </c>
      <c r="F78" s="28">
        <f t="shared" si="7"/>
        <v>12</v>
      </c>
      <c r="G78" s="9" t="s">
        <v>143</v>
      </c>
      <c r="H78" s="33">
        <f>+D78*2650</f>
        <v>2650</v>
      </c>
    </row>
    <row r="79" spans="1:8">
      <c r="A79" s="8">
        <f t="shared" si="8"/>
        <v>8</v>
      </c>
      <c r="B79" s="37"/>
      <c r="C79" s="9" t="s">
        <v>149</v>
      </c>
      <c r="D79" s="9">
        <v>1</v>
      </c>
      <c r="E79" s="27" t="s">
        <v>12</v>
      </c>
      <c r="F79" s="28">
        <f t="shared" si="7"/>
        <v>12</v>
      </c>
      <c r="G79" s="9" t="s">
        <v>157</v>
      </c>
      <c r="H79" s="33">
        <v>19000</v>
      </c>
    </row>
    <row r="80" spans="1:8">
      <c r="A80" s="8">
        <f t="shared" si="8"/>
        <v>9</v>
      </c>
      <c r="B80" s="37"/>
      <c r="C80" s="9" t="s">
        <v>144</v>
      </c>
      <c r="D80" s="9">
        <v>1</v>
      </c>
      <c r="E80" s="27" t="s">
        <v>12</v>
      </c>
      <c r="F80" s="28">
        <f t="shared" si="7"/>
        <v>12</v>
      </c>
      <c r="G80" s="12" t="s">
        <v>163</v>
      </c>
      <c r="H80" s="33">
        <f>6000*D80</f>
        <v>6000</v>
      </c>
    </row>
    <row r="81" spans="1:40">
      <c r="A81" s="8">
        <f t="shared" si="8"/>
        <v>10</v>
      </c>
      <c r="B81" s="37"/>
      <c r="C81" s="9" t="s">
        <v>145</v>
      </c>
      <c r="D81" s="9">
        <v>2</v>
      </c>
      <c r="E81" s="27" t="s">
        <v>12</v>
      </c>
      <c r="F81" s="28">
        <f t="shared" si="7"/>
        <v>12</v>
      </c>
      <c r="G81" s="12" t="s">
        <v>150</v>
      </c>
      <c r="H81" s="33">
        <v>3083</v>
      </c>
    </row>
    <row r="82" spans="1:40">
      <c r="A82" s="8"/>
      <c r="B82" s="37"/>
      <c r="C82" s="9" t="s">
        <v>164</v>
      </c>
      <c r="D82" s="9">
        <v>1</v>
      </c>
      <c r="E82" s="27" t="s">
        <v>12</v>
      </c>
      <c r="F82" s="28">
        <f t="shared" si="7"/>
        <v>12</v>
      </c>
      <c r="G82" s="12" t="s">
        <v>165</v>
      </c>
      <c r="H82" s="33">
        <f>6000/D82</f>
        <v>6000</v>
      </c>
    </row>
    <row r="83" spans="1:40">
      <c r="A83" s="8">
        <f>A81+1</f>
        <v>11</v>
      </c>
      <c r="B83" s="37"/>
      <c r="C83" s="9" t="s">
        <v>146</v>
      </c>
      <c r="D83" s="9">
        <v>2</v>
      </c>
      <c r="E83" s="27" t="s">
        <v>12</v>
      </c>
      <c r="F83" s="28">
        <f t="shared" si="7"/>
        <v>12</v>
      </c>
      <c r="G83" s="12" t="s">
        <v>146</v>
      </c>
      <c r="H83" s="33">
        <v>3883</v>
      </c>
    </row>
    <row r="84" spans="1:40">
      <c r="A84" s="8">
        <f t="shared" si="8"/>
        <v>12</v>
      </c>
      <c r="B84" s="37"/>
      <c r="C84" s="9" t="s">
        <v>148</v>
      </c>
      <c r="D84" s="9">
        <v>2</v>
      </c>
      <c r="E84" s="27" t="s">
        <v>12</v>
      </c>
      <c r="F84" s="28">
        <f t="shared" si="7"/>
        <v>12</v>
      </c>
      <c r="G84" s="12" t="s">
        <v>147</v>
      </c>
      <c r="H84" s="33">
        <v>2416</v>
      </c>
    </row>
    <row r="85" spans="1:40">
      <c r="A85" s="8">
        <f t="shared" si="8"/>
        <v>13</v>
      </c>
      <c r="B85" s="37"/>
      <c r="C85" s="9" t="s">
        <v>148</v>
      </c>
      <c r="D85" s="9">
        <v>1</v>
      </c>
      <c r="E85" s="27" t="s">
        <v>12</v>
      </c>
      <c r="F85" s="28">
        <f t="shared" si="7"/>
        <v>12</v>
      </c>
      <c r="G85" s="12" t="s">
        <v>166</v>
      </c>
      <c r="H85" s="33">
        <v>2500</v>
      </c>
    </row>
    <row r="86" spans="1:40">
      <c r="A86" s="8">
        <f t="shared" si="8"/>
        <v>14</v>
      </c>
      <c r="B86" s="37"/>
      <c r="C86" s="9" t="s">
        <v>153</v>
      </c>
      <c r="D86" s="9">
        <v>1</v>
      </c>
      <c r="E86" s="27" t="s">
        <v>13</v>
      </c>
      <c r="F86" s="28">
        <f t="shared" si="7"/>
        <v>6</v>
      </c>
      <c r="G86" s="12" t="s">
        <v>152</v>
      </c>
      <c r="H86" s="33">
        <v>8000</v>
      </c>
    </row>
    <row r="87" spans="1:40">
      <c r="A87" s="8">
        <f t="shared" si="8"/>
        <v>15</v>
      </c>
      <c r="B87" s="37"/>
      <c r="C87" s="9" t="s">
        <v>154</v>
      </c>
      <c r="D87" s="9">
        <v>1</v>
      </c>
      <c r="E87" s="27" t="s">
        <v>12</v>
      </c>
      <c r="F87" s="28">
        <f t="shared" si="7"/>
        <v>12</v>
      </c>
      <c r="G87" s="12" t="s">
        <v>155</v>
      </c>
      <c r="H87" s="33">
        <f>+D87*10000</f>
        <v>10000</v>
      </c>
    </row>
    <row r="88" spans="1:40">
      <c r="A88" s="8">
        <f t="shared" si="8"/>
        <v>16</v>
      </c>
      <c r="B88" s="37"/>
      <c r="C88" s="9" t="s">
        <v>156</v>
      </c>
      <c r="D88" s="9">
        <v>1</v>
      </c>
      <c r="E88" s="27" t="s">
        <v>12</v>
      </c>
      <c r="F88" s="28">
        <f t="shared" si="7"/>
        <v>12</v>
      </c>
      <c r="G88" s="12" t="s">
        <v>160</v>
      </c>
      <c r="H88" s="33">
        <f>4000*D88</f>
        <v>4000</v>
      </c>
    </row>
    <row r="89" spans="1:40">
      <c r="A89" s="8">
        <f t="shared" si="8"/>
        <v>17</v>
      </c>
      <c r="B89" s="37"/>
      <c r="C89" s="9" t="s">
        <v>161</v>
      </c>
      <c r="D89" s="9">
        <v>1</v>
      </c>
      <c r="E89" s="27" t="s">
        <v>12</v>
      </c>
      <c r="F89" s="28">
        <f t="shared" si="7"/>
        <v>12</v>
      </c>
      <c r="G89" s="12" t="s">
        <v>162</v>
      </c>
      <c r="H89" s="33">
        <f>7000*D89</f>
        <v>7000</v>
      </c>
    </row>
    <row r="90" spans="1:40">
      <c r="A90" s="8">
        <f t="shared" si="8"/>
        <v>18</v>
      </c>
      <c r="B90" s="37"/>
      <c r="C90" s="9" t="s">
        <v>167</v>
      </c>
      <c r="D90" s="9">
        <v>1</v>
      </c>
      <c r="E90" s="27" t="s">
        <v>12</v>
      </c>
      <c r="F90" s="28">
        <f t="shared" si="7"/>
        <v>12</v>
      </c>
      <c r="G90" s="12" t="s">
        <v>168</v>
      </c>
      <c r="H90" s="33">
        <f>7000*D90</f>
        <v>7000</v>
      </c>
    </row>
    <row r="91" spans="1:40">
      <c r="A91" s="8">
        <f t="shared" si="8"/>
        <v>19</v>
      </c>
      <c r="B91" s="38"/>
      <c r="C91" s="9" t="s">
        <v>169</v>
      </c>
      <c r="D91" s="9">
        <v>1</v>
      </c>
      <c r="E91" s="27" t="s">
        <v>12</v>
      </c>
      <c r="F91" s="28">
        <f t="shared" si="7"/>
        <v>12</v>
      </c>
      <c r="G91" s="12" t="s">
        <v>170</v>
      </c>
      <c r="H91" s="33">
        <f>6000*D91</f>
        <v>6000</v>
      </c>
    </row>
    <row r="92" spans="1:40" ht="15" customHeight="1">
      <c r="H92" s="18"/>
    </row>
    <row r="93" spans="1:40" ht="15" customHeight="1">
      <c r="H93" s="18"/>
    </row>
    <row r="94" spans="1:40" ht="15" customHeight="1">
      <c r="H94" s="18"/>
    </row>
    <row r="95" spans="1:40" ht="15" customHeight="1">
      <c r="H95" s="18"/>
    </row>
    <row r="96" spans="1:40" ht="15" customHeight="1">
      <c r="H96" s="18"/>
      <c r="AM96" s="26"/>
      <c r="AN96" s="26"/>
    </row>
    <row r="97" spans="7:41" ht="15" customHeight="1">
      <c r="H97" s="18"/>
      <c r="AM97" s="26"/>
      <c r="AN97" s="26"/>
    </row>
    <row r="98" spans="7:41" ht="15" customHeight="1">
      <c r="H98" s="18"/>
      <c r="AM98" s="26"/>
      <c r="AN98" s="26"/>
    </row>
    <row r="99" spans="7:41" ht="15" customHeight="1">
      <c r="H99" s="18"/>
      <c r="AM99" s="26"/>
      <c r="AN99" s="26"/>
    </row>
    <row r="100" spans="7:41" ht="15" customHeight="1">
      <c r="H100" s="18"/>
      <c r="AM100" s="26"/>
      <c r="AN100" s="26"/>
    </row>
    <row r="101" spans="7:41" ht="15" customHeight="1">
      <c r="H101" s="18"/>
      <c r="AM101" s="26"/>
      <c r="AN101" s="26"/>
    </row>
    <row r="102" spans="7:41" ht="15" customHeight="1">
      <c r="H102" s="18"/>
      <c r="AM102" s="26"/>
      <c r="AN102" s="26"/>
    </row>
    <row r="103" spans="7:41" ht="15" customHeight="1">
      <c r="H103" s="18"/>
      <c r="AM103" s="26"/>
      <c r="AN103" s="26"/>
    </row>
    <row r="104" spans="7:41" ht="15" customHeight="1">
      <c r="H104" s="18"/>
      <c r="AM104" s="26"/>
      <c r="AN104" s="26"/>
    </row>
    <row r="105" spans="7:41" s="3" customFormat="1" ht="15" customHeight="1">
      <c r="G105" s="10"/>
      <c r="H105" s="18"/>
      <c r="I105" s="1"/>
      <c r="J105" s="1"/>
      <c r="K105" s="1"/>
      <c r="L105" s="1"/>
      <c r="AM105" s="26"/>
      <c r="AN105" s="26"/>
      <c r="AO105"/>
    </row>
    <row r="106" spans="7:41" s="3" customFormat="1" ht="15" customHeight="1">
      <c r="G106" s="10"/>
      <c r="H106" s="18"/>
      <c r="I106" s="1"/>
      <c r="J106" s="1"/>
      <c r="K106" s="1"/>
      <c r="L106" s="1"/>
      <c r="AM106" s="26"/>
      <c r="AN106" s="26"/>
      <c r="AO106"/>
    </row>
    <row r="107" spans="7:41" s="3" customFormat="1" ht="15" customHeight="1">
      <c r="G107" s="10"/>
      <c r="H107" s="18"/>
      <c r="I107" s="1"/>
      <c r="J107" s="1"/>
      <c r="K107" s="1"/>
      <c r="L107" s="1"/>
      <c r="AM107"/>
      <c r="AN107"/>
      <c r="AO107"/>
    </row>
    <row r="108" spans="7:41" s="3" customFormat="1" ht="15" customHeight="1">
      <c r="G108" s="10"/>
      <c r="H108" s="18"/>
      <c r="I108" s="1"/>
      <c r="J108" s="1"/>
      <c r="K108" s="1"/>
      <c r="L108" s="1"/>
      <c r="AM108"/>
      <c r="AN108"/>
      <c r="AO108"/>
    </row>
    <row r="109" spans="7:41" s="3" customFormat="1" ht="15" customHeight="1">
      <c r="G109" s="10"/>
      <c r="H109" s="18"/>
      <c r="I109" s="1"/>
      <c r="J109" s="1"/>
      <c r="K109" s="1"/>
      <c r="L109" s="1"/>
      <c r="AM109"/>
      <c r="AN109"/>
      <c r="AO109"/>
    </row>
    <row r="110" spans="7:41" s="3" customFormat="1" ht="15" customHeight="1">
      <c r="G110" s="10"/>
      <c r="H110" s="18"/>
      <c r="I110" s="1"/>
      <c r="J110" s="1"/>
      <c r="K110" s="1"/>
      <c r="L110" s="1"/>
      <c r="AM110"/>
      <c r="AN110"/>
      <c r="AO110"/>
    </row>
    <row r="111" spans="7:41" s="3" customFormat="1" ht="15" customHeight="1">
      <c r="G111" s="10"/>
      <c r="H111" s="18"/>
      <c r="I111" s="1"/>
      <c r="J111" s="1"/>
      <c r="K111" s="1"/>
      <c r="L111" s="1"/>
      <c r="AM111"/>
      <c r="AN111"/>
      <c r="AO111"/>
    </row>
    <row r="112" spans="7:41" s="3" customFormat="1" ht="15" customHeight="1">
      <c r="G112" s="10"/>
      <c r="H112" s="18"/>
      <c r="I112" s="1"/>
      <c r="J112" s="1"/>
      <c r="K112" s="1"/>
      <c r="L112" s="1"/>
      <c r="AM112"/>
      <c r="AN112"/>
      <c r="AO112"/>
    </row>
    <row r="113" spans="7:41" s="3" customFormat="1" ht="15" customHeight="1">
      <c r="G113" s="10"/>
      <c r="H113" s="2"/>
      <c r="I113" s="1"/>
      <c r="J113" s="1"/>
      <c r="K113" s="1"/>
      <c r="L113" s="1"/>
      <c r="AM113"/>
      <c r="AN113"/>
      <c r="AO113"/>
    </row>
    <row r="114" spans="7:41" s="3" customFormat="1" ht="15" customHeight="1">
      <c r="G114" s="10"/>
      <c r="H114" s="2"/>
      <c r="I114" s="1"/>
      <c r="J114" s="1"/>
      <c r="K114" s="1"/>
      <c r="L114" s="1"/>
      <c r="AM114"/>
      <c r="AN114"/>
      <c r="AO114"/>
    </row>
    <row r="115" spans="7:41" s="3" customFormat="1" ht="15" customHeight="1">
      <c r="G115" s="10"/>
      <c r="H115" s="2"/>
      <c r="I115" s="1"/>
      <c r="J115" s="1"/>
      <c r="K115" s="1"/>
      <c r="L115" s="1"/>
      <c r="AM115"/>
      <c r="AN115"/>
      <c r="AO115"/>
    </row>
    <row r="116" spans="7:41" s="3" customFormat="1" ht="15" customHeight="1">
      <c r="G116" s="10"/>
      <c r="H116" s="2"/>
      <c r="I116" s="1"/>
      <c r="J116" s="1"/>
      <c r="K116" s="1"/>
      <c r="L116" s="1"/>
      <c r="AM116"/>
      <c r="AN116"/>
      <c r="AO116"/>
    </row>
    <row r="117" spans="7:41" s="3" customFormat="1" ht="15" customHeight="1">
      <c r="G117" s="10"/>
      <c r="H117" s="2"/>
      <c r="I117" s="1"/>
      <c r="J117" s="1"/>
      <c r="K117" s="1"/>
      <c r="L117" s="1"/>
      <c r="AM117"/>
      <c r="AN117"/>
      <c r="AO117"/>
    </row>
    <row r="118" spans="7:41" s="3" customFormat="1" ht="15" customHeight="1">
      <c r="G118" s="10"/>
      <c r="H118" s="2"/>
      <c r="I118" s="1"/>
      <c r="J118" s="1"/>
      <c r="K118" s="1"/>
      <c r="L118" s="1"/>
      <c r="AM118"/>
      <c r="AN118"/>
      <c r="AO118"/>
    </row>
    <row r="119" spans="7:41" s="3" customFormat="1" ht="15" customHeight="1">
      <c r="G119" s="10"/>
      <c r="H119" s="2"/>
      <c r="I119" s="1"/>
      <c r="J119" s="1"/>
      <c r="K119" s="1"/>
      <c r="L119" s="1"/>
      <c r="AM119"/>
      <c r="AN119"/>
      <c r="AO119"/>
    </row>
    <row r="120" spans="7:41" s="3" customFormat="1" ht="15" customHeight="1">
      <c r="G120" s="10"/>
      <c r="H120" s="2"/>
      <c r="I120" s="1"/>
      <c r="J120" s="1"/>
      <c r="K120" s="1"/>
      <c r="L120" s="1"/>
      <c r="AM120"/>
      <c r="AN120"/>
      <c r="AO120"/>
    </row>
    <row r="121" spans="7:41" ht="15" customHeight="1"/>
    <row r="122" spans="7:41" ht="15" customHeight="1"/>
    <row r="123" spans="7:41" ht="15" customHeight="1"/>
    <row r="125" spans="7:41" ht="15.75" thickBot="1"/>
    <row r="126" spans="7:41" ht="18.75" thickBot="1">
      <c r="H126" s="15"/>
    </row>
    <row r="127" spans="7:41">
      <c r="H127" s="5"/>
    </row>
    <row r="128" spans="7:41">
      <c r="H128" s="5"/>
    </row>
    <row r="129" spans="8:8">
      <c r="H129" s="5"/>
    </row>
    <row r="130" spans="8:8">
      <c r="H130" s="5"/>
    </row>
    <row r="131" spans="8:8">
      <c r="H131" s="5"/>
    </row>
    <row r="132" spans="8:8">
      <c r="H132" s="5"/>
    </row>
    <row r="133" spans="8:8">
      <c r="H133" s="4"/>
    </row>
    <row r="134" spans="8:8">
      <c r="H134" s="5"/>
    </row>
    <row r="135" spans="8:8">
      <c r="H135" s="5"/>
    </row>
    <row r="136" spans="8:8">
      <c r="H136" s="5"/>
    </row>
    <row r="137" spans="8:8">
      <c r="H137" s="5"/>
    </row>
    <row r="138" spans="8:8">
      <c r="H138" s="5"/>
    </row>
    <row r="139" spans="8:8">
      <c r="H139" s="5"/>
    </row>
    <row r="140" spans="8:8">
      <c r="H140" s="5"/>
    </row>
    <row r="141" spans="8:8">
      <c r="H141" s="5"/>
    </row>
    <row r="142" spans="8:8">
      <c r="H142" s="5"/>
    </row>
    <row r="143" spans="8:8">
      <c r="H143" s="5"/>
    </row>
    <row r="144" spans="8:8">
      <c r="H144" s="5"/>
    </row>
    <row r="145" spans="8:8">
      <c r="H145" s="5"/>
    </row>
    <row r="146" spans="8:8">
      <c r="H146" s="5"/>
    </row>
    <row r="147" spans="8:8">
      <c r="H147" s="5"/>
    </row>
  </sheetData>
  <protectedRanges>
    <protectedRange sqref="E4:E9 E63:E70 E72:E91 E11:E35" name="Ingreso"/>
    <protectedRange sqref="E36:E61" name="Ingreso_1"/>
  </protectedRanges>
  <mergeCells count="5">
    <mergeCell ref="B63:B70"/>
    <mergeCell ref="B72:B91"/>
    <mergeCell ref="D2:G2"/>
    <mergeCell ref="B4:B9"/>
    <mergeCell ref="B11:B61"/>
  </mergeCells>
  <conditionalFormatting sqref="F4 F11:F61">
    <cfRule type="cellIs" dxfId="4" priority="8" stopIfTrue="1" operator="equal">
      <formula>0</formula>
    </cfRule>
  </conditionalFormatting>
  <conditionalFormatting sqref="F5:F9">
    <cfRule type="cellIs" dxfId="3" priority="7" stopIfTrue="1" operator="equal">
      <formula>0</formula>
    </cfRule>
  </conditionalFormatting>
  <conditionalFormatting sqref="F63:F70">
    <cfRule type="cellIs" dxfId="2" priority="5" stopIfTrue="1" operator="equal">
      <formula>0</formula>
    </cfRule>
  </conditionalFormatting>
  <conditionalFormatting sqref="F72:F81 F83:F91">
    <cfRule type="cellIs" dxfId="1" priority="4" stopIfTrue="1" operator="equal">
      <formula>0</formula>
    </cfRule>
  </conditionalFormatting>
  <conditionalFormatting sqref="F82">
    <cfRule type="cellIs" dxfId="0" priority="1" stopIfTrue="1" operator="equal">
      <formula>0</formula>
    </cfRule>
  </conditionalFormatting>
  <dataValidations xWindow="475" yWindow="730" count="2">
    <dataValidation type="list" allowBlank="1" showInputMessage="1" showErrorMessage="1" error="Por favor especifique &quot;Otro&quot; y en la siguiente columna especifíquelo" sqref="E63:E70 E4:E9 E72:E91 E11:E35">
      <formula1>$AN$1:$AN$20</formula1>
    </dataValidation>
    <dataValidation type="list" allowBlank="1" showInputMessage="1" showErrorMessage="1" error="Por favor especifique &quot;Otro&quot; y en la siguiente columna especifíquelo" sqref="E36:E61">
      <formula1>$AN$1:$AN$21</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Mod. Institucional HI</vt:lpstr>
      <vt:lpstr>'Mod. Institucional HI'!Área_de_impresión</vt:lpstr>
      <vt:lpstr>'Mod. Institucional HI'!Títulos_a_imprimir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