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CDI LAS MARGARITA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'CDI LAS MARGARITAS'!$B$4:$L$71</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'CDI LAS MARGARITAS'!$B$2:$H$71</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'CDI LAS MARGARITAS'!$2:$3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8" i="1" l="1"/>
  <c r="D45" i="1"/>
  <c r="H40" i="1"/>
  <c r="H39" i="1"/>
  <c r="F40" i="1"/>
  <c r="F39" i="1"/>
  <c r="D24" i="1" l="1"/>
  <c r="H7" i="1"/>
  <c r="F42" i="1" l="1"/>
  <c r="F41" i="1"/>
  <c r="F36" i="1"/>
  <c r="F35" i="1"/>
  <c r="F34" i="1"/>
  <c r="F33" i="1"/>
  <c r="F71" i="1" l="1"/>
  <c r="F70" i="1"/>
  <c r="F68" i="1"/>
  <c r="F67" i="1"/>
  <c r="F66" i="1"/>
  <c r="F65" i="1"/>
  <c r="F64" i="1"/>
  <c r="F63" i="1"/>
  <c r="F62" i="1"/>
  <c r="F61" i="1"/>
  <c r="F60" i="1"/>
  <c r="F59" i="1"/>
  <c r="F55" i="1"/>
  <c r="F53" i="1"/>
  <c r="F51" i="1"/>
  <c r="F50" i="1"/>
  <c r="F49" i="1"/>
  <c r="F48" i="1"/>
  <c r="F47" i="1"/>
  <c r="F46" i="1"/>
  <c r="F44"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AO5" i="1"/>
  <c r="AO4" i="1"/>
  <c r="F56" i="1" s="1"/>
  <c r="AO3" i="1"/>
  <c r="F30" i="1" l="1"/>
  <c r="F57" i="1"/>
  <c r="F69" i="1"/>
  <c r="F25" i="1"/>
  <c r="F38" i="1"/>
  <c r="F28" i="1"/>
  <c r="F37" i="1"/>
  <c r="F26" i="1"/>
  <c r="F27" i="1"/>
  <c r="F32" i="1"/>
  <c r="F31" i="1"/>
  <c r="F29" i="1"/>
  <c r="F54" i="1"/>
  <c r="F4" i="1"/>
  <c r="F45" i="1"/>
  <c r="A54" i="1"/>
  <c r="A55" i="1" s="1"/>
  <c r="A59" i="1" s="1"/>
  <c r="A60" i="1" s="1"/>
  <c r="A61" i="1" s="1"/>
  <c r="A62" i="1" s="1"/>
  <c r="A63" i="1" s="1"/>
  <c r="A64" i="1" s="1"/>
  <c r="A65" i="1" s="1"/>
  <c r="A66" i="1" s="1"/>
  <c r="A67" i="1" s="1"/>
  <c r="A68" i="1" s="1"/>
  <c r="A69" i="1" s="1"/>
  <c r="A70" i="1" s="1"/>
  <c r="A12" i="1"/>
  <c r="A13" i="1" s="1"/>
  <c r="A14" i="1" s="1"/>
  <c r="A15" i="1" s="1"/>
  <c r="A16" i="1" s="1"/>
  <c r="A17" i="1" s="1"/>
  <c r="A18" i="1" s="1"/>
  <c r="A19" i="1" s="1"/>
  <c r="A20" i="1" s="1"/>
  <c r="A21" i="1" s="1"/>
  <c r="A22" i="1" s="1"/>
  <c r="A23" i="1" s="1"/>
  <c r="A24" i="1" s="1"/>
  <c r="A25" i="1" s="1"/>
  <c r="A26" i="1" s="1"/>
  <c r="A27" i="1" s="1"/>
  <c r="A28"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<sst xmlns="http://schemas.openxmlformats.org/spreadsheetml/2006/main" count="237" uniqueCount="152">
  <si>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</si>
  <si>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</si>
  <si>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</si>
  <si>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</si>
  <si>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</si>
  <si>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</si>
  <si>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</si>
  <si>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</si>
  <si>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</si>
  <si>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</si>
  <si>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</si>
  <si>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</si>
  <si>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</si>
  <si>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</si>
  <si>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</si>
  <si>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</si>
  <si>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</si>
  <si>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</si>
  <si>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</si>
  <si>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</si>
  <si>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</si>
  <si>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</si>
  <si>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</si>
  <si>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</si>
  <si>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</si>
  <si>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</si>
  <si>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</si>
  <si>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</si>
  <si>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</si>
  <si>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</si>
  <si>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</si>
  <si>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</si>
  <si>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</si>
  <si>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</si>
  <si>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</si>
  <si>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</si>
  <si>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</si>
  <si>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</si>
  <si>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GAS NATURAL</t>
  </si>
  <si>
    <t>BLOCK IRIS</t>
  </si>
  <si>
    <t>RESALTADOR</t>
  </si>
  <si>
    <t>COLORES</t>
  </si>
  <si>
    <t>ARCILLA</t>
  </si>
  <si>
    <t>AZ</t>
  </si>
  <si>
    <t>ESFERO</t>
  </si>
  <si>
    <t>CARPETA</t>
  </si>
  <si>
    <t>PAPEL HIGIENICO</t>
  </si>
  <si>
    <t>ROLLO DE PAPEL HIGIENICO DISPENSADOR</t>
  </si>
  <si>
    <t>ROLLO PAPEL HIGIENICO DOBLE HOJA</t>
  </si>
  <si>
    <t>TOALLAS MANO</t>
  </si>
  <si>
    <t>SERVILLETA</t>
  </si>
  <si>
    <t>PAQUETE DE SERVILLETA X 100</t>
  </si>
  <si>
    <t>PAÑITOS HUMEDOS</t>
  </si>
  <si>
    <t>PAQTE PAÑITOS HUMEDOS X 100</t>
  </si>
  <si>
    <t>GEL ANTIBACTERIAL</t>
  </si>
  <si>
    <t>GEL ANTIBACTERIAL LITRO</t>
  </si>
  <si>
    <t>JABON LIQUIDO</t>
  </si>
  <si>
    <t>JABON LIQUIDO LAVACOLITAS LITRO</t>
  </si>
  <si>
    <t>JABON EN POLVO</t>
  </si>
  <si>
    <t>JABON BARRA</t>
  </si>
  <si>
    <t>JABON LOZA</t>
  </si>
  <si>
    <t>HIPOCLORITO / CLOROX</t>
  </si>
  <si>
    <t>DESENGRASANTE</t>
  </si>
  <si>
    <t>GUANTES NEGROS CALIBRE 35</t>
  </si>
  <si>
    <t>GUANTES COLOR CALIBRE 35</t>
  </si>
  <si>
    <t xml:space="preserve">TAPOBOCAS </t>
  </si>
  <si>
    <t>ESCOBA</t>
  </si>
  <si>
    <t>TRAPERO</t>
  </si>
  <si>
    <t>SABRA PARA LOZA</t>
  </si>
  <si>
    <t>ESPONJILLA</t>
  </si>
  <si>
    <t>GUANTES</t>
  </si>
  <si>
    <t>ESCOBA CERDAS SUVES</t>
  </si>
  <si>
    <t>JABON EN BARA REY X 3 750 GR</t>
  </si>
  <si>
    <t>DESENGRASANTE X 4 LITROS</t>
  </si>
  <si>
    <t>GALON LIMPIAVIDRIOS X 4 LITROS</t>
  </si>
  <si>
    <t>LIMPIAVIDRIOS</t>
  </si>
  <si>
    <t>CERA</t>
  </si>
  <si>
    <t>GALON CERA BLANCA X 4 LITROS</t>
  </si>
  <si>
    <t>CAJA GUANTES DE MANIPULACION LATEX</t>
  </si>
  <si>
    <t>JABON EN POTE PARA LOZA  450 GR</t>
  </si>
  <si>
    <t>CLOROX  20 LITROS</t>
  </si>
  <si>
    <t>TAPABOCAS DESECHABLE X 50</t>
  </si>
  <si>
    <t>INOXIDABLE DORADA UND</t>
  </si>
  <si>
    <t>AMBIENTADOR</t>
  </si>
  <si>
    <t>AMBIENTADOR EN SPRAIT</t>
  </si>
  <si>
    <t>CREPE</t>
  </si>
  <si>
    <t>SEDA</t>
  </si>
  <si>
    <t>KRAFT</t>
  </si>
  <si>
    <t>CELOFAN</t>
  </si>
  <si>
    <t>MANOS PAPEL KRAFT PLIEGO</t>
  </si>
  <si>
    <t>MANOS PAPEL SEDA PLIEGO</t>
  </si>
  <si>
    <t>MANOS PAPEL CREPE PLIEGO</t>
  </si>
  <si>
    <t>MANOS PAPEL CELOFAN PLIEGO</t>
  </si>
  <si>
    <t>SILUETA</t>
  </si>
  <si>
    <t>BLOCK IRIS CARTA</t>
  </si>
  <si>
    <t>VINILO</t>
  </si>
  <si>
    <t>VINILO GALON X 4000 GR</t>
  </si>
  <si>
    <t>COLBON</t>
  </si>
  <si>
    <t>COLBON LIQUIDO GALON X 4000 GR</t>
  </si>
  <si>
    <t>PLASTILINA</t>
  </si>
  <si>
    <t>PLASTILINA BARRA KILO</t>
  </si>
  <si>
    <t>CARTULINA</t>
  </si>
  <si>
    <t>PAQUETE CARTULINA BRISTOL EN 1/8 X 10</t>
  </si>
  <si>
    <t>PAPEL</t>
  </si>
  <si>
    <t>RESMAS DE PAPEL CARTA</t>
  </si>
  <si>
    <t>CAJAS X 12 DE ESFERO CORRIENTE NEGRO</t>
  </si>
  <si>
    <t>CAJAS X 12 DE LAPIZ CORRIENTE NEGRO</t>
  </si>
  <si>
    <t>LAPIZ</t>
  </si>
  <si>
    <t>CAJA DE COLORES UNA PUNTA X 12</t>
  </si>
  <si>
    <t>TIJERAS</t>
  </si>
  <si>
    <t>TIJERA PUNTA ROMA</t>
  </si>
  <si>
    <t>PINCEL</t>
  </si>
  <si>
    <t>PINCELES PLASTICOS</t>
  </si>
  <si>
    <t>TABLA DE PICADO</t>
  </si>
  <si>
    <t>TABLA DE PICADO DE MADERA ESCOLAR</t>
  </si>
  <si>
    <t>JUEGOS DE TITERES</t>
  </si>
  <si>
    <t>PAQUETE JUEGO DE TITERES X 12</t>
  </si>
  <si>
    <t>JUEGO DE ENCAJAR</t>
  </si>
  <si>
    <t xml:space="preserve">JUEGO DE ENCAJAR PLASTICO O FOMY </t>
  </si>
  <si>
    <t>ROMPECABEZAS</t>
  </si>
  <si>
    <t>ROMPECABEZAS PARA NIÑOS</t>
  </si>
  <si>
    <t>COCEDORA</t>
  </si>
  <si>
    <t>COCEDORA PLASTICA GRANDE</t>
  </si>
  <si>
    <t>CARPETA PLASTICALEGAJADORA OFICIO</t>
  </si>
  <si>
    <t>ARCILLA CORRIENTE LIBRA BOLSA</t>
  </si>
  <si>
    <t>AZ PLASTIFICADA ECONOMICA</t>
  </si>
  <si>
    <t xml:space="preserve">CINTA DE ENMASCAR </t>
  </si>
  <si>
    <t>CINTA ENMASCARAR 18 X 20 3/4 PULG</t>
  </si>
  <si>
    <t>TAJALAPIZ</t>
  </si>
  <si>
    <t>TAJALAPIZ SENCILLO UNA FUNCION</t>
  </si>
  <si>
    <t>RESALTADOR CORRIENTE</t>
  </si>
  <si>
    <t>TABLA PLANILLERA</t>
  </si>
  <si>
    <t>TABLA PLANILLERA PLASTICA</t>
  </si>
  <si>
    <t>MANO PAPEL SILUETA PLIEGO</t>
  </si>
  <si>
    <t>SACAGANCHOS</t>
  </si>
  <si>
    <t xml:space="preserve">SACAGANCHOS </t>
  </si>
  <si>
    <t>BORRADOR</t>
  </si>
  <si>
    <t xml:space="preserve">BORRADOR MIGA DE PAN </t>
  </si>
  <si>
    <t>GANCHO COCEDORA</t>
  </si>
  <si>
    <t>MICROPUNTA</t>
  </si>
  <si>
    <t>MICROPUNTA NEGRO CAJA</t>
  </si>
  <si>
    <t>GANCHO DE COCEDORA GALVANIZADO CAJA</t>
  </si>
  <si>
    <t>JABON LIQUIDO PARA MANOS 20 LITRO</t>
  </si>
  <si>
    <t xml:space="preserve">SELLANTE </t>
  </si>
  <si>
    <t>SELLANTE  X 20 LT</t>
  </si>
  <si>
    <t>CAJA DE TOALLAS PARA MANOS X 24</t>
  </si>
  <si>
    <t>CERA PARA PISO GALON 20 LTR</t>
  </si>
  <si>
    <t>JABON EN POLVO BOLSA 1000 GR</t>
  </si>
  <si>
    <t>SILICONA</t>
  </si>
  <si>
    <t>GALON SILICONA 20 LT</t>
  </si>
  <si>
    <t>PLAN CORPORATIVO ILIMITADO 5 PLANES (2 MARGARITAS)</t>
  </si>
  <si>
    <t>MODALIDAD INSTITUCIONAL CDI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</si>
</sst>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5">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5">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7">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27"/>
  <sheetViews>
    <sheetView showGridLines="0" tabSelected="1" zoomScale="85" zoomScaleNormal="85" zoomScaleSheetLayoutView="82" zoomScalePageLayoutView="85" workbookViewId="0">
      <selection activeCell="G8" sqref="G8"/>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32</v>
      </c>
      <c r="D2" s="39" t="s">
        <v>151</v>
      </c>
      <c r="E2" s="40"/>
      <c r="F2" s="40"/>
      <c r="G2" s="41"/>
      <c r="H2" s="31" t="s">
        <v>33</v>
      </c>
      <c r="AM2" s="19">
        <v>4</v>
      </c>
      <c r="AN2" s="14" t="s">
        <v>12</v>
      </c>
      <c r="AO2" s="21">
        <v>12</v>
      </c>
    </row>
    <row r="3" spans="1:41" ht="44.25" customHeight="1">
      <c r="B3" s="16">
        <v>1</v>
      </c>
      <c r="C3" s="6">
        <v>300</v>
      </c>
      <c r="D3" s="13" t="s">
        <v>34</v>
      </c>
      <c r="E3" s="13" t="s">
        <v>10</v>
      </c>
      <c r="F3" s="13" t="s">
        <v>29</v>
      </c>
      <c r="G3" s="13" t="s">
        <v>0</v>
      </c>
      <c r="H3" s="11" t="s">
        <v>9</v>
      </c>
      <c r="AM3" s="19">
        <v>5</v>
      </c>
      <c r="AN3" s="14" t="s">
        <v>13</v>
      </c>
      <c r="AO3" s="21">
        <f>12/2</f>
        <v>6</v>
      </c>
    </row>
    <row r="4" spans="1:41" s="8" customFormat="1" ht="12.75" customHeight="1">
      <c r="A4" s="8">
        <v>1</v>
      </c>
      <c r="B4" s="42" t="s">
        <v>1</v>
      </c>
      <c r="C4" s="9" t="s">
        <v>2</v>
      </c>
      <c r="D4" s="9">
        <v>1</v>
      </c>
      <c r="E4" s="27" t="s">
        <v>13</v>
      </c>
      <c r="F4" s="28">
        <f t="shared" ref="F4:F9" si="0">VLOOKUP(E4,$AN$1:$AO$22,2,FALSE)</f>
        <v>6</v>
      </c>
      <c r="G4" s="12" t="s">
        <v>35</v>
      </c>
      <c r="H4" s="33">
        <v>330000</v>
      </c>
      <c r="AM4" s="19">
        <v>6</v>
      </c>
      <c r="AN4" s="14" t="s">
        <v>14</v>
      </c>
      <c r="AO4" s="21">
        <f>12/3</f>
        <v>4</v>
      </c>
    </row>
    <row r="5" spans="1:41" s="8" customFormat="1">
      <c r="A5" s="8">
        <f>A4+1</f>
        <v>2</v>
      </c>
      <c r="B5" s="43"/>
      <c r="C5" s="9" t="s">
        <v>3</v>
      </c>
      <c r="D5" s="9">
        <v>1</v>
      </c>
      <c r="E5" s="27" t="s">
        <v>12</v>
      </c>
      <c r="F5" s="28">
        <f t="shared" si="0"/>
        <v>12</v>
      </c>
      <c r="G5" s="12" t="s">
        <v>36</v>
      </c>
      <c r="H5" s="33">
        <v>115000</v>
      </c>
      <c r="AM5" s="19">
        <v>7</v>
      </c>
      <c r="AN5" s="14" t="s">
        <v>15</v>
      </c>
      <c r="AO5" s="22">
        <f>12/4</f>
        <v>3</v>
      </c>
    </row>
    <row r="6" spans="1:41" s="8" customFormat="1">
      <c r="A6" s="8">
        <f t="shared" ref="A6:A9" si="1">A5+1</f>
        <v>3</v>
      </c>
      <c r="B6" s="43"/>
      <c r="C6" s="9" t="s">
        <v>4</v>
      </c>
      <c r="D6" s="9">
        <v>1</v>
      </c>
      <c r="E6" s="27" t="s">
        <v>12</v>
      </c>
      <c r="F6" s="28">
        <f t="shared" si="0"/>
        <v>12</v>
      </c>
      <c r="G6" s="12" t="s">
        <v>37</v>
      </c>
      <c r="H6" s="33">
        <v>68000</v>
      </c>
      <c r="AM6" s="19">
        <v>8</v>
      </c>
      <c r="AN6" s="14" t="s">
        <v>16</v>
      </c>
      <c r="AO6" s="21">
        <f>12/6</f>
        <v>2</v>
      </c>
    </row>
    <row r="7" spans="1:41" s="8" customFormat="1">
      <c r="A7" s="8">
        <f t="shared" si="1"/>
        <v>4</v>
      </c>
      <c r="B7" s="43"/>
      <c r="C7" s="9" t="s">
        <v>5</v>
      </c>
      <c r="D7" s="9">
        <v>1</v>
      </c>
      <c r="E7" s="27" t="s">
        <v>12</v>
      </c>
      <c r="F7" s="28">
        <f t="shared" si="0"/>
        <v>12</v>
      </c>
      <c r="G7" s="12" t="s">
        <v>150</v>
      </c>
      <c r="H7" s="33">
        <f>219394/5</f>
        <v>43878.8</v>
      </c>
      <c r="AM7" s="19">
        <v>9</v>
      </c>
      <c r="AN7" s="14" t="s">
        <v>17</v>
      </c>
      <c r="AO7" s="20">
        <f>12/7</f>
        <v>1.7142857142857142</v>
      </c>
    </row>
    <row r="8" spans="1:41" s="8" customFormat="1">
      <c r="A8" s="8">
        <f t="shared" si="1"/>
        <v>5</v>
      </c>
      <c r="B8" s="43"/>
      <c r="C8" s="9" t="s">
        <v>6</v>
      </c>
      <c r="D8" s="9">
        <v>1</v>
      </c>
      <c r="E8" s="27" t="s">
        <v>12</v>
      </c>
      <c r="F8" s="28">
        <f t="shared" si="0"/>
        <v>12</v>
      </c>
      <c r="G8" s="12" t="s">
        <v>38</v>
      </c>
      <c r="H8" s="33">
        <v>47500</v>
      </c>
      <c r="AM8" s="19">
        <v>10</v>
      </c>
      <c r="AN8" s="14" t="s">
        <v>18</v>
      </c>
      <c r="AO8" s="20">
        <f>12/8</f>
        <v>1.5</v>
      </c>
    </row>
    <row r="9" spans="1:41" s="8" customFormat="1">
      <c r="A9" s="8">
        <f t="shared" si="1"/>
        <v>6</v>
      </c>
      <c r="B9" s="44"/>
      <c r="C9" s="9" t="s">
        <v>7</v>
      </c>
      <c r="D9" s="9"/>
      <c r="E9" s="27" t="s">
        <v>12</v>
      </c>
      <c r="F9" s="28">
        <f t="shared" si="0"/>
        <v>12</v>
      </c>
      <c r="G9" s="12"/>
      <c r="H9" s="33"/>
      <c r="AM9" s="19">
        <v>11</v>
      </c>
      <c r="AN9" s="14" t="s">
        <v>19</v>
      </c>
      <c r="AO9" s="20">
        <f>12/9</f>
        <v>1.3333333333333333</v>
      </c>
    </row>
    <row r="10" spans="1:41" ht="38.25">
      <c r="B10" s="16">
        <v>2</v>
      </c>
      <c r="C10" s="6">
        <v>300</v>
      </c>
      <c r="D10" s="13" t="s">
        <v>34</v>
      </c>
      <c r="E10" s="13" t="s">
        <v>10</v>
      </c>
      <c r="F10" s="13"/>
      <c r="G10" s="13" t="s">
        <v>0</v>
      </c>
      <c r="H10" s="11" t="s">
        <v>9</v>
      </c>
      <c r="AM10" s="19">
        <v>12</v>
      </c>
      <c r="AN10" s="14" t="s">
        <v>20</v>
      </c>
      <c r="AO10" s="20">
        <f>12/10</f>
        <v>1.2</v>
      </c>
    </row>
    <row r="11" spans="1:41" ht="12.75" customHeight="1">
      <c r="A11" s="8">
        <v>1</v>
      </c>
      <c r="B11" s="36" t="s">
        <v>30</v>
      </c>
      <c r="C11" s="9" t="s">
        <v>87</v>
      </c>
      <c r="D11" s="9">
        <v>2</v>
      </c>
      <c r="E11" s="27" t="s">
        <v>12</v>
      </c>
      <c r="F11" s="28">
        <f t="shared" ref="F11:F28" si="2">VLOOKUP(E11,$AN$1:$AO$22,2,FALSE)</f>
        <v>12</v>
      </c>
      <c r="G11" s="9" t="s">
        <v>89</v>
      </c>
      <c r="H11" s="33">
        <v>8000</v>
      </c>
      <c r="I11" s="32"/>
      <c r="J11" s="34"/>
      <c r="K11" s="34"/>
      <c r="AM11" s="19">
        <v>13</v>
      </c>
      <c r="AN11" s="14" t="s">
        <v>21</v>
      </c>
      <c r="AO11" s="20">
        <f>12/11</f>
        <v>1.0909090909090908</v>
      </c>
    </row>
    <row r="12" spans="1:41">
      <c r="A12" s="8">
        <f>A11+1</f>
        <v>2</v>
      </c>
      <c r="B12" s="37"/>
      <c r="C12" s="9" t="s">
        <v>86</v>
      </c>
      <c r="D12" s="9">
        <v>2</v>
      </c>
      <c r="E12" s="27" t="s">
        <v>12</v>
      </c>
      <c r="F12" s="28">
        <f t="shared" si="2"/>
        <v>12</v>
      </c>
      <c r="G12" s="9" t="s">
        <v>90</v>
      </c>
      <c r="H12" s="33">
        <v>3000</v>
      </c>
      <c r="I12" s="32"/>
      <c r="J12" s="34"/>
      <c r="K12" s="34"/>
      <c r="AM12" s="19">
        <v>14</v>
      </c>
      <c r="AN12" s="14" t="s">
        <v>22</v>
      </c>
      <c r="AO12" s="21">
        <f>12/12</f>
        <v>1</v>
      </c>
    </row>
    <row r="13" spans="1:41">
      <c r="A13" s="8">
        <f t="shared" ref="A13:A28" si="3">A12+1</f>
        <v>3</v>
      </c>
      <c r="B13" s="37"/>
      <c r="C13" s="9" t="s">
        <v>85</v>
      </c>
      <c r="D13" s="9">
        <v>2</v>
      </c>
      <c r="E13" s="27" t="s">
        <v>12</v>
      </c>
      <c r="F13" s="28">
        <f t="shared" si="2"/>
        <v>12</v>
      </c>
      <c r="G13" s="9" t="s">
        <v>91</v>
      </c>
      <c r="H13" s="33">
        <v>4500</v>
      </c>
      <c r="I13" s="32"/>
      <c r="J13" s="34"/>
      <c r="K13" s="34"/>
      <c r="AM13" s="19">
        <v>15</v>
      </c>
      <c r="AN13" s="14" t="s">
        <v>23</v>
      </c>
      <c r="AO13" s="20">
        <f>1/2</f>
        <v>0.5</v>
      </c>
    </row>
    <row r="14" spans="1:41">
      <c r="A14" s="8">
        <f t="shared" si="3"/>
        <v>4</v>
      </c>
      <c r="B14" s="37"/>
      <c r="C14" s="9" t="s">
        <v>88</v>
      </c>
      <c r="D14" s="9">
        <v>2</v>
      </c>
      <c r="E14" s="27" t="s">
        <v>12</v>
      </c>
      <c r="F14" s="28">
        <f t="shared" si="2"/>
        <v>12</v>
      </c>
      <c r="G14" s="9" t="s">
        <v>92</v>
      </c>
      <c r="H14" s="33">
        <v>7000</v>
      </c>
      <c r="I14" s="32"/>
      <c r="J14" s="34"/>
      <c r="K14" s="34"/>
      <c r="AM14" s="19">
        <v>16</v>
      </c>
      <c r="AN14" s="14" t="s">
        <v>24</v>
      </c>
      <c r="AO14" s="20">
        <f>1/3</f>
        <v>0.33333333333333331</v>
      </c>
    </row>
    <row r="15" spans="1:41">
      <c r="A15" s="8">
        <f t="shared" si="3"/>
        <v>5</v>
      </c>
      <c r="B15" s="37"/>
      <c r="C15" s="9" t="s">
        <v>93</v>
      </c>
      <c r="D15" s="9">
        <v>1</v>
      </c>
      <c r="E15" s="27" t="s">
        <v>12</v>
      </c>
      <c r="F15" s="28">
        <f t="shared" si="2"/>
        <v>12</v>
      </c>
      <c r="G15" s="9" t="s">
        <v>133</v>
      </c>
      <c r="H15" s="33">
        <v>5000</v>
      </c>
      <c r="I15" s="32"/>
      <c r="J15" s="34"/>
      <c r="K15" s="34"/>
      <c r="AM15" s="19">
        <v>17</v>
      </c>
      <c r="AN15" s="14" t="s">
        <v>25</v>
      </c>
      <c r="AO15" s="20">
        <f>1/4</f>
        <v>0.25</v>
      </c>
    </row>
    <row r="16" spans="1:41">
      <c r="A16" s="8">
        <f t="shared" si="3"/>
        <v>6</v>
      </c>
      <c r="B16" s="37"/>
      <c r="C16" s="9" t="s">
        <v>39</v>
      </c>
      <c r="D16" s="9">
        <v>6</v>
      </c>
      <c r="E16" s="27" t="s">
        <v>12</v>
      </c>
      <c r="F16" s="28">
        <f t="shared" si="2"/>
        <v>12</v>
      </c>
      <c r="G16" s="9" t="s">
        <v>94</v>
      </c>
      <c r="H16" s="33">
        <v>3500</v>
      </c>
      <c r="I16" s="32"/>
      <c r="J16" s="34"/>
      <c r="K16" s="34"/>
      <c r="AM16" s="19">
        <v>18</v>
      </c>
      <c r="AN16" s="14" t="s">
        <v>26</v>
      </c>
      <c r="AO16" s="20">
        <f>1/5</f>
        <v>0.2</v>
      </c>
    </row>
    <row r="17" spans="1:41">
      <c r="A17" s="8">
        <f t="shared" si="3"/>
        <v>7</v>
      </c>
      <c r="B17" s="37"/>
      <c r="C17" s="9" t="s">
        <v>95</v>
      </c>
      <c r="D17" s="9">
        <v>7</v>
      </c>
      <c r="E17" s="27" t="s">
        <v>12</v>
      </c>
      <c r="F17" s="28">
        <f t="shared" si="2"/>
        <v>12</v>
      </c>
      <c r="G17" s="9" t="s">
        <v>96</v>
      </c>
      <c r="H17" s="33">
        <v>15000</v>
      </c>
      <c r="I17" s="32"/>
      <c r="J17" s="34"/>
      <c r="K17" s="34"/>
      <c r="AM17" s="19">
        <v>19</v>
      </c>
      <c r="AN17" s="14" t="s">
        <v>27</v>
      </c>
      <c r="AO17" s="20">
        <f>1/10</f>
        <v>0.1</v>
      </c>
    </row>
    <row r="18" spans="1:41">
      <c r="A18" s="8">
        <f t="shared" si="3"/>
        <v>8</v>
      </c>
      <c r="B18" s="37"/>
      <c r="C18" s="9" t="s">
        <v>97</v>
      </c>
      <c r="D18" s="9">
        <v>5</v>
      </c>
      <c r="E18" s="27" t="s">
        <v>12</v>
      </c>
      <c r="F18" s="28">
        <f t="shared" si="2"/>
        <v>12</v>
      </c>
      <c r="G18" s="9" t="s">
        <v>98</v>
      </c>
      <c r="H18" s="33">
        <v>20000</v>
      </c>
      <c r="I18" s="32"/>
      <c r="J18" s="34"/>
      <c r="K18" s="34"/>
      <c r="AM18" s="19">
        <v>20</v>
      </c>
      <c r="AN18" s="14" t="s">
        <v>28</v>
      </c>
      <c r="AO18" s="21">
        <f>1/20</f>
        <v>0.05</v>
      </c>
    </row>
    <row r="19" spans="1:41">
      <c r="A19" s="8">
        <f t="shared" si="3"/>
        <v>9</v>
      </c>
      <c r="B19" s="37"/>
      <c r="C19" s="9" t="s">
        <v>99</v>
      </c>
      <c r="D19" s="9">
        <v>17</v>
      </c>
      <c r="E19" s="27" t="s">
        <v>12</v>
      </c>
      <c r="F19" s="28">
        <f t="shared" si="2"/>
        <v>12</v>
      </c>
      <c r="G19" s="9" t="s">
        <v>100</v>
      </c>
      <c r="H19" s="33">
        <v>12000</v>
      </c>
      <c r="I19" s="32"/>
      <c r="J19" s="34"/>
      <c r="K19" s="34"/>
      <c r="AM19" s="19">
        <v>21</v>
      </c>
      <c r="AN19" s="14" t="s">
        <v>7</v>
      </c>
      <c r="AO19" s="21">
        <v>0</v>
      </c>
    </row>
    <row r="20" spans="1:41">
      <c r="A20" s="8">
        <f t="shared" si="3"/>
        <v>10</v>
      </c>
      <c r="B20" s="37"/>
      <c r="C20" s="9" t="s">
        <v>101</v>
      </c>
      <c r="D20" s="9">
        <v>17</v>
      </c>
      <c r="E20" s="27" t="s">
        <v>12</v>
      </c>
      <c r="F20" s="28">
        <f t="shared" si="2"/>
        <v>12</v>
      </c>
      <c r="G20" s="9" t="s">
        <v>102</v>
      </c>
      <c r="H20" s="33">
        <v>3000</v>
      </c>
      <c r="I20" s="32"/>
      <c r="J20" s="34"/>
      <c r="K20" s="34"/>
      <c r="AM20" s="19">
        <v>22</v>
      </c>
      <c r="AN20" s="14"/>
      <c r="AO20" s="21"/>
    </row>
    <row r="21" spans="1:41">
      <c r="A21" s="8">
        <f t="shared" si="3"/>
        <v>11</v>
      </c>
      <c r="B21" s="37"/>
      <c r="C21" s="9" t="s">
        <v>103</v>
      </c>
      <c r="D21" s="9">
        <v>13</v>
      </c>
      <c r="E21" s="27" t="s">
        <v>12</v>
      </c>
      <c r="F21" s="28">
        <f t="shared" si="2"/>
        <v>12</v>
      </c>
      <c r="G21" s="9" t="s">
        <v>104</v>
      </c>
      <c r="H21" s="33">
        <v>9000</v>
      </c>
      <c r="I21" s="32"/>
      <c r="J21" s="34"/>
      <c r="K21" s="34"/>
      <c r="AM21" s="19">
        <v>23</v>
      </c>
      <c r="AN21" s="14"/>
      <c r="AO21" s="21"/>
    </row>
    <row r="22" spans="1:41" ht="15.75" thickBot="1">
      <c r="A22" s="8">
        <f t="shared" si="3"/>
        <v>12</v>
      </c>
      <c r="B22" s="37"/>
      <c r="C22" s="9" t="s">
        <v>44</v>
      </c>
      <c r="D22" s="9">
        <v>13</v>
      </c>
      <c r="E22" s="27" t="s">
        <v>12</v>
      </c>
      <c r="F22" s="28">
        <f t="shared" si="2"/>
        <v>12</v>
      </c>
      <c r="G22" s="9" t="s">
        <v>105</v>
      </c>
      <c r="H22" s="33">
        <v>6800</v>
      </c>
      <c r="I22" s="32"/>
      <c r="J22" s="34"/>
      <c r="K22" s="34"/>
      <c r="AM22" s="23">
        <v>24</v>
      </c>
      <c r="AN22" s="24"/>
      <c r="AO22" s="25">
        <v>0</v>
      </c>
    </row>
    <row r="23" spans="1:41">
      <c r="A23" s="8">
        <f t="shared" si="3"/>
        <v>13</v>
      </c>
      <c r="B23" s="37"/>
      <c r="C23" s="9" t="s">
        <v>107</v>
      </c>
      <c r="D23" s="9">
        <v>13</v>
      </c>
      <c r="E23" s="27" t="s">
        <v>12</v>
      </c>
      <c r="F23" s="28">
        <f t="shared" si="2"/>
        <v>12</v>
      </c>
      <c r="G23" s="9" t="s">
        <v>106</v>
      </c>
      <c r="H23" s="33">
        <v>6800</v>
      </c>
      <c r="I23" s="32"/>
      <c r="J23" s="34"/>
      <c r="K23" s="34"/>
    </row>
    <row r="24" spans="1:41">
      <c r="A24" s="8">
        <f t="shared" si="3"/>
        <v>14</v>
      </c>
      <c r="B24" s="37"/>
      <c r="C24" s="9" t="s">
        <v>41</v>
      </c>
      <c r="D24" s="9">
        <f>26/2</f>
        <v>13</v>
      </c>
      <c r="E24" s="27" t="s">
        <v>12</v>
      </c>
      <c r="F24" s="28">
        <f t="shared" si="2"/>
        <v>12</v>
      </c>
      <c r="G24" s="9" t="s">
        <v>108</v>
      </c>
      <c r="H24" s="33">
        <v>18000</v>
      </c>
      <c r="I24" s="32"/>
      <c r="J24" s="34"/>
      <c r="K24" s="34"/>
    </row>
    <row r="25" spans="1:41">
      <c r="A25" s="8">
        <f t="shared" si="3"/>
        <v>15</v>
      </c>
      <c r="B25" s="37"/>
      <c r="C25" s="9" t="s">
        <v>109</v>
      </c>
      <c r="D25" s="9">
        <v>300</v>
      </c>
      <c r="E25" s="27" t="s">
        <v>14</v>
      </c>
      <c r="F25" s="28">
        <f t="shared" si="2"/>
        <v>4</v>
      </c>
      <c r="G25" s="9" t="s">
        <v>110</v>
      </c>
      <c r="H25" s="33">
        <v>1500</v>
      </c>
      <c r="I25" s="32"/>
      <c r="J25" s="34"/>
      <c r="K25" s="34"/>
    </row>
    <row r="26" spans="1:41">
      <c r="A26" s="8">
        <f t="shared" si="3"/>
        <v>16</v>
      </c>
      <c r="B26" s="37"/>
      <c r="C26" s="9" t="s">
        <v>111</v>
      </c>
      <c r="D26" s="9">
        <v>300</v>
      </c>
      <c r="E26" s="27" t="s">
        <v>13</v>
      </c>
      <c r="F26" s="28">
        <f t="shared" si="2"/>
        <v>6</v>
      </c>
      <c r="G26" s="9" t="s">
        <v>112</v>
      </c>
      <c r="H26" s="33">
        <v>1200</v>
      </c>
      <c r="I26" s="32"/>
      <c r="J26" s="34"/>
      <c r="K26" s="34"/>
    </row>
    <row r="27" spans="1:41">
      <c r="A27" s="8">
        <f t="shared" si="3"/>
        <v>17</v>
      </c>
      <c r="B27" s="37"/>
      <c r="C27" s="9" t="s">
        <v>113</v>
      </c>
      <c r="D27" s="9">
        <v>300</v>
      </c>
      <c r="E27" s="27" t="s">
        <v>16</v>
      </c>
      <c r="F27" s="28">
        <f t="shared" si="2"/>
        <v>2</v>
      </c>
      <c r="G27" s="9" t="s">
        <v>114</v>
      </c>
      <c r="H27" s="33">
        <v>5000</v>
      </c>
      <c r="I27" s="32"/>
      <c r="J27" s="34"/>
      <c r="K27" s="34"/>
    </row>
    <row r="28" spans="1:41">
      <c r="A28" s="8">
        <f t="shared" si="3"/>
        <v>18</v>
      </c>
      <c r="B28" s="37"/>
      <c r="C28" s="9" t="s">
        <v>115</v>
      </c>
      <c r="D28" s="9">
        <v>30</v>
      </c>
      <c r="E28" s="27" t="s">
        <v>16</v>
      </c>
      <c r="F28" s="28">
        <f t="shared" si="2"/>
        <v>2</v>
      </c>
      <c r="G28" s="9" t="s">
        <v>116</v>
      </c>
      <c r="H28" s="33">
        <v>140000</v>
      </c>
      <c r="I28" s="32"/>
      <c r="J28" s="34"/>
      <c r="K28" s="34"/>
    </row>
    <row r="29" spans="1:41">
      <c r="A29" s="8"/>
      <c r="B29" s="37"/>
      <c r="C29" s="9" t="s">
        <v>117</v>
      </c>
      <c r="D29" s="9">
        <v>300</v>
      </c>
      <c r="E29" s="27" t="s">
        <v>16</v>
      </c>
      <c r="F29" s="28">
        <f t="shared" ref="F29:F42" si="4">VLOOKUP(E29,$AN$1:$AO$22,2,FALSE)</f>
        <v>2</v>
      </c>
      <c r="G29" s="9" t="s">
        <v>118</v>
      </c>
      <c r="H29" s="33">
        <v>80000</v>
      </c>
      <c r="I29" s="32"/>
      <c r="J29" s="34"/>
      <c r="K29" s="34"/>
    </row>
    <row r="30" spans="1:41">
      <c r="A30" s="8"/>
      <c r="B30" s="37"/>
      <c r="C30" s="9" t="s">
        <v>119</v>
      </c>
      <c r="D30" s="9">
        <v>300</v>
      </c>
      <c r="E30" s="27" t="s">
        <v>13</v>
      </c>
      <c r="F30" s="28">
        <f t="shared" si="4"/>
        <v>6</v>
      </c>
      <c r="G30" s="9" t="s">
        <v>120</v>
      </c>
      <c r="H30" s="33">
        <v>60000</v>
      </c>
      <c r="I30" s="32"/>
      <c r="J30" s="34"/>
      <c r="K30" s="34"/>
    </row>
    <row r="31" spans="1:41">
      <c r="A31" s="8"/>
      <c r="B31" s="37"/>
      <c r="C31" s="9" t="s">
        <v>121</v>
      </c>
      <c r="D31" s="9">
        <v>1</v>
      </c>
      <c r="E31" s="27" t="s">
        <v>16</v>
      </c>
      <c r="F31" s="28">
        <f t="shared" si="4"/>
        <v>2</v>
      </c>
      <c r="G31" s="9" t="s">
        <v>122</v>
      </c>
      <c r="H31" s="33">
        <v>6302</v>
      </c>
      <c r="I31" s="32"/>
      <c r="J31" s="34"/>
      <c r="K31" s="34"/>
    </row>
    <row r="32" spans="1:41">
      <c r="A32" s="8"/>
      <c r="B32" s="37"/>
      <c r="C32" s="9" t="s">
        <v>45</v>
      </c>
      <c r="D32" s="9">
        <v>300</v>
      </c>
      <c r="E32" s="27" t="s">
        <v>16</v>
      </c>
      <c r="F32" s="28">
        <f t="shared" si="4"/>
        <v>2</v>
      </c>
      <c r="G32" s="9" t="s">
        <v>123</v>
      </c>
      <c r="H32" s="33">
        <v>1470</v>
      </c>
      <c r="I32" s="32"/>
      <c r="J32" s="34"/>
      <c r="K32" s="34"/>
    </row>
    <row r="33" spans="1:11">
      <c r="A33" s="8"/>
      <c r="B33" s="37"/>
      <c r="C33" s="9" t="s">
        <v>42</v>
      </c>
      <c r="D33" s="9">
        <v>50</v>
      </c>
      <c r="E33" s="27" t="s">
        <v>12</v>
      </c>
      <c r="F33" s="28">
        <f t="shared" si="4"/>
        <v>12</v>
      </c>
      <c r="G33" s="9" t="s">
        <v>124</v>
      </c>
      <c r="H33" s="33">
        <v>389</v>
      </c>
      <c r="I33" s="32"/>
      <c r="J33" s="34"/>
      <c r="K33" s="34"/>
    </row>
    <row r="34" spans="1:11">
      <c r="A34" s="8"/>
      <c r="B34" s="37"/>
      <c r="C34" s="9" t="s">
        <v>43</v>
      </c>
      <c r="D34" s="9">
        <v>1</v>
      </c>
      <c r="E34" s="27" t="s">
        <v>12</v>
      </c>
      <c r="F34" s="28">
        <f t="shared" si="4"/>
        <v>12</v>
      </c>
      <c r="G34" s="9" t="s">
        <v>125</v>
      </c>
      <c r="H34" s="33">
        <v>4201</v>
      </c>
      <c r="I34" s="32"/>
      <c r="J34" s="34"/>
      <c r="K34" s="34"/>
    </row>
    <row r="35" spans="1:11">
      <c r="A35" s="8"/>
      <c r="B35" s="37"/>
      <c r="C35" s="9" t="s">
        <v>126</v>
      </c>
      <c r="D35" s="9">
        <v>4</v>
      </c>
      <c r="E35" s="27" t="s">
        <v>12</v>
      </c>
      <c r="F35" s="28">
        <f t="shared" si="4"/>
        <v>12</v>
      </c>
      <c r="G35" s="9" t="s">
        <v>127</v>
      </c>
      <c r="H35" s="33">
        <v>2700</v>
      </c>
      <c r="I35" s="32"/>
      <c r="J35" s="34"/>
      <c r="K35" s="34"/>
    </row>
    <row r="36" spans="1:11">
      <c r="A36" s="8"/>
      <c r="B36" s="37"/>
      <c r="C36" s="9" t="s">
        <v>128</v>
      </c>
      <c r="D36" s="9">
        <v>4</v>
      </c>
      <c r="E36" s="27" t="s">
        <v>12</v>
      </c>
      <c r="F36" s="28">
        <f t="shared" si="4"/>
        <v>12</v>
      </c>
      <c r="G36" s="9" t="s">
        <v>129</v>
      </c>
      <c r="H36" s="33">
        <v>4250</v>
      </c>
      <c r="I36" s="32"/>
      <c r="J36" s="34"/>
      <c r="K36" s="34"/>
    </row>
    <row r="37" spans="1:11">
      <c r="A37" s="8"/>
      <c r="B37" s="37"/>
      <c r="C37" s="9" t="s">
        <v>134</v>
      </c>
      <c r="D37" s="9">
        <v>1</v>
      </c>
      <c r="E37" s="27" t="s">
        <v>16</v>
      </c>
      <c r="F37" s="28">
        <f t="shared" ref="F37:F40" si="5">VLOOKUP(E37,$AN$1:$AO$22,2,FALSE)</f>
        <v>2</v>
      </c>
      <c r="G37" s="9" t="s">
        <v>135</v>
      </c>
      <c r="H37" s="33">
        <v>1900</v>
      </c>
      <c r="I37" s="32"/>
      <c r="J37" s="34"/>
      <c r="K37" s="34"/>
    </row>
    <row r="38" spans="1:11">
      <c r="A38" s="8"/>
      <c r="B38" s="37"/>
      <c r="C38" s="9" t="s">
        <v>136</v>
      </c>
      <c r="D38" s="9">
        <v>7</v>
      </c>
      <c r="E38" s="27" t="s">
        <v>14</v>
      </c>
      <c r="F38" s="28">
        <f t="shared" si="5"/>
        <v>4</v>
      </c>
      <c r="G38" s="9" t="s">
        <v>137</v>
      </c>
      <c r="H38" s="33">
        <v>900</v>
      </c>
      <c r="I38" s="32"/>
      <c r="J38" s="34"/>
      <c r="K38" s="34"/>
    </row>
    <row r="39" spans="1:11">
      <c r="A39" s="8"/>
      <c r="B39" s="37"/>
      <c r="C39" s="9" t="s">
        <v>138</v>
      </c>
      <c r="D39" s="9">
        <v>2</v>
      </c>
      <c r="E39" s="27" t="s">
        <v>12</v>
      </c>
      <c r="F39" s="28">
        <f t="shared" si="5"/>
        <v>12</v>
      </c>
      <c r="G39" s="9" t="s">
        <v>141</v>
      </c>
      <c r="H39" s="33">
        <f>36000/15</f>
        <v>2400</v>
      </c>
      <c r="I39" s="32"/>
      <c r="J39" s="34"/>
      <c r="K39" s="34"/>
    </row>
    <row r="40" spans="1:11">
      <c r="A40" s="8"/>
      <c r="B40" s="37"/>
      <c r="C40" s="9" t="s">
        <v>139</v>
      </c>
      <c r="D40" s="9">
        <v>2</v>
      </c>
      <c r="E40" s="27" t="s">
        <v>12</v>
      </c>
      <c r="F40" s="28">
        <f t="shared" si="5"/>
        <v>12</v>
      </c>
      <c r="G40" s="9" t="s">
        <v>140</v>
      </c>
      <c r="H40" s="33">
        <f>96000/10</f>
        <v>9600</v>
      </c>
      <c r="I40" s="32"/>
      <c r="J40" s="34"/>
      <c r="K40" s="34"/>
    </row>
    <row r="41" spans="1:11">
      <c r="A41" s="8"/>
      <c r="B41" s="37"/>
      <c r="C41" s="9" t="s">
        <v>40</v>
      </c>
      <c r="D41" s="9">
        <v>4</v>
      </c>
      <c r="E41" s="27" t="s">
        <v>12</v>
      </c>
      <c r="F41" s="28">
        <f t="shared" si="4"/>
        <v>12</v>
      </c>
      <c r="G41" s="9" t="s">
        <v>130</v>
      </c>
      <c r="H41" s="33">
        <v>1260</v>
      </c>
      <c r="I41" s="32"/>
      <c r="J41" s="34"/>
      <c r="K41" s="34"/>
    </row>
    <row r="42" spans="1:11">
      <c r="A42" s="8"/>
      <c r="B42" s="37"/>
      <c r="C42" s="9" t="s">
        <v>131</v>
      </c>
      <c r="D42" s="9">
        <v>2</v>
      </c>
      <c r="E42" s="27" t="s">
        <v>12</v>
      </c>
      <c r="F42" s="28">
        <f t="shared" si="4"/>
        <v>12</v>
      </c>
      <c r="G42" s="9" t="s">
        <v>132</v>
      </c>
      <c r="H42" s="33">
        <v>3361</v>
      </c>
      <c r="I42" s="32"/>
      <c r="J42" s="34"/>
      <c r="K42" s="34"/>
    </row>
    <row r="43" spans="1:11" ht="38.25">
      <c r="B43" s="16">
        <v>3</v>
      </c>
      <c r="C43" s="6">
        <v>300</v>
      </c>
      <c r="D43" s="13" t="s">
        <v>34</v>
      </c>
      <c r="E43" s="13" t="s">
        <v>10</v>
      </c>
      <c r="F43" s="13"/>
      <c r="G43" s="13" t="s">
        <v>0</v>
      </c>
      <c r="H43" s="17" t="s">
        <v>9</v>
      </c>
    </row>
    <row r="44" spans="1:11" ht="12.75" customHeight="1">
      <c r="A44" s="8"/>
      <c r="B44" s="36" t="s">
        <v>8</v>
      </c>
      <c r="C44" s="9" t="s">
        <v>46</v>
      </c>
      <c r="D44" s="9">
        <v>6</v>
      </c>
      <c r="E44" s="27" t="s">
        <v>12</v>
      </c>
      <c r="F44" s="28">
        <f t="shared" ref="F44:F51" si="6">VLOOKUP(E44,$AN$1:$AO$22,2,FALSE)</f>
        <v>12</v>
      </c>
      <c r="G44" s="12" t="s">
        <v>47</v>
      </c>
      <c r="H44" s="33"/>
    </row>
    <row r="45" spans="1:11">
      <c r="A45" s="8"/>
      <c r="B45" s="37"/>
      <c r="C45" s="9" t="s">
        <v>46</v>
      </c>
      <c r="D45" s="9">
        <f>2*48</f>
        <v>96</v>
      </c>
      <c r="E45" s="27" t="s">
        <v>12</v>
      </c>
      <c r="F45" s="28">
        <f t="shared" si="6"/>
        <v>12</v>
      </c>
      <c r="G45" s="12" t="s">
        <v>48</v>
      </c>
      <c r="H45" s="33"/>
    </row>
    <row r="46" spans="1:11">
      <c r="A46" s="8"/>
      <c r="B46" s="37"/>
      <c r="C46" s="9" t="s">
        <v>49</v>
      </c>
      <c r="D46" s="9">
        <v>2</v>
      </c>
      <c r="E46" s="27" t="s">
        <v>12</v>
      </c>
      <c r="F46" s="28">
        <f t="shared" si="6"/>
        <v>12</v>
      </c>
      <c r="G46" s="12" t="s">
        <v>145</v>
      </c>
      <c r="H46" s="33"/>
    </row>
    <row r="47" spans="1:11">
      <c r="A47" s="8"/>
      <c r="B47" s="37"/>
      <c r="C47" s="9" t="s">
        <v>50</v>
      </c>
      <c r="D47" s="9">
        <v>1</v>
      </c>
      <c r="E47" s="27" t="s">
        <v>12</v>
      </c>
      <c r="F47" s="28">
        <f t="shared" si="6"/>
        <v>12</v>
      </c>
      <c r="G47" s="12" t="s">
        <v>51</v>
      </c>
      <c r="H47" s="33"/>
    </row>
    <row r="48" spans="1:11">
      <c r="A48" s="8"/>
      <c r="B48" s="37"/>
      <c r="C48" s="9" t="s">
        <v>52</v>
      </c>
      <c r="D48" s="9">
        <v>2</v>
      </c>
      <c r="E48" s="27" t="s">
        <v>12</v>
      </c>
      <c r="F48" s="28">
        <f t="shared" si="6"/>
        <v>12</v>
      </c>
      <c r="G48" s="12" t="s">
        <v>53</v>
      </c>
      <c r="H48" s="33"/>
    </row>
    <row r="49" spans="1:8">
      <c r="A49" s="8"/>
      <c r="B49" s="37"/>
      <c r="C49" s="9" t="s">
        <v>54</v>
      </c>
      <c r="D49" s="9">
        <v>2</v>
      </c>
      <c r="E49" s="27" t="s">
        <v>12</v>
      </c>
      <c r="F49" s="28">
        <f t="shared" si="6"/>
        <v>12</v>
      </c>
      <c r="G49" s="12" t="s">
        <v>55</v>
      </c>
      <c r="H49" s="33"/>
    </row>
    <row r="50" spans="1:8">
      <c r="A50" s="8"/>
      <c r="B50" s="37"/>
      <c r="C50" s="9" t="s">
        <v>56</v>
      </c>
      <c r="D50" s="9">
        <v>1</v>
      </c>
      <c r="E50" s="27" t="s">
        <v>12</v>
      </c>
      <c r="F50" s="28">
        <f t="shared" si="6"/>
        <v>12</v>
      </c>
      <c r="G50" s="12" t="s">
        <v>142</v>
      </c>
      <c r="H50" s="33"/>
    </row>
    <row r="51" spans="1:8">
      <c r="A51" s="8"/>
      <c r="B51" s="37"/>
      <c r="C51" s="9" t="s">
        <v>56</v>
      </c>
      <c r="D51" s="9">
        <v>1</v>
      </c>
      <c r="E51" s="27" t="s">
        <v>12</v>
      </c>
      <c r="F51" s="28">
        <f t="shared" si="6"/>
        <v>12</v>
      </c>
      <c r="G51" s="12" t="s">
        <v>57</v>
      </c>
      <c r="H51" s="33"/>
    </row>
    <row r="52" spans="1:8" ht="38.25">
      <c r="B52" s="7">
        <v>4</v>
      </c>
      <c r="C52" s="6">
        <v>300</v>
      </c>
      <c r="D52" s="13" t="s">
        <v>34</v>
      </c>
      <c r="E52" s="13" t="s">
        <v>10</v>
      </c>
      <c r="F52" s="13"/>
      <c r="G52" s="13" t="s">
        <v>0</v>
      </c>
      <c r="H52" s="35" t="s">
        <v>9</v>
      </c>
    </row>
    <row r="53" spans="1:8" ht="12.75" customHeight="1">
      <c r="A53" s="8">
        <v>1</v>
      </c>
      <c r="B53" s="36" t="s">
        <v>31</v>
      </c>
      <c r="C53" s="9" t="s">
        <v>58</v>
      </c>
      <c r="D53" s="9">
        <v>2</v>
      </c>
      <c r="E53" s="27" t="s">
        <v>12</v>
      </c>
      <c r="F53" s="28">
        <f t="shared" ref="F53:F71" si="7">VLOOKUP(E53,$AN$1:$AO$22,2,FALSE)</f>
        <v>12</v>
      </c>
      <c r="G53" s="12" t="s">
        <v>147</v>
      </c>
      <c r="H53" s="33"/>
    </row>
    <row r="54" spans="1:8">
      <c r="A54" s="8">
        <f>A53+1</f>
        <v>2</v>
      </c>
      <c r="B54" s="37"/>
      <c r="C54" s="9" t="s">
        <v>59</v>
      </c>
      <c r="D54" s="9">
        <v>2</v>
      </c>
      <c r="E54" s="27" t="s">
        <v>12</v>
      </c>
      <c r="F54" s="28">
        <f t="shared" si="7"/>
        <v>12</v>
      </c>
      <c r="G54" s="12" t="s">
        <v>72</v>
      </c>
      <c r="H54" s="33"/>
    </row>
    <row r="55" spans="1:8">
      <c r="A55" s="8">
        <f t="shared" ref="A55:A70" si="8">A54+1</f>
        <v>3</v>
      </c>
      <c r="B55" s="37"/>
      <c r="C55" s="9" t="s">
        <v>60</v>
      </c>
      <c r="D55" s="9">
        <v>2</v>
      </c>
      <c r="E55" s="27" t="s">
        <v>12</v>
      </c>
      <c r="F55" s="28">
        <f t="shared" si="7"/>
        <v>12</v>
      </c>
      <c r="G55" s="12" t="s">
        <v>79</v>
      </c>
      <c r="H55" s="33"/>
    </row>
    <row r="56" spans="1:8">
      <c r="A56" s="8"/>
      <c r="B56" s="37"/>
      <c r="C56" s="9" t="s">
        <v>143</v>
      </c>
      <c r="D56" s="9">
        <v>1</v>
      </c>
      <c r="E56" s="27" t="s">
        <v>14</v>
      </c>
      <c r="F56" s="28">
        <f t="shared" si="7"/>
        <v>4</v>
      </c>
      <c r="G56" s="12" t="s">
        <v>144</v>
      </c>
      <c r="H56" s="33"/>
    </row>
    <row r="57" spans="1:8">
      <c r="A57" s="8"/>
      <c r="B57" s="37"/>
      <c r="C57" s="9" t="s">
        <v>148</v>
      </c>
      <c r="D57" s="9">
        <v>1</v>
      </c>
      <c r="E57" s="27" t="s">
        <v>13</v>
      </c>
      <c r="F57" s="28">
        <f t="shared" si="7"/>
        <v>6</v>
      </c>
      <c r="G57" s="12" t="s">
        <v>149</v>
      </c>
      <c r="H57" s="33"/>
    </row>
    <row r="58" spans="1:8">
      <c r="A58" s="8"/>
      <c r="B58" s="37"/>
      <c r="C58" s="9" t="s">
        <v>76</v>
      </c>
      <c r="D58" s="9">
        <v>1</v>
      </c>
      <c r="E58" s="27" t="s">
        <v>12</v>
      </c>
      <c r="F58" s="28">
        <f t="shared" si="7"/>
        <v>12</v>
      </c>
      <c r="G58" s="12" t="s">
        <v>146</v>
      </c>
      <c r="H58" s="33"/>
    </row>
    <row r="59" spans="1:8">
      <c r="A59" s="8">
        <f>A55+1</f>
        <v>4</v>
      </c>
      <c r="B59" s="37"/>
      <c r="C59" s="9" t="s">
        <v>61</v>
      </c>
      <c r="D59" s="9">
        <v>2</v>
      </c>
      <c r="E59" s="27" t="s">
        <v>12</v>
      </c>
      <c r="F59" s="28">
        <f t="shared" si="7"/>
        <v>12</v>
      </c>
      <c r="G59" s="12" t="s">
        <v>80</v>
      </c>
      <c r="H59" s="33"/>
    </row>
    <row r="60" spans="1:8">
      <c r="A60" s="8">
        <f t="shared" si="8"/>
        <v>5</v>
      </c>
      <c r="B60" s="37"/>
      <c r="C60" s="9" t="s">
        <v>62</v>
      </c>
      <c r="D60" s="9">
        <v>2</v>
      </c>
      <c r="E60" s="27" t="s">
        <v>12</v>
      </c>
      <c r="F60" s="28">
        <f t="shared" si="7"/>
        <v>12</v>
      </c>
      <c r="G60" s="12" t="s">
        <v>73</v>
      </c>
      <c r="H60" s="33"/>
    </row>
    <row r="61" spans="1:8">
      <c r="A61" s="8">
        <f t="shared" si="8"/>
        <v>6</v>
      </c>
      <c r="B61" s="37"/>
      <c r="C61" s="9" t="s">
        <v>70</v>
      </c>
      <c r="D61" s="9">
        <v>4</v>
      </c>
      <c r="E61" s="27" t="s">
        <v>12</v>
      </c>
      <c r="F61" s="28">
        <f t="shared" si="7"/>
        <v>12</v>
      </c>
      <c r="G61" s="9" t="s">
        <v>63</v>
      </c>
      <c r="H61" s="33"/>
    </row>
    <row r="62" spans="1:8">
      <c r="A62" s="8">
        <f t="shared" si="8"/>
        <v>7</v>
      </c>
      <c r="B62" s="37"/>
      <c r="C62" s="9" t="s">
        <v>70</v>
      </c>
      <c r="D62" s="9">
        <v>4</v>
      </c>
      <c r="E62" s="27" t="s">
        <v>12</v>
      </c>
      <c r="F62" s="28">
        <f t="shared" si="7"/>
        <v>12</v>
      </c>
      <c r="G62" s="9" t="s">
        <v>64</v>
      </c>
      <c r="H62" s="33"/>
    </row>
    <row r="63" spans="1:8">
      <c r="A63" s="8">
        <f t="shared" si="8"/>
        <v>8</v>
      </c>
      <c r="B63" s="37"/>
      <c r="C63" s="9" t="s">
        <v>70</v>
      </c>
      <c r="D63" s="9">
        <v>2</v>
      </c>
      <c r="E63" s="27" t="s">
        <v>12</v>
      </c>
      <c r="F63" s="28">
        <f t="shared" si="7"/>
        <v>12</v>
      </c>
      <c r="G63" s="9" t="s">
        <v>78</v>
      </c>
      <c r="H63" s="33"/>
    </row>
    <row r="64" spans="1:8">
      <c r="A64" s="8">
        <f t="shared" si="8"/>
        <v>9</v>
      </c>
      <c r="B64" s="37"/>
      <c r="C64" s="9" t="s">
        <v>65</v>
      </c>
      <c r="D64" s="9">
        <v>3</v>
      </c>
      <c r="E64" s="27" t="s">
        <v>12</v>
      </c>
      <c r="F64" s="28">
        <f t="shared" si="7"/>
        <v>12</v>
      </c>
      <c r="G64" s="12" t="s">
        <v>81</v>
      </c>
      <c r="H64" s="33"/>
    </row>
    <row r="65" spans="1:40">
      <c r="A65" s="8">
        <f t="shared" si="8"/>
        <v>10</v>
      </c>
      <c r="B65" s="37"/>
      <c r="C65" s="9" t="s">
        <v>66</v>
      </c>
      <c r="D65" s="9">
        <v>2</v>
      </c>
      <c r="E65" s="27" t="s">
        <v>12</v>
      </c>
      <c r="F65" s="28">
        <f t="shared" si="7"/>
        <v>12</v>
      </c>
      <c r="G65" s="12" t="s">
        <v>71</v>
      </c>
      <c r="H65" s="33"/>
    </row>
    <row r="66" spans="1:40">
      <c r="A66" s="8">
        <f>A65+1</f>
        <v>11</v>
      </c>
      <c r="B66" s="37"/>
      <c r="C66" s="9" t="s">
        <v>67</v>
      </c>
      <c r="D66" s="9">
        <v>2</v>
      </c>
      <c r="E66" s="27" t="s">
        <v>12</v>
      </c>
      <c r="F66" s="28">
        <f t="shared" si="7"/>
        <v>12</v>
      </c>
      <c r="G66" s="12" t="s">
        <v>67</v>
      </c>
      <c r="H66" s="33"/>
    </row>
    <row r="67" spans="1:40">
      <c r="A67" s="8">
        <f t="shared" si="8"/>
        <v>12</v>
      </c>
      <c r="B67" s="37"/>
      <c r="C67" s="9" t="s">
        <v>69</v>
      </c>
      <c r="D67" s="9">
        <v>2</v>
      </c>
      <c r="E67" s="27" t="s">
        <v>12</v>
      </c>
      <c r="F67" s="28">
        <f t="shared" si="7"/>
        <v>12</v>
      </c>
      <c r="G67" s="12" t="s">
        <v>68</v>
      </c>
      <c r="H67" s="33"/>
    </row>
    <row r="68" spans="1:40">
      <c r="A68" s="8">
        <f t="shared" si="8"/>
        <v>13</v>
      </c>
      <c r="B68" s="37"/>
      <c r="C68" s="9" t="s">
        <v>69</v>
      </c>
      <c r="D68" s="9">
        <v>2</v>
      </c>
      <c r="E68" s="27" t="s">
        <v>12</v>
      </c>
      <c r="F68" s="28">
        <f t="shared" si="7"/>
        <v>12</v>
      </c>
      <c r="G68" s="12" t="s">
        <v>82</v>
      </c>
      <c r="H68" s="33"/>
    </row>
    <row r="69" spans="1:40">
      <c r="A69" s="8">
        <f t="shared" si="8"/>
        <v>14</v>
      </c>
      <c r="B69" s="37"/>
      <c r="C69" s="9" t="s">
        <v>75</v>
      </c>
      <c r="D69" s="9">
        <v>1</v>
      </c>
      <c r="E69" s="27" t="s">
        <v>13</v>
      </c>
      <c r="F69" s="28">
        <f t="shared" si="7"/>
        <v>6</v>
      </c>
      <c r="G69" s="12" t="s">
        <v>74</v>
      </c>
      <c r="H69" s="33"/>
    </row>
    <row r="70" spans="1:40">
      <c r="A70" s="8">
        <f t="shared" si="8"/>
        <v>15</v>
      </c>
      <c r="B70" s="37"/>
      <c r="C70" s="9" t="s">
        <v>76</v>
      </c>
      <c r="D70" s="9">
        <v>1</v>
      </c>
      <c r="E70" s="27" t="s">
        <v>12</v>
      </c>
      <c r="F70" s="28">
        <f t="shared" si="7"/>
        <v>12</v>
      </c>
      <c r="G70" s="12" t="s">
        <v>77</v>
      </c>
      <c r="H70" s="33"/>
    </row>
    <row r="71" spans="1:40">
      <c r="A71" s="8"/>
      <c r="B71" s="38"/>
      <c r="C71" s="9" t="s">
        <v>83</v>
      </c>
      <c r="D71" s="9">
        <v>2</v>
      </c>
      <c r="E71" s="27" t="s">
        <v>12</v>
      </c>
      <c r="F71" s="28">
        <f t="shared" si="7"/>
        <v>12</v>
      </c>
      <c r="G71" s="12" t="s">
        <v>84</v>
      </c>
      <c r="H71" s="33"/>
    </row>
    <row r="72" spans="1:40" ht="15" customHeight="1">
      <c r="H72" s="18"/>
    </row>
    <row r="73" spans="1:40" ht="15" customHeight="1">
      <c r="H73" s="18"/>
    </row>
    <row r="74" spans="1:40" ht="15" customHeight="1">
      <c r="H74" s="18"/>
    </row>
    <row r="75" spans="1:40" ht="15" customHeight="1">
      <c r="H75" s="18"/>
    </row>
    <row r="76" spans="1:40" ht="15" customHeight="1">
      <c r="H76" s="18"/>
      <c r="AM76" s="26"/>
      <c r="AN76" s="26"/>
    </row>
    <row r="77" spans="1:40" ht="15" customHeight="1">
      <c r="H77" s="18"/>
      <c r="AM77" s="26"/>
      <c r="AN77" s="26"/>
    </row>
    <row r="78" spans="1:40" ht="15" customHeight="1">
      <c r="H78" s="18"/>
      <c r="AM78" s="26"/>
      <c r="AN78" s="26"/>
    </row>
    <row r="79" spans="1:40" ht="15" customHeight="1">
      <c r="H79" s="18"/>
      <c r="AM79" s="26"/>
      <c r="AN79" s="26"/>
    </row>
    <row r="80" spans="1:40" ht="15" customHeight="1">
      <c r="H80" s="18"/>
      <c r="AM80" s="26"/>
      <c r="AN80" s="26"/>
    </row>
    <row r="81" spans="7:41" ht="15" customHeight="1">
      <c r="H81" s="18"/>
      <c r="AM81" s="26"/>
      <c r="AN81" s="26"/>
    </row>
    <row r="82" spans="7:41" ht="15" customHeight="1">
      <c r="H82" s="18"/>
      <c r="AM82" s="26"/>
      <c r="AN82" s="26"/>
    </row>
    <row r="83" spans="7:41" ht="15" customHeight="1">
      <c r="H83" s="18"/>
      <c r="AM83" s="26"/>
      <c r="AN83" s="26"/>
    </row>
    <row r="84" spans="7:41" ht="15" customHeight="1">
      <c r="H84" s="18"/>
      <c r="AM84" s="26"/>
      <c r="AN84" s="26"/>
    </row>
    <row r="85" spans="7:41" s="3" customFormat="1" ht="15" customHeight="1">
      <c r="G85" s="10"/>
      <c r="H85" s="18"/>
      <c r="I85" s="1"/>
      <c r="J85" s="1"/>
      <c r="K85" s="1"/>
      <c r="L85" s="1"/>
      <c r="AM85" s="26"/>
      <c r="AN85" s="26"/>
      <c r="AO85"/>
    </row>
    <row r="86" spans="7:41" s="3" customFormat="1" ht="15" customHeight="1">
      <c r="G86" s="10"/>
      <c r="H86" s="18"/>
      <c r="I86" s="1"/>
      <c r="J86" s="1"/>
      <c r="K86" s="1"/>
      <c r="L86" s="1"/>
      <c r="AM86" s="26"/>
      <c r="AN86" s="26"/>
      <c r="AO86"/>
    </row>
    <row r="87" spans="7:41" s="3" customFormat="1" ht="15" customHeight="1">
      <c r="G87" s="10"/>
      <c r="H87" s="18"/>
      <c r="I87" s="1"/>
      <c r="J87" s="1"/>
      <c r="K87" s="1"/>
      <c r="L87" s="1"/>
      <c r="AM87"/>
      <c r="AN87"/>
      <c r="AO87"/>
    </row>
    <row r="88" spans="7:41" s="3" customFormat="1" ht="15" customHeight="1">
      <c r="G88" s="10"/>
      <c r="H88" s="18"/>
      <c r="I88" s="1"/>
      <c r="J88" s="1"/>
      <c r="K88" s="1"/>
      <c r="L88" s="1"/>
      <c r="AM88"/>
      <c r="AN88"/>
      <c r="AO88"/>
    </row>
    <row r="89" spans="7:41" s="3" customFormat="1" ht="15" customHeight="1">
      <c r="G89" s="10"/>
      <c r="H89" s="18"/>
      <c r="I89" s="1"/>
      <c r="J89" s="1"/>
      <c r="K89" s="1"/>
      <c r="L89" s="1"/>
      <c r="AM89"/>
      <c r="AN89"/>
      <c r="AO89"/>
    </row>
    <row r="90" spans="7:41" s="3" customFormat="1" ht="15" customHeight="1">
      <c r="G90" s="10"/>
      <c r="H90" s="18"/>
      <c r="I90" s="1"/>
      <c r="J90" s="1"/>
      <c r="K90" s="1"/>
      <c r="L90" s="1"/>
      <c r="AM90"/>
      <c r="AN90"/>
      <c r="AO90"/>
    </row>
    <row r="91" spans="7:41" s="3" customFormat="1" ht="15" customHeight="1">
      <c r="G91" s="10"/>
      <c r="H91" s="18"/>
      <c r="I91" s="1"/>
      <c r="J91" s="1"/>
      <c r="K91" s="1"/>
      <c r="L91" s="1"/>
      <c r="AM91"/>
      <c r="AN91"/>
      <c r="AO91"/>
    </row>
    <row r="92" spans="7:41" s="3" customFormat="1" ht="15" customHeight="1">
      <c r="G92" s="10"/>
      <c r="H92" s="18"/>
      <c r="I92" s="1"/>
      <c r="J92" s="1"/>
      <c r="K92" s="1"/>
      <c r="L92" s="1"/>
      <c r="AM92"/>
      <c r="AN92"/>
      <c r="AO92"/>
    </row>
    <row r="93" spans="7:41" s="3" customFormat="1" ht="15" customHeight="1">
      <c r="G93" s="10"/>
      <c r="H93" s="2"/>
      <c r="I93" s="1"/>
      <c r="J93" s="1"/>
      <c r="K93" s="1"/>
      <c r="L93" s="1"/>
      <c r="AM93"/>
      <c r="AN93"/>
      <c r="AO93"/>
    </row>
    <row r="94" spans="7:41" s="3" customFormat="1" ht="15" customHeight="1">
      <c r="G94" s="10"/>
      <c r="H94" s="2"/>
      <c r="I94" s="1"/>
      <c r="J94" s="1"/>
      <c r="K94" s="1"/>
      <c r="L94" s="1"/>
      <c r="AM94"/>
      <c r="AN94"/>
      <c r="AO94"/>
    </row>
    <row r="95" spans="7:41" s="3" customFormat="1" ht="15" customHeight="1">
      <c r="G95" s="10"/>
      <c r="H95" s="2"/>
      <c r="I95" s="1"/>
      <c r="J95" s="1"/>
      <c r="K95" s="1"/>
      <c r="L95" s="1"/>
      <c r="AM95"/>
      <c r="AN95"/>
      <c r="AO95"/>
    </row>
    <row r="96" spans="7: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ht="15" customHeight="1"/>
    <row r="102" spans="7:41" ht="15" customHeight="1"/>
    <row r="103" spans="7:41" ht="15" customHeight="1"/>
    <row r="105" spans="7:41" ht="15.75" thickBot="1"/>
    <row r="106" spans="7:41" ht="18.75" thickBot="1">
      <c r="H106" s="15"/>
    </row>
    <row r="107" spans="7:41">
      <c r="H107" s="5"/>
    </row>
    <row r="108" spans="7:41">
      <c r="H108" s="5"/>
    </row>
    <row r="109" spans="7:41">
      <c r="H109" s="5"/>
    </row>
    <row r="110" spans="7:41">
      <c r="H110" s="5"/>
    </row>
    <row r="111" spans="7:41">
      <c r="H111" s="5"/>
    </row>
    <row r="112" spans="7:41">
      <c r="H112" s="5"/>
    </row>
    <row r="113" spans="8:8">
      <c r="H113" s="4"/>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sheetData>
  <protectedRanges>
    <protectedRange sqref="E4:E9 E11:E42 E44:E51 E53:E71" name="Ingreso"/>
  </protectedRanges>
  <mergeCells count="5">
    <mergeCell ref="B44:B51"/>
    <mergeCell ref="B53:B71"/>
    <mergeCell ref="D2:G2"/>
    <mergeCell ref="B4:B9"/>
    <mergeCell ref="B11:B42"/>
  </mergeCells>
  <conditionalFormatting sqref="F4 F44:F51 F59:F71">
    <cfRule type="cellIs" dxfId="6" priority="10" stopIfTrue="1" operator="equal">
      <formula>0</formula>
    </cfRule>
  </conditionalFormatting>
  <conditionalFormatting sqref="F5:F9">
    <cfRule type="cellIs" dxfId="5" priority="9" stopIfTrue="1" operator="equal">
      <formula>0</formula>
    </cfRule>
  </conditionalFormatting>
  <conditionalFormatting sqref="F11:F28">
    <cfRule type="cellIs" dxfId="4" priority="8" stopIfTrue="1" operator="equal">
      <formula>0</formula>
    </cfRule>
  </conditionalFormatting>
  <conditionalFormatting sqref="F53:F55">
    <cfRule type="cellIs" dxfId="3" priority="6" stopIfTrue="1" operator="equal">
      <formula>0</formula>
    </cfRule>
  </conditionalFormatting>
  <conditionalFormatting sqref="F29:F36 F41:F42">
    <cfRule type="cellIs" dxfId="2" priority="4" stopIfTrue="1" operator="equal">
      <formula>0</formula>
    </cfRule>
  </conditionalFormatting>
  <conditionalFormatting sqref="F37:F40">
    <cfRule type="cellIs" dxfId="1" priority="2" stopIfTrue="1" operator="equal">
      <formula>0</formula>
    </cfRule>
  </conditionalFormatting>
  <conditionalFormatting sqref="F56:F58">
    <cfRule type="cellIs" dxfId="0" priority="1"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11:E42 E44:E51 E53:E71">
      <formula1>$AN$1:$AN$22</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CDI LAS MARGARITAS</vt:lpstr>
      <vt:lpstr>'CDI LAS MARGARITAS'!Área_de_impresión</vt:lpstr>
      <vt:lpstr>'CDI LAS MARGARITAS'!Títulos_a_imprimir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