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<sst xmlns="http://schemas.openxmlformats.org/spreadsheetml/2006/main" count="450" uniqueCount="205">
  <si>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</si>
  <si>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</si>
  <si>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</si>
  <si>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</si>
  <si>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</si>
  <si>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</si>
  <si>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</si>
  <si>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</si>
  <si>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</si>
  <si>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</si>
  <si>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</si>
  <si>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</si>
  <si>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</si>
  <si>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</si>
  <si>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</si>
  <si>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</si>
  <si>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</si>
  <si>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</si>
  <si>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</si>
  <si>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</si>
  <si>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</si>
  <si>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</si>
  <si>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</si>
  <si>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</si>
  <si>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</si>
  <si>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</si>
  <si>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</si>
  <si>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</si>
  <si>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</si>
  <si>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</si>
  <si>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</si>
  <si>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</si>
  <si>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</si>
  <si>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</si>
  <si>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</si>
  <si>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</si>
  <si>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</si>
  <si>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</si>
  <si>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</si>
  <si>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</si>
  <si>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</si>
  <si>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</si>
  <si>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</si>
  <si>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</si>
  <si>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</si>
  <si>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</si>
  <si>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</si>
  <si>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</si>
  <si>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</si>
  <si>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</si>
  <si>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</si>
  <si>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</si>
  <si>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</si>
  <si>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</si>
  <si>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</si>
  <si>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</si>
  <si>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</si>
  <si>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</si>
  <si>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</si>
  <si>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</si>
  <si>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</si>
  <si>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</si>
  <si>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</si>
  <si>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</si>
  <si>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</si>
  <si>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</si>
  <si>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</si>
  <si>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</si>
  <si>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</si>
  <si>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</si>
  <si>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</si>
  <si>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</si>
  <si>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</si>
  <si>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</si>
  <si>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</si>
  <si>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</si>
  <si>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</si>
  <si>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</si>
  <si>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</si>
  <si>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</si>
  <si>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</si>
  <si>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</si>
  <si>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</si>
  <si>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</si>
  <si>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</si>
  <si>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</si>
  <si>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</si>
  <si>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</si>
  <si>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</si>
  <si>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</si>
  <si>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</si>
  <si>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</si>
  <si>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</si>
  <si>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</si>
  <si>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</si>
  <si>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</si>
  <si>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</si>
  <si>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</si>
  <si>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</si>
  <si>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</si>
  <si>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</si>
  <si>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</si>
  <si>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</si>
  <si>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</si>
  <si>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</si>
  <si>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</si>
  <si>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</si>
  <si>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</si>
  <si>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</si>
  <si>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</si>
  <si>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</si>
  <si>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</si>
  <si>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</si>
  <si>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</si>
  <si>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</si>
  <si>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</si>
  <si>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</si>
  <si>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</si>
  <si>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</si>
  <si>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</si>
  <si>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</si>
  <si>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</si>
  <si>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</si>
  <si>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</si>
  <si>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</si>
  <si>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</si>
  <si>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</si>
  <si>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</si>
  <si>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</si>
  <si>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</si>
  <si>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</si>
  <si>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</si>
  <si>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</si>
  <si>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</si>
  <si>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</si>
  <si>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</si>
  <si>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</si>
  <si>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</si>
  <si>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</si>
  <si>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</si>
  <si>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</si>
  <si>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</si>
  <si>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</si>
  <si>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</si>
  <si>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</si>
  <si>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</si>
  <si>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</si>
  <si>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</si>
  <si>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</si>
  <si>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</si>
  <si>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</si>
  <si>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</si>
  <si>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</si>
  <si>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</si>
  <si>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</si>
  <si>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</si>
  <si>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</si>
  <si>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</si>
  <si>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</si>
  <si>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</si>
  <si>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</si>
  <si>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</si>
  <si>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</si>
  <si>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</si>
  <si>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</si>
  <si>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</si>
  <si>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</si>
  <si>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</si>
  <si>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</si>
  <si>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</si>
  <si>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</si>
  <si>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</si>
  <si>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</si>
  <si>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</si>
  <si>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</si>
  <si>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</si>
  <si>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</si>
  <si>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</si>
  <si>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</si>
  <si>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</si>
  <si>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</si>
  <si>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</si>
  <si>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</si>
  <si>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</si>
  <si>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</si>
  <si>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</si>
  <si>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</si>
  <si>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</si>
  <si>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</si>
  <si>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</si>
  <si>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</si>
  <si>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</si>
  <si>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</si>
  <si>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</si>
  <si>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</si>
  <si>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</si>
  <si>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</si>
  <si>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</si>
  <si>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</si>
  <si>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</si>
  <si>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</si>
  <si>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</si>
  <si>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</si>
  <si>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</si>
  <si>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Divino Niño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</si>
</sst>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0" xfId="1" applyFont="1" applyBorder="1" applyAlignment="1">
      <alignment horizontal="left"/>
    </xf>
    <xf numFmtId="0" fontId="2" fillId="0" borderId="0" xfId="1" applyBorder="1" applyAlignment="1">
      <alignment horizontal="center"/>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2" t="s">
        <v>164</v>
      </c>
      <c r="E2" s="83"/>
      <c r="F2" s="83"/>
      <c r="G2" s="84"/>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5" t="s">
        <v>46</v>
      </c>
      <c r="C4" s="9" t="s">
        <v>47</v>
      </c>
      <c r="D4" s="9"/>
      <c r="E4" s="31" t="s">
        <v>58</v>
      </c>
      <c r="F4" s="32">
        <f t="shared" ref="F4:F9" si="0">VLOOKUP(E4,$AN$1:$AO$22,2,FALSE)</f>
        <v>12</v>
      </c>
      <c r="G4" s="12"/>
      <c r="H4" s="20">
        <v>534505</v>
      </c>
      <c r="AM4" s="23">
        <v>6</v>
      </c>
      <c r="AN4" s="15" t="s">
        <v>60</v>
      </c>
      <c r="AO4" s="25">
        <f>12/3</f>
        <v>4</v>
      </c>
    </row>
    <row r="5" spans="1:41" s="8" customFormat="1">
      <c r="A5" s="8">
        <f>A4+1</f>
        <v>2</v>
      </c>
      <c r="B5" s="86"/>
      <c r="C5" s="9" t="s">
        <v>48</v>
      </c>
      <c r="D5" s="9"/>
      <c r="E5" s="31" t="s">
        <v>58</v>
      </c>
      <c r="F5" s="32">
        <f t="shared" si="0"/>
        <v>12</v>
      </c>
      <c r="G5" s="12"/>
      <c r="H5" s="20">
        <v>290993</v>
      </c>
      <c r="AM5" s="23">
        <v>7</v>
      </c>
      <c r="AN5" s="15" t="s">
        <v>61</v>
      </c>
      <c r="AO5" s="26">
        <f>12/4</f>
        <v>3</v>
      </c>
    </row>
    <row r="6" spans="1:41" s="8" customFormat="1">
      <c r="A6" s="8">
        <f t="shared" ref="A6:A9" si="1">A5+1</f>
        <v>3</v>
      </c>
      <c r="B6" s="86"/>
      <c r="C6" s="9" t="s">
        <v>49</v>
      </c>
      <c r="D6" s="9"/>
      <c r="E6" s="31" t="s">
        <v>58</v>
      </c>
      <c r="F6" s="32">
        <f t="shared" si="0"/>
        <v>12</v>
      </c>
      <c r="G6" s="12"/>
      <c r="H6" s="20">
        <v>120203</v>
      </c>
      <c r="AM6" s="23">
        <v>8</v>
      </c>
      <c r="AN6" s="15" t="s">
        <v>62</v>
      </c>
      <c r="AO6" s="25">
        <f>12/6</f>
        <v>2</v>
      </c>
    </row>
    <row r="7" spans="1:41" s="8" customFormat="1">
      <c r="A7" s="8">
        <f t="shared" si="1"/>
        <v>4</v>
      </c>
      <c r="B7" s="86"/>
      <c r="C7" s="9" t="s">
        <v>50</v>
      </c>
      <c r="D7" s="9"/>
      <c r="E7" s="31" t="s">
        <v>58</v>
      </c>
      <c r="F7" s="32">
        <f t="shared" si="0"/>
        <v>12</v>
      </c>
      <c r="G7" s="12"/>
      <c r="H7" s="20">
        <v>40000</v>
      </c>
      <c r="AM7" s="23">
        <v>9</v>
      </c>
      <c r="AN7" s="15" t="s">
        <v>63</v>
      </c>
      <c r="AO7" s="24">
        <f>12/7</f>
        <v>1.7142857142857142</v>
      </c>
    </row>
    <row r="8" spans="1:41" s="8" customFormat="1">
      <c r="A8" s="8">
        <f t="shared" si="1"/>
        <v>5</v>
      </c>
      <c r="B8" s="86"/>
      <c r="C8" s="9" t="s">
        <v>51</v>
      </c>
      <c r="D8" s="9"/>
      <c r="E8" s="31" t="s">
        <v>58</v>
      </c>
      <c r="F8" s="32">
        <f t="shared" si="0"/>
        <v>12</v>
      </c>
      <c r="G8" s="12"/>
      <c r="H8" s="20">
        <v>366000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8"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9"/>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9"/>
      <c r="C13" s="56" t="s">
        <v>94</v>
      </c>
      <c r="D13" s="9"/>
      <c r="E13" s="31" t="s">
        <v>58</v>
      </c>
      <c r="F13" s="32">
        <f t="shared" si="2"/>
        <v>12</v>
      </c>
      <c r="G13" s="12" t="s">
        <v>106</v>
      </c>
      <c r="H13" s="20">
        <f>(125/5)*1300</f>
        <v>32500</v>
      </c>
      <c r="AM13" s="23">
        <v>15</v>
      </c>
      <c r="AN13" s="15" t="s">
        <v>69</v>
      </c>
      <c r="AO13" s="24">
        <f>1/2</f>
        <v>0.5</v>
      </c>
    </row>
    <row r="14" spans="1:41">
      <c r="A14" s="8">
        <f t="shared" si="3"/>
        <v>4</v>
      </c>
      <c r="B14" s="79"/>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9"/>
      <c r="C15" s="56" t="s">
        <v>96</v>
      </c>
      <c r="D15" s="9"/>
      <c r="E15" s="31" t="s">
        <v>58</v>
      </c>
      <c r="F15" s="32">
        <f t="shared" si="2"/>
        <v>12</v>
      </c>
      <c r="G15" s="12" t="s">
        <v>108</v>
      </c>
      <c r="H15" s="20">
        <f>(125/15)*2800</f>
        <v>23333.333333333336</v>
      </c>
      <c r="AM15" s="23">
        <v>17</v>
      </c>
      <c r="AN15" s="15" t="s">
        <v>71</v>
      </c>
      <c r="AO15" s="24">
        <f>1/4</f>
        <v>0.25</v>
      </c>
    </row>
    <row r="16" spans="1:41">
      <c r="A16" s="8">
        <f t="shared" si="3"/>
        <v>6</v>
      </c>
      <c r="B16" s="79"/>
      <c r="C16" s="56" t="s">
        <v>97</v>
      </c>
      <c r="D16" s="9"/>
      <c r="E16" s="31" t="s">
        <v>58</v>
      </c>
      <c r="F16" s="32">
        <f t="shared" si="2"/>
        <v>12</v>
      </c>
      <c r="G16" s="12" t="s">
        <v>109</v>
      </c>
      <c r="H16" s="20">
        <f>(12*300)</f>
        <v>3600</v>
      </c>
      <c r="AM16" s="23">
        <v>18</v>
      </c>
      <c r="AN16" s="15" t="s">
        <v>72</v>
      </c>
      <c r="AO16" s="24">
        <f>1/5</f>
        <v>0.2</v>
      </c>
    </row>
    <row r="17" spans="1:41">
      <c r="A17" s="8">
        <f t="shared" si="3"/>
        <v>7</v>
      </c>
      <c r="B17" s="79"/>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9"/>
      <c r="C18" s="56" t="s">
        <v>99</v>
      </c>
      <c r="D18" s="9"/>
      <c r="E18" s="31" t="s">
        <v>58</v>
      </c>
      <c r="F18" s="32">
        <f t="shared" si="2"/>
        <v>12</v>
      </c>
      <c r="G18" s="12" t="s">
        <v>119</v>
      </c>
      <c r="H18" s="20">
        <f>(125*20)/80*2500</f>
        <v>78125</v>
      </c>
      <c r="AM18" s="23">
        <v>20</v>
      </c>
      <c r="AN18" s="15" t="s">
        <v>74</v>
      </c>
      <c r="AO18" s="25">
        <f>1/20</f>
        <v>0.05</v>
      </c>
    </row>
    <row r="19" spans="1:41">
      <c r="A19" s="8">
        <f t="shared" si="3"/>
        <v>9</v>
      </c>
      <c r="B19" s="79"/>
      <c r="C19" s="56" t="s">
        <v>100</v>
      </c>
      <c r="D19" s="9"/>
      <c r="E19" s="31" t="s">
        <v>58</v>
      </c>
      <c r="F19" s="32">
        <f t="shared" si="2"/>
        <v>12</v>
      </c>
      <c r="G19" s="12" t="s">
        <v>120</v>
      </c>
      <c r="H19" s="20">
        <f>(125/15)*1500</f>
        <v>12500</v>
      </c>
      <c r="AM19" s="23">
        <v>21</v>
      </c>
      <c r="AN19" s="15" t="s">
        <v>52</v>
      </c>
      <c r="AO19" s="25">
        <v>0</v>
      </c>
    </row>
    <row r="20" spans="1:41">
      <c r="A20" s="8">
        <f t="shared" si="3"/>
        <v>10</v>
      </c>
      <c r="B20" s="79"/>
      <c r="C20" s="56" t="s">
        <v>101</v>
      </c>
      <c r="D20" s="9"/>
      <c r="E20" s="31" t="s">
        <v>58</v>
      </c>
      <c r="F20" s="32">
        <f t="shared" si="2"/>
        <v>12</v>
      </c>
      <c r="G20" s="12" t="s">
        <v>121</v>
      </c>
      <c r="H20" s="20">
        <v>25000</v>
      </c>
      <c r="AM20" s="23">
        <v>22</v>
      </c>
      <c r="AN20" s="15"/>
      <c r="AO20" s="25"/>
    </row>
    <row r="21" spans="1:41">
      <c r="A21" s="8">
        <f t="shared" si="3"/>
        <v>11</v>
      </c>
      <c r="B21" s="79"/>
      <c r="C21" s="56" t="s">
        <v>102</v>
      </c>
      <c r="D21" s="9"/>
      <c r="E21" s="31" t="s">
        <v>58</v>
      </c>
      <c r="F21" s="32">
        <f t="shared" si="2"/>
        <v>12</v>
      </c>
      <c r="G21" s="12" t="s">
        <v>122</v>
      </c>
      <c r="H21" s="20">
        <f>(125/10)*2250</f>
        <v>28125</v>
      </c>
      <c r="AM21" s="23">
        <v>23</v>
      </c>
      <c r="AN21" s="15"/>
      <c r="AO21" s="25"/>
    </row>
    <row r="22" spans="1:41" ht="15.75" thickBot="1">
      <c r="A22" s="8">
        <f t="shared" si="3"/>
        <v>12</v>
      </c>
      <c r="B22" s="79"/>
      <c r="C22" s="56" t="s">
        <v>103</v>
      </c>
      <c r="D22" s="9"/>
      <c r="E22" s="31" t="s">
        <v>58</v>
      </c>
      <c r="F22" s="32">
        <f t="shared" si="2"/>
        <v>12</v>
      </c>
      <c r="G22" s="12" t="s">
        <v>122</v>
      </c>
      <c r="H22" s="20">
        <f t="shared" si="4"/>
        <v>37500</v>
      </c>
      <c r="AM22" s="27">
        <v>24</v>
      </c>
      <c r="AN22" s="28"/>
      <c r="AO22" s="29">
        <v>0</v>
      </c>
    </row>
    <row r="23" spans="1:41">
      <c r="A23" s="8">
        <f t="shared" si="3"/>
        <v>13</v>
      </c>
      <c r="B23" s="79"/>
      <c r="C23" s="56" t="s">
        <v>123</v>
      </c>
      <c r="D23" s="9"/>
      <c r="E23" s="31" t="s">
        <v>58</v>
      </c>
      <c r="F23" s="32">
        <f t="shared" si="2"/>
        <v>12</v>
      </c>
      <c r="G23" s="12" t="s">
        <v>124</v>
      </c>
      <c r="H23" s="20">
        <v>77000</v>
      </c>
    </row>
    <row r="24" spans="1:41">
      <c r="A24" s="8">
        <f t="shared" si="3"/>
        <v>14</v>
      </c>
      <c r="B24" s="79"/>
      <c r="C24" s="56" t="s">
        <v>145</v>
      </c>
      <c r="D24" s="9"/>
      <c r="E24" s="31" t="s">
        <v>58</v>
      </c>
      <c r="F24" s="32">
        <f t="shared" si="2"/>
        <v>12</v>
      </c>
      <c r="G24" s="12"/>
      <c r="H24" s="20">
        <v>31500</v>
      </c>
    </row>
    <row r="25" spans="1:41">
      <c r="A25" s="8">
        <f t="shared" si="3"/>
        <v>15</v>
      </c>
      <c r="B25" s="79"/>
      <c r="C25" s="56" t="s">
        <v>146</v>
      </c>
      <c r="D25" s="9"/>
      <c r="E25" s="31" t="s">
        <v>58</v>
      </c>
      <c r="F25" s="32">
        <f t="shared" si="2"/>
        <v>12</v>
      </c>
      <c r="G25" s="12"/>
      <c r="H25" s="20">
        <v>160000</v>
      </c>
    </row>
    <row r="26" spans="1:41">
      <c r="A26" s="8">
        <f t="shared" si="3"/>
        <v>16</v>
      </c>
      <c r="B26" s="79"/>
      <c r="C26" s="56" t="s">
        <v>147</v>
      </c>
      <c r="D26" s="9"/>
      <c r="E26" s="31" t="s">
        <v>58</v>
      </c>
      <c r="F26" s="32">
        <f t="shared" si="2"/>
        <v>12</v>
      </c>
      <c r="G26" s="12"/>
      <c r="H26" s="20">
        <v>12000</v>
      </c>
    </row>
    <row r="27" spans="1:41">
      <c r="A27" s="8">
        <f t="shared" si="3"/>
        <v>17</v>
      </c>
      <c r="B27" s="79"/>
      <c r="C27" s="56" t="s">
        <v>148</v>
      </c>
      <c r="D27" s="9"/>
      <c r="E27" s="31" t="s">
        <v>58</v>
      </c>
      <c r="F27" s="32">
        <f t="shared" si="2"/>
        <v>12</v>
      </c>
      <c r="G27" s="12"/>
      <c r="H27" s="20">
        <v>12000</v>
      </c>
    </row>
    <row r="28" spans="1:41">
      <c r="A28" s="8">
        <f t="shared" si="3"/>
        <v>18</v>
      </c>
      <c r="B28" s="79"/>
      <c r="C28" s="56" t="s">
        <v>149</v>
      </c>
      <c r="D28" s="9"/>
      <c r="E28" s="31" t="s">
        <v>58</v>
      </c>
      <c r="F28" s="32">
        <f t="shared" si="2"/>
        <v>12</v>
      </c>
      <c r="G28" s="12"/>
      <c r="H28" s="20">
        <v>38000</v>
      </c>
    </row>
    <row r="29" spans="1:41">
      <c r="A29" s="8">
        <f t="shared" si="3"/>
        <v>19</v>
      </c>
      <c r="B29" s="79"/>
      <c r="C29" s="56" t="s">
        <v>150</v>
      </c>
      <c r="D29" s="9"/>
      <c r="E29" s="31" t="s">
        <v>58</v>
      </c>
      <c r="F29" s="32">
        <f t="shared" si="2"/>
        <v>12</v>
      </c>
      <c r="G29" s="12"/>
      <c r="H29" s="20">
        <v>19800</v>
      </c>
    </row>
    <row r="30" spans="1:41">
      <c r="A30" s="8"/>
      <c r="B30" s="79"/>
      <c r="C30" s="56" t="s">
        <v>151</v>
      </c>
      <c r="D30" s="9"/>
      <c r="E30" s="31" t="s">
        <v>58</v>
      </c>
      <c r="F30" s="32">
        <f t="shared" si="2"/>
        <v>12</v>
      </c>
      <c r="G30" s="12"/>
      <c r="H30" s="20">
        <v>25000</v>
      </c>
    </row>
    <row r="31" spans="1:41">
      <c r="A31" s="8"/>
      <c r="B31" s="79"/>
      <c r="C31" s="56" t="s">
        <v>152</v>
      </c>
      <c r="D31" s="9"/>
      <c r="E31" s="31" t="s">
        <v>58</v>
      </c>
      <c r="F31" s="32">
        <f t="shared" si="2"/>
        <v>12</v>
      </c>
      <c r="G31" s="12"/>
      <c r="H31" s="20">
        <v>30400</v>
      </c>
    </row>
    <row r="32" spans="1:41">
      <c r="A32" s="8"/>
      <c r="B32" s="79"/>
      <c r="C32" s="56" t="s">
        <v>153</v>
      </c>
      <c r="D32" s="9"/>
      <c r="E32" s="31" t="s">
        <v>58</v>
      </c>
      <c r="F32" s="32">
        <f t="shared" si="2"/>
        <v>12</v>
      </c>
      <c r="G32" s="12"/>
      <c r="H32" s="20">
        <v>19000</v>
      </c>
    </row>
    <row r="33" spans="1:41" s="8" customFormat="1" ht="27" customHeight="1">
      <c r="A33" s="8">
        <f>A29+1</f>
        <v>20</v>
      </c>
      <c r="B33" s="80"/>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8" t="s">
        <v>54</v>
      </c>
      <c r="C35" s="56" t="s">
        <v>89</v>
      </c>
      <c r="D35" s="9"/>
      <c r="E35" s="31" t="s">
        <v>58</v>
      </c>
      <c r="F35" s="32">
        <f t="shared" ref="F35:F54" si="5">VLOOKUP(E35,$AN$1:$AO$22,2,FALSE)</f>
        <v>12</v>
      </c>
      <c r="G35" s="12" t="s">
        <v>154</v>
      </c>
      <c r="H35" s="20">
        <v>198399</v>
      </c>
    </row>
    <row r="36" spans="1:41">
      <c r="A36" s="8">
        <f>A35+1</f>
        <v>2</v>
      </c>
      <c r="B36" s="79"/>
      <c r="C36" s="56" t="s">
        <v>90</v>
      </c>
      <c r="D36" s="9"/>
      <c r="E36" s="31" t="s">
        <v>58</v>
      </c>
      <c r="F36" s="32">
        <f t="shared" si="5"/>
        <v>12</v>
      </c>
      <c r="G36" s="12" t="s">
        <v>131</v>
      </c>
      <c r="H36" s="20">
        <v>36036</v>
      </c>
    </row>
    <row r="37" spans="1:41">
      <c r="A37" s="8">
        <f t="shared" ref="A37:A54" si="6">A36+1</f>
        <v>3</v>
      </c>
      <c r="B37" s="79"/>
      <c r="C37" s="56" t="s">
        <v>111</v>
      </c>
      <c r="D37" s="9"/>
      <c r="E37" s="31" t="s">
        <v>58</v>
      </c>
      <c r="F37" s="32">
        <f t="shared" si="5"/>
        <v>12</v>
      </c>
      <c r="G37" s="12" t="s">
        <v>132</v>
      </c>
      <c r="H37" s="20">
        <v>28525</v>
      </c>
    </row>
    <row r="38" spans="1:41">
      <c r="A38" s="8">
        <f t="shared" si="6"/>
        <v>4</v>
      </c>
      <c r="B38" s="79"/>
      <c r="C38" s="56" t="s">
        <v>112</v>
      </c>
      <c r="D38" s="9"/>
      <c r="E38" s="31" t="s">
        <v>58</v>
      </c>
      <c r="F38" s="32">
        <f t="shared" si="5"/>
        <v>12</v>
      </c>
      <c r="G38" s="12" t="s">
        <v>133</v>
      </c>
      <c r="H38" s="20">
        <v>30750</v>
      </c>
    </row>
    <row r="39" spans="1:41">
      <c r="A39" s="8">
        <f t="shared" si="6"/>
        <v>5</v>
      </c>
      <c r="B39" s="79"/>
      <c r="C39" s="56" t="s">
        <v>91</v>
      </c>
      <c r="D39" s="9"/>
      <c r="E39" s="31" t="s">
        <v>58</v>
      </c>
      <c r="F39" s="32">
        <f t="shared" si="5"/>
        <v>12</v>
      </c>
      <c r="G39" s="12" t="s">
        <v>134</v>
      </c>
      <c r="H39" s="20">
        <v>6600</v>
      </c>
    </row>
    <row r="40" spans="1:41">
      <c r="A40" s="8">
        <f t="shared" si="6"/>
        <v>6</v>
      </c>
      <c r="B40" s="79"/>
      <c r="C40" s="56" t="s">
        <v>113</v>
      </c>
      <c r="D40" s="9"/>
      <c r="E40" s="31" t="s">
        <v>58</v>
      </c>
      <c r="F40" s="32">
        <f t="shared" si="5"/>
        <v>12</v>
      </c>
      <c r="G40" s="12"/>
      <c r="H40" s="20">
        <v>35000</v>
      </c>
    </row>
    <row r="41" spans="1:41">
      <c r="A41" s="8">
        <f t="shared" si="6"/>
        <v>7</v>
      </c>
      <c r="B41" s="79"/>
      <c r="C41" s="56" t="s">
        <v>114</v>
      </c>
      <c r="D41" s="9"/>
      <c r="E41" s="31" t="s">
        <v>58</v>
      </c>
      <c r="F41" s="32">
        <f t="shared" si="5"/>
        <v>12</v>
      </c>
      <c r="G41" s="12" t="s">
        <v>135</v>
      </c>
      <c r="H41" s="20">
        <v>60000</v>
      </c>
    </row>
    <row r="42" spans="1:41">
      <c r="A42" s="8">
        <f t="shared" si="6"/>
        <v>8</v>
      </c>
      <c r="B42" s="79"/>
      <c r="C42" s="56" t="s">
        <v>115</v>
      </c>
      <c r="D42" s="9"/>
      <c r="E42" s="31" t="s">
        <v>58</v>
      </c>
      <c r="F42" s="32">
        <f t="shared" si="5"/>
        <v>12</v>
      </c>
      <c r="G42" s="12"/>
      <c r="H42" s="20">
        <v>27500</v>
      </c>
    </row>
    <row r="43" spans="1:41">
      <c r="A43" s="8">
        <f t="shared" si="6"/>
        <v>9</v>
      </c>
      <c r="B43" s="79"/>
      <c r="C43" s="56" t="s">
        <v>116</v>
      </c>
      <c r="D43" s="9"/>
      <c r="E43" s="31" t="s">
        <v>58</v>
      </c>
      <c r="F43" s="32">
        <f t="shared" si="5"/>
        <v>12</v>
      </c>
      <c r="G43" s="12"/>
      <c r="H43" s="20">
        <v>52865</v>
      </c>
    </row>
    <row r="44" spans="1:41">
      <c r="A44" s="8">
        <f t="shared" si="6"/>
        <v>10</v>
      </c>
      <c r="B44" s="79"/>
      <c r="C44" s="56" t="s">
        <v>117</v>
      </c>
      <c r="D44" s="9"/>
      <c r="E44" s="31" t="s">
        <v>58</v>
      </c>
      <c r="F44" s="32">
        <f t="shared" si="5"/>
        <v>12</v>
      </c>
      <c r="G44" s="12"/>
      <c r="H44" s="20">
        <v>6400</v>
      </c>
    </row>
    <row r="45" spans="1:41">
      <c r="A45" s="8">
        <f t="shared" si="6"/>
        <v>11</v>
      </c>
      <c r="B45" s="79"/>
      <c r="C45" s="56" t="s">
        <v>118</v>
      </c>
      <c r="D45" s="9"/>
      <c r="E45" s="31" t="s">
        <v>58</v>
      </c>
      <c r="F45" s="32">
        <f t="shared" si="5"/>
        <v>12</v>
      </c>
      <c r="G45" s="12"/>
      <c r="H45" s="20">
        <v>25100</v>
      </c>
    </row>
    <row r="46" spans="1:41">
      <c r="A46" s="8">
        <f t="shared" si="6"/>
        <v>12</v>
      </c>
      <c r="B46" s="79"/>
      <c r="C46" s="56" t="s">
        <v>125</v>
      </c>
      <c r="D46" s="9"/>
      <c r="E46" s="31" t="s">
        <v>58</v>
      </c>
      <c r="F46" s="32">
        <f t="shared" si="5"/>
        <v>12</v>
      </c>
      <c r="G46" s="12"/>
      <c r="H46" s="20">
        <v>39200</v>
      </c>
    </row>
    <row r="47" spans="1:41">
      <c r="A47" s="8">
        <f t="shared" si="6"/>
        <v>13</v>
      </c>
      <c r="B47" s="79"/>
      <c r="C47" s="56" t="s">
        <v>126</v>
      </c>
      <c r="D47" s="9"/>
      <c r="E47" s="31" t="s">
        <v>62</v>
      </c>
      <c r="F47" s="32">
        <f t="shared" si="5"/>
        <v>2</v>
      </c>
      <c r="G47" s="12"/>
      <c r="H47" s="20">
        <v>35000</v>
      </c>
    </row>
    <row r="48" spans="1:41">
      <c r="A48" s="8">
        <f t="shared" si="6"/>
        <v>14</v>
      </c>
      <c r="B48" s="79"/>
      <c r="C48" s="56" t="s">
        <v>127</v>
      </c>
      <c r="D48" s="9"/>
      <c r="E48" s="31" t="s">
        <v>60</v>
      </c>
      <c r="F48" s="32">
        <f t="shared" si="5"/>
        <v>4</v>
      </c>
      <c r="G48" s="12"/>
      <c r="H48" s="20">
        <v>36000</v>
      </c>
    </row>
    <row r="49" spans="1:41">
      <c r="A49" s="8">
        <f t="shared" si="6"/>
        <v>15</v>
      </c>
      <c r="B49" s="79"/>
      <c r="C49" s="56" t="s">
        <v>128</v>
      </c>
      <c r="D49" s="9"/>
      <c r="E49" s="31" t="s">
        <v>58</v>
      </c>
      <c r="F49" s="32">
        <f t="shared" si="5"/>
        <v>12</v>
      </c>
      <c r="G49" s="12" t="s">
        <v>136</v>
      </c>
      <c r="H49" s="20">
        <v>80000</v>
      </c>
    </row>
    <row r="50" spans="1:41">
      <c r="A50" s="8">
        <f t="shared" si="6"/>
        <v>16</v>
      </c>
      <c r="B50" s="79"/>
      <c r="C50" s="56" t="s">
        <v>129</v>
      </c>
      <c r="D50" s="9"/>
      <c r="E50" s="31" t="s">
        <v>58</v>
      </c>
      <c r="F50" s="32">
        <f t="shared" si="5"/>
        <v>12</v>
      </c>
      <c r="G50" s="12" t="s">
        <v>162</v>
      </c>
      <c r="H50" s="20">
        <v>45600</v>
      </c>
    </row>
    <row r="51" spans="1:41">
      <c r="A51" s="8">
        <f t="shared" si="6"/>
        <v>17</v>
      </c>
      <c r="B51" s="79"/>
      <c r="C51" s="56" t="s">
        <v>130</v>
      </c>
      <c r="D51" s="9"/>
      <c r="E51" s="31" t="s">
        <v>58</v>
      </c>
      <c r="F51" s="32">
        <f t="shared" si="5"/>
        <v>12</v>
      </c>
      <c r="G51" s="12"/>
      <c r="H51" s="20">
        <v>12000</v>
      </c>
    </row>
    <row r="52" spans="1:41">
      <c r="A52" s="8">
        <f t="shared" si="6"/>
        <v>18</v>
      </c>
      <c r="B52" s="79"/>
      <c r="C52" s="56" t="s">
        <v>137</v>
      </c>
      <c r="D52" s="9"/>
      <c r="E52" s="31" t="s">
        <v>58</v>
      </c>
      <c r="F52" s="32">
        <f t="shared" si="5"/>
        <v>12</v>
      </c>
      <c r="G52" s="12"/>
      <c r="H52" s="20">
        <v>3600</v>
      </c>
    </row>
    <row r="53" spans="1:41">
      <c r="A53" s="8">
        <f t="shared" si="6"/>
        <v>19</v>
      </c>
      <c r="B53" s="79"/>
      <c r="C53" s="56" t="s">
        <v>123</v>
      </c>
      <c r="D53" s="9"/>
      <c r="E53" s="31" t="s">
        <v>58</v>
      </c>
      <c r="F53" s="32">
        <f t="shared" si="5"/>
        <v>12</v>
      </c>
      <c r="G53" s="59" t="s">
        <v>155</v>
      </c>
      <c r="H53" s="20">
        <v>86000</v>
      </c>
    </row>
    <row r="54" spans="1:41" s="8" customFormat="1">
      <c r="A54" s="8">
        <f t="shared" si="6"/>
        <v>20</v>
      </c>
      <c r="B54" s="80"/>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81" t="s">
        <v>77</v>
      </c>
      <c r="C56" s="56" t="s">
        <v>138</v>
      </c>
      <c r="D56" s="9"/>
      <c r="E56" s="31" t="s">
        <v>58</v>
      </c>
      <c r="F56" s="65">
        <f t="shared" ref="F56:F74" si="7">VLOOKUP(E56,$AN$1:$AO$22,2,FALSE)</f>
        <v>12</v>
      </c>
      <c r="G56" s="12"/>
      <c r="H56" s="20">
        <v>55000</v>
      </c>
    </row>
    <row r="57" spans="1:41">
      <c r="A57" s="8">
        <f>A56+1</f>
        <v>2</v>
      </c>
      <c r="B57" s="81"/>
      <c r="C57" s="56" t="s">
        <v>139</v>
      </c>
      <c r="D57" s="9"/>
      <c r="E57" s="31" t="s">
        <v>60</v>
      </c>
      <c r="F57" s="65">
        <f t="shared" si="7"/>
        <v>4</v>
      </c>
      <c r="G57" s="12" t="s">
        <v>142</v>
      </c>
      <c r="H57" s="20">
        <v>180000</v>
      </c>
    </row>
    <row r="58" spans="1:41">
      <c r="A58" s="8">
        <f t="shared" ref="A58:A74" si="8">A57+1</f>
        <v>3</v>
      </c>
      <c r="B58" s="81"/>
      <c r="C58" s="56" t="s">
        <v>140</v>
      </c>
      <c r="D58" s="9"/>
      <c r="E58" s="31" t="s">
        <v>60</v>
      </c>
      <c r="F58" s="65">
        <f t="shared" si="7"/>
        <v>4</v>
      </c>
      <c r="G58" s="12" t="s">
        <v>141</v>
      </c>
      <c r="H58" s="20">
        <v>80000</v>
      </c>
    </row>
    <row r="59" spans="1:41" ht="26.25">
      <c r="A59" s="8">
        <v>4</v>
      </c>
      <c r="B59" s="81"/>
      <c r="C59" s="57" t="s">
        <v>143</v>
      </c>
      <c r="D59" s="9"/>
      <c r="E59" s="31" t="s">
        <v>60</v>
      </c>
      <c r="F59" s="65">
        <f t="shared" si="7"/>
        <v>4</v>
      </c>
      <c r="G59" s="58" t="s">
        <v>144</v>
      </c>
      <c r="H59" s="20">
        <v>1245795</v>
      </c>
    </row>
    <row r="60" spans="1:41">
      <c r="A60" s="8">
        <f t="shared" si="8"/>
        <v>5</v>
      </c>
      <c r="B60" s="81"/>
      <c r="C60" s="56"/>
      <c r="D60" s="9"/>
      <c r="E60" s="31" t="s">
        <v>58</v>
      </c>
      <c r="F60" s="65">
        <f t="shared" si="7"/>
        <v>12</v>
      </c>
      <c r="G60" s="12"/>
      <c r="H60" s="20"/>
    </row>
    <row r="61" spans="1:41">
      <c r="A61" s="8">
        <f t="shared" si="8"/>
        <v>6</v>
      </c>
      <c r="B61" s="81"/>
      <c r="C61" s="56"/>
      <c r="D61" s="9"/>
      <c r="E61" s="31" t="s">
        <v>58</v>
      </c>
      <c r="F61" s="65">
        <f t="shared" si="7"/>
        <v>12</v>
      </c>
      <c r="G61" s="12"/>
      <c r="H61" s="20"/>
    </row>
    <row r="62" spans="1:41">
      <c r="A62" s="8">
        <f t="shared" si="8"/>
        <v>7</v>
      </c>
      <c r="B62" s="81"/>
      <c r="C62" s="56"/>
      <c r="D62" s="9"/>
      <c r="E62" s="31" t="s">
        <v>58</v>
      </c>
      <c r="F62" s="65">
        <f t="shared" si="7"/>
        <v>12</v>
      </c>
      <c r="G62" s="12"/>
      <c r="H62" s="20"/>
    </row>
    <row r="63" spans="1:41">
      <c r="A63" s="8">
        <f t="shared" si="8"/>
        <v>8</v>
      </c>
      <c r="B63" s="81"/>
      <c r="C63" s="56"/>
      <c r="D63" s="9"/>
      <c r="E63" s="31" t="s">
        <v>58</v>
      </c>
      <c r="F63" s="65">
        <f t="shared" si="7"/>
        <v>12</v>
      </c>
      <c r="G63" s="12"/>
      <c r="H63" s="20"/>
    </row>
    <row r="64" spans="1:41">
      <c r="A64" s="8">
        <f t="shared" si="8"/>
        <v>9</v>
      </c>
      <c r="B64" s="81"/>
      <c r="C64" s="56"/>
      <c r="D64" s="9"/>
      <c r="E64" s="31" t="s">
        <v>58</v>
      </c>
      <c r="F64" s="65">
        <f t="shared" si="7"/>
        <v>12</v>
      </c>
      <c r="G64" s="12"/>
      <c r="H64" s="20"/>
    </row>
    <row r="65" spans="1:41">
      <c r="A65" s="8">
        <f t="shared" si="8"/>
        <v>10</v>
      </c>
      <c r="B65" s="81"/>
      <c r="C65" s="56"/>
      <c r="D65" s="9"/>
      <c r="E65" s="31" t="s">
        <v>58</v>
      </c>
      <c r="F65" s="65">
        <f t="shared" si="7"/>
        <v>12</v>
      </c>
      <c r="G65" s="12"/>
      <c r="H65" s="20"/>
    </row>
    <row r="66" spans="1:41">
      <c r="A66" s="8">
        <f t="shared" si="8"/>
        <v>11</v>
      </c>
      <c r="B66" s="81"/>
      <c r="C66" s="56"/>
      <c r="D66" s="9"/>
      <c r="E66" s="31" t="s">
        <v>58</v>
      </c>
      <c r="F66" s="65">
        <f t="shared" si="7"/>
        <v>12</v>
      </c>
      <c r="G66" s="12"/>
      <c r="H66" s="20"/>
    </row>
    <row r="67" spans="1:41">
      <c r="A67" s="8">
        <f t="shared" si="8"/>
        <v>12</v>
      </c>
      <c r="B67" s="81"/>
      <c r="C67" s="56"/>
      <c r="D67" s="9"/>
      <c r="E67" s="31" t="s">
        <v>58</v>
      </c>
      <c r="F67" s="65">
        <f t="shared" si="7"/>
        <v>12</v>
      </c>
      <c r="G67" s="12"/>
      <c r="H67" s="20"/>
    </row>
    <row r="68" spans="1:41">
      <c r="A68" s="8">
        <f t="shared" si="8"/>
        <v>13</v>
      </c>
      <c r="B68" s="81"/>
      <c r="C68" s="56"/>
      <c r="D68" s="9"/>
      <c r="E68" s="31" t="s">
        <v>58</v>
      </c>
      <c r="F68" s="65">
        <f t="shared" si="7"/>
        <v>12</v>
      </c>
      <c r="G68" s="12"/>
      <c r="H68" s="20"/>
    </row>
    <row r="69" spans="1:41">
      <c r="A69" s="8">
        <f t="shared" si="8"/>
        <v>14</v>
      </c>
      <c r="B69" s="81"/>
      <c r="C69" s="56"/>
      <c r="D69" s="9"/>
      <c r="E69" s="31" t="s">
        <v>58</v>
      </c>
      <c r="F69" s="65">
        <f t="shared" si="7"/>
        <v>12</v>
      </c>
      <c r="G69" s="12"/>
      <c r="H69" s="20"/>
    </row>
    <row r="70" spans="1:41">
      <c r="A70" s="8">
        <f t="shared" si="8"/>
        <v>15</v>
      </c>
      <c r="B70" s="81"/>
      <c r="C70" s="56"/>
      <c r="D70" s="9"/>
      <c r="E70" s="31" t="s">
        <v>58</v>
      </c>
      <c r="F70" s="65">
        <f t="shared" si="7"/>
        <v>12</v>
      </c>
      <c r="G70" s="12"/>
      <c r="H70" s="20"/>
    </row>
    <row r="71" spans="1:41">
      <c r="A71" s="8">
        <f t="shared" si="8"/>
        <v>16</v>
      </c>
      <c r="B71" s="81"/>
      <c r="C71" s="56"/>
      <c r="D71" s="9"/>
      <c r="E71" s="31" t="s">
        <v>58</v>
      </c>
      <c r="F71" s="65">
        <f t="shared" si="7"/>
        <v>12</v>
      </c>
      <c r="G71" s="12"/>
      <c r="H71" s="20"/>
    </row>
    <row r="72" spans="1:41">
      <c r="A72" s="8">
        <f t="shared" si="8"/>
        <v>17</v>
      </c>
      <c r="B72" s="81"/>
      <c r="C72" s="56"/>
      <c r="D72" s="9"/>
      <c r="E72" s="31" t="s">
        <v>58</v>
      </c>
      <c r="F72" s="65">
        <f t="shared" si="7"/>
        <v>12</v>
      </c>
      <c r="G72" s="12"/>
      <c r="H72" s="20"/>
    </row>
    <row r="73" spans="1:41">
      <c r="A73" s="8">
        <f t="shared" si="8"/>
        <v>18</v>
      </c>
      <c r="B73" s="81"/>
      <c r="C73" s="56"/>
      <c r="D73" s="9"/>
      <c r="E73" s="31" t="s">
        <v>58</v>
      </c>
      <c r="F73" s="65">
        <f t="shared" si="7"/>
        <v>12</v>
      </c>
      <c r="G73" s="12"/>
      <c r="H73" s="20"/>
    </row>
    <row r="74" spans="1:41" s="8" customFormat="1">
      <c r="A74" s="8">
        <f t="shared" si="8"/>
        <v>19</v>
      </c>
      <c r="B74" s="81"/>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76" t="s">
        <v>157</v>
      </c>
      <c r="C76" s="76"/>
      <c r="D76" s="63"/>
      <c r="E76" s="63"/>
      <c r="F76" s="63"/>
      <c r="G76" s="63"/>
      <c r="H76" s="63"/>
    </row>
    <row r="77" spans="1:41" ht="15" customHeight="1">
      <c r="A77" s="62"/>
      <c r="B77" s="76" t="s">
        <v>158</v>
      </c>
      <c r="C77" s="76"/>
      <c r="D77" s="63"/>
      <c r="E77" s="63"/>
      <c r="F77" s="63"/>
      <c r="G77" s="63"/>
      <c r="H77" s="63"/>
    </row>
    <row r="78" spans="1:41" ht="15" customHeight="1">
      <c r="A78" s="62"/>
      <c r="B78" s="76" t="s">
        <v>159</v>
      </c>
      <c r="C78" s="76"/>
      <c r="D78" s="63"/>
      <c r="E78" s="63"/>
      <c r="F78" s="63"/>
      <c r="G78" s="63"/>
      <c r="H78" s="63"/>
    </row>
    <row r="79" spans="1:41" ht="15" customHeight="1">
      <c r="A79" s="62"/>
      <c r="B79" s="76" t="s">
        <v>160</v>
      </c>
      <c r="C79" s="76"/>
      <c r="D79" s="63"/>
      <c r="E79" s="63"/>
      <c r="F79" s="63"/>
      <c r="G79" s="63"/>
      <c r="H79" s="63"/>
      <c r="AM79" s="30"/>
      <c r="AN79" s="30"/>
    </row>
    <row r="80" spans="1:41" ht="15" customHeight="1">
      <c r="A80" s="62"/>
      <c r="B80" s="77"/>
      <c r="C80" s="7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35:B54"/>
    <mergeCell ref="B56:B74"/>
    <mergeCell ref="D2:G2"/>
    <mergeCell ref="B4:B9"/>
    <mergeCell ref="B11:B33"/>
    <mergeCell ref="B76:C76"/>
    <mergeCell ref="B77:C77"/>
    <mergeCell ref="B78:C78"/>
    <mergeCell ref="B79:C79"/>
    <mergeCell ref="B80:C80"/>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v>17179</v>
      </c>
      <c r="AM4" s="23">
        <v>6</v>
      </c>
      <c r="AN4" s="15" t="s">
        <v>60</v>
      </c>
      <c r="AO4" s="25">
        <f>12/3</f>
        <v>4</v>
      </c>
    </row>
    <row r="5" spans="1:41" s="8" customFormat="1">
      <c r="A5" s="8">
        <f>A4+1</f>
        <v>2</v>
      </c>
      <c r="B5" s="86"/>
      <c r="C5" s="9" t="s">
        <v>48</v>
      </c>
      <c r="D5" s="9" t="s">
        <v>165</v>
      </c>
      <c r="E5" s="31" t="s">
        <v>58</v>
      </c>
      <c r="F5" s="32">
        <f t="shared" si="0"/>
        <v>12</v>
      </c>
      <c r="G5" s="12"/>
      <c r="H5" s="20">
        <v>84378</v>
      </c>
      <c r="AM5" s="23">
        <v>7</v>
      </c>
      <c r="AN5" s="15" t="s">
        <v>61</v>
      </c>
      <c r="AO5" s="26">
        <f>12/4</f>
        <v>3</v>
      </c>
    </row>
    <row r="6" spans="1:41" s="8" customFormat="1">
      <c r="A6" s="8">
        <f t="shared" ref="A6:A9" si="1">A5+1</f>
        <v>3</v>
      </c>
      <c r="B6" s="86"/>
      <c r="C6" s="9" t="s">
        <v>49</v>
      </c>
      <c r="D6" s="9"/>
      <c r="E6" s="31" t="s">
        <v>58</v>
      </c>
      <c r="F6" s="32">
        <f t="shared" si="0"/>
        <v>12</v>
      </c>
      <c r="G6" s="12"/>
      <c r="H6" s="20">
        <v>58667</v>
      </c>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t="s">
        <v>166</v>
      </c>
      <c r="E8" s="31" t="s">
        <v>58</v>
      </c>
      <c r="F8" s="32">
        <f t="shared" si="0"/>
        <v>12</v>
      </c>
      <c r="G8" s="12"/>
      <c r="H8" s="20">
        <v>22053</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8"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9"/>
      <c r="C12" s="9" t="s">
        <v>170</v>
      </c>
      <c r="D12" s="9" t="s">
        <v>171</v>
      </c>
      <c r="E12" s="31" t="s">
        <v>62</v>
      </c>
      <c r="F12" s="32">
        <f t="shared" si="2"/>
        <v>2</v>
      </c>
      <c r="G12" s="12" t="s">
        <v>172</v>
      </c>
      <c r="H12" s="20">
        <v>1000</v>
      </c>
      <c r="AM12" s="23">
        <v>14</v>
      </c>
      <c r="AN12" s="15" t="s">
        <v>68</v>
      </c>
      <c r="AO12" s="25">
        <f>12/12</f>
        <v>1</v>
      </c>
    </row>
    <row r="13" spans="1:41">
      <c r="A13" s="8">
        <f t="shared" ref="A13:A30" si="3">A12+1</f>
        <v>3</v>
      </c>
      <c r="B13" s="79"/>
      <c r="C13" s="9" t="s">
        <v>173</v>
      </c>
      <c r="D13" s="9" t="s">
        <v>171</v>
      </c>
      <c r="E13" s="31" t="s">
        <v>62</v>
      </c>
      <c r="F13" s="32">
        <f t="shared" si="2"/>
        <v>2</v>
      </c>
      <c r="G13" s="12" t="s">
        <v>174</v>
      </c>
      <c r="H13" s="20">
        <v>4500</v>
      </c>
      <c r="AM13" s="23">
        <v>15</v>
      </c>
      <c r="AN13" s="15" t="s">
        <v>69</v>
      </c>
      <c r="AO13" s="24">
        <f>1/2</f>
        <v>0.5</v>
      </c>
    </row>
    <row r="14" spans="1:41">
      <c r="A14" s="8">
        <f t="shared" si="3"/>
        <v>4</v>
      </c>
      <c r="B14" s="79"/>
      <c r="C14" s="9" t="s">
        <v>175</v>
      </c>
      <c r="D14" s="9" t="s">
        <v>176</v>
      </c>
      <c r="E14" s="31" t="s">
        <v>62</v>
      </c>
      <c r="F14" s="32">
        <f t="shared" si="2"/>
        <v>2</v>
      </c>
      <c r="G14" s="12" t="s">
        <v>177</v>
      </c>
      <c r="H14" s="20">
        <v>4500</v>
      </c>
      <c r="AM14" s="23">
        <v>16</v>
      </c>
      <c r="AN14" s="15" t="s">
        <v>70</v>
      </c>
      <c r="AO14" s="24">
        <f>1/3</f>
        <v>0.33333333333333331</v>
      </c>
    </row>
    <row r="15" spans="1:41">
      <c r="A15" s="8">
        <f t="shared" si="3"/>
        <v>5</v>
      </c>
      <c r="B15" s="79"/>
      <c r="C15" s="9" t="s">
        <v>178</v>
      </c>
      <c r="D15" s="9" t="s">
        <v>179</v>
      </c>
      <c r="E15" s="31" t="s">
        <v>62</v>
      </c>
      <c r="F15" s="32">
        <f t="shared" si="2"/>
        <v>2</v>
      </c>
      <c r="G15" s="12" t="s">
        <v>180</v>
      </c>
      <c r="H15" s="20">
        <v>5000</v>
      </c>
      <c r="AM15" s="23">
        <v>17</v>
      </c>
      <c r="AN15" s="15" t="s">
        <v>71</v>
      </c>
      <c r="AO15" s="24">
        <f>1/4</f>
        <v>0.25</v>
      </c>
    </row>
    <row r="16" spans="1:41">
      <c r="A16" s="8">
        <f t="shared" si="3"/>
        <v>6</v>
      </c>
      <c r="B16" s="79"/>
      <c r="C16" s="9" t="s">
        <v>181</v>
      </c>
      <c r="D16" s="9" t="s">
        <v>176</v>
      </c>
      <c r="E16" s="31" t="s">
        <v>62</v>
      </c>
      <c r="F16" s="32">
        <f t="shared" si="2"/>
        <v>2</v>
      </c>
      <c r="G16" s="12" t="s">
        <v>182</v>
      </c>
      <c r="H16" s="20">
        <v>8000</v>
      </c>
      <c r="AM16" s="23">
        <v>18</v>
      </c>
      <c r="AN16" s="15" t="s">
        <v>72</v>
      </c>
      <c r="AO16" s="24">
        <f>1/5</f>
        <v>0.2</v>
      </c>
    </row>
    <row r="17" spans="1:41">
      <c r="A17" s="8">
        <f t="shared" si="3"/>
        <v>7</v>
      </c>
      <c r="B17" s="79"/>
      <c r="C17" s="9" t="s">
        <v>183</v>
      </c>
      <c r="D17" s="9" t="s">
        <v>184</v>
      </c>
      <c r="E17" s="31" t="s">
        <v>62</v>
      </c>
      <c r="F17" s="32">
        <f t="shared" si="2"/>
        <v>2</v>
      </c>
      <c r="G17" s="12" t="s">
        <v>185</v>
      </c>
      <c r="H17" s="20">
        <v>5000</v>
      </c>
      <c r="AM17" s="23">
        <v>19</v>
      </c>
      <c r="AN17" s="15" t="s">
        <v>73</v>
      </c>
      <c r="AO17" s="24">
        <f>1/10</f>
        <v>0.1</v>
      </c>
    </row>
    <row r="18" spans="1:41">
      <c r="A18" s="8">
        <f t="shared" si="3"/>
        <v>8</v>
      </c>
      <c r="B18" s="79"/>
      <c r="C18" s="9" t="s">
        <v>186</v>
      </c>
      <c r="D18" s="9" t="s">
        <v>179</v>
      </c>
      <c r="E18" s="31" t="s">
        <v>62</v>
      </c>
      <c r="F18" s="32">
        <f t="shared" si="2"/>
        <v>2</v>
      </c>
      <c r="G18" s="12" t="s">
        <v>187</v>
      </c>
      <c r="H18" s="20">
        <v>9000</v>
      </c>
      <c r="AM18" s="23">
        <v>20</v>
      </c>
      <c r="AN18" s="15" t="s">
        <v>74</v>
      </c>
      <c r="AO18" s="25">
        <f>1/20</f>
        <v>0.05</v>
      </c>
    </row>
    <row r="19" spans="1:41">
      <c r="A19" s="8">
        <f t="shared" si="3"/>
        <v>9</v>
      </c>
      <c r="B19" s="79"/>
      <c r="C19" s="9" t="s">
        <v>188</v>
      </c>
      <c r="D19" s="9" t="s">
        <v>189</v>
      </c>
      <c r="E19" s="31" t="s">
        <v>62</v>
      </c>
      <c r="F19" s="32">
        <f t="shared" si="2"/>
        <v>2</v>
      </c>
      <c r="G19" s="12" t="s">
        <v>190</v>
      </c>
      <c r="H19" s="20">
        <v>2500</v>
      </c>
      <c r="AM19" s="23">
        <v>21</v>
      </c>
      <c r="AN19" s="15" t="s">
        <v>52</v>
      </c>
      <c r="AO19" s="25">
        <v>0</v>
      </c>
    </row>
    <row r="20" spans="1:41">
      <c r="A20" s="8">
        <f t="shared" si="3"/>
        <v>10</v>
      </c>
      <c r="B20" s="79"/>
      <c r="C20" s="9" t="s">
        <v>191</v>
      </c>
      <c r="D20" s="9" t="s">
        <v>171</v>
      </c>
      <c r="E20" s="31" t="s">
        <v>62</v>
      </c>
      <c r="F20" s="32">
        <f t="shared" si="2"/>
        <v>2</v>
      </c>
      <c r="G20" s="12" t="s">
        <v>192</v>
      </c>
      <c r="H20" s="20">
        <v>3600</v>
      </c>
      <c r="AM20" s="23">
        <v>22</v>
      </c>
      <c r="AN20" s="15"/>
      <c r="AO20" s="25"/>
    </row>
    <row r="21" spans="1:41">
      <c r="A21" s="8">
        <f t="shared" si="3"/>
        <v>11</v>
      </c>
      <c r="B21" s="79"/>
      <c r="C21" s="9" t="s">
        <v>193</v>
      </c>
      <c r="D21" s="9" t="s">
        <v>171</v>
      </c>
      <c r="E21" s="31" t="s">
        <v>62</v>
      </c>
      <c r="F21" s="32">
        <f t="shared" si="2"/>
        <v>2</v>
      </c>
      <c r="G21" s="12" t="s">
        <v>194</v>
      </c>
      <c r="H21" s="20">
        <v>8500</v>
      </c>
      <c r="AM21" s="23">
        <v>23</v>
      </c>
      <c r="AN21" s="15"/>
      <c r="AO21" s="25"/>
    </row>
    <row r="22" spans="1:41" ht="15.75" thickBot="1">
      <c r="A22" s="8">
        <f t="shared" si="3"/>
        <v>12</v>
      </c>
      <c r="B22" s="79"/>
      <c r="C22" s="9" t="s">
        <v>195</v>
      </c>
      <c r="D22" s="9" t="s">
        <v>179</v>
      </c>
      <c r="E22" s="31" t="s">
        <v>62</v>
      </c>
      <c r="F22" s="32">
        <f t="shared" si="2"/>
        <v>2</v>
      </c>
      <c r="G22" s="12" t="s">
        <v>198</v>
      </c>
      <c r="H22" s="20">
        <v>1200</v>
      </c>
      <c r="AM22" s="27">
        <v>24</v>
      </c>
      <c r="AN22" s="28"/>
      <c r="AO22" s="29">
        <v>0</v>
      </c>
    </row>
    <row r="23" spans="1:41">
      <c r="A23" s="8">
        <f t="shared" si="3"/>
        <v>13</v>
      </c>
      <c r="B23" s="79"/>
      <c r="C23" s="9" t="s">
        <v>196</v>
      </c>
      <c r="D23" s="9" t="s">
        <v>171</v>
      </c>
      <c r="E23" s="31" t="s">
        <v>62</v>
      </c>
      <c r="F23" s="32">
        <f t="shared" si="2"/>
        <v>2</v>
      </c>
      <c r="G23" s="12" t="s">
        <v>197</v>
      </c>
      <c r="H23" s="20">
        <v>1500</v>
      </c>
    </row>
    <row r="24" spans="1:41">
      <c r="A24" s="8">
        <f t="shared" si="3"/>
        <v>14</v>
      </c>
      <c r="B24" s="79"/>
      <c r="C24" s="9" t="s">
        <v>199</v>
      </c>
      <c r="D24" s="9" t="s">
        <v>200</v>
      </c>
      <c r="E24" s="31" t="s">
        <v>62</v>
      </c>
      <c r="F24" s="32">
        <f t="shared" si="2"/>
        <v>2</v>
      </c>
      <c r="G24" s="12" t="s">
        <v>201</v>
      </c>
      <c r="H24" s="20">
        <v>1700</v>
      </c>
    </row>
    <row r="25" spans="1:41">
      <c r="A25" s="8">
        <f t="shared" si="3"/>
        <v>15</v>
      </c>
      <c r="B25" s="79"/>
      <c r="C25" s="9" t="s">
        <v>202</v>
      </c>
      <c r="D25" s="9" t="s">
        <v>179</v>
      </c>
      <c r="E25" s="31" t="s">
        <v>62</v>
      </c>
      <c r="F25" s="32">
        <f t="shared" si="2"/>
        <v>2</v>
      </c>
      <c r="G25" s="12" t="s">
        <v>203</v>
      </c>
      <c r="H25" s="20">
        <v>12000</v>
      </c>
    </row>
    <row r="26" spans="1:41">
      <c r="A26" s="8">
        <f t="shared" si="3"/>
        <v>16</v>
      </c>
      <c r="B26" s="79"/>
      <c r="C26" s="9"/>
      <c r="D26" s="9"/>
      <c r="E26" s="31" t="s">
        <v>62</v>
      </c>
      <c r="F26" s="32">
        <f t="shared" si="2"/>
        <v>2</v>
      </c>
      <c r="G26" s="12"/>
      <c r="H26" s="20"/>
    </row>
    <row r="27" spans="1:41">
      <c r="A27" s="8">
        <f t="shared" si="3"/>
        <v>17</v>
      </c>
      <c r="B27" s="79"/>
      <c r="C27" s="9"/>
      <c r="D27" s="9"/>
      <c r="E27" s="31" t="s">
        <v>62</v>
      </c>
      <c r="F27" s="32">
        <f t="shared" si="2"/>
        <v>2</v>
      </c>
      <c r="G27" s="12"/>
      <c r="H27" s="20"/>
    </row>
    <row r="28" spans="1:41">
      <c r="A28" s="8">
        <f t="shared" si="3"/>
        <v>18</v>
      </c>
      <c r="B28" s="79"/>
      <c r="C28" s="9"/>
      <c r="D28" s="9"/>
      <c r="E28" s="31" t="s">
        <v>62</v>
      </c>
      <c r="F28" s="32">
        <f t="shared" si="2"/>
        <v>2</v>
      </c>
      <c r="G28" s="12"/>
      <c r="H28" s="20"/>
    </row>
    <row r="29" spans="1:41">
      <c r="A29" s="8">
        <f t="shared" si="3"/>
        <v>19</v>
      </c>
      <c r="B29" s="79"/>
      <c r="C29" s="9"/>
      <c r="D29" s="9"/>
      <c r="E29" s="31" t="s">
        <v>62</v>
      </c>
      <c r="F29" s="32">
        <f t="shared" si="2"/>
        <v>2</v>
      </c>
      <c r="G29" s="12"/>
      <c r="H29" s="20"/>
    </row>
    <row r="30" spans="1:41" s="8" customFormat="1" ht="15" customHeight="1">
      <c r="A30" s="8">
        <f t="shared" si="3"/>
        <v>20</v>
      </c>
      <c r="B30" s="80"/>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c r="AM4" s="23">
        <v>6</v>
      </c>
      <c r="AN4" s="15" t="s">
        <v>60</v>
      </c>
      <c r="AO4" s="25">
        <f>12/3</f>
        <v>4</v>
      </c>
    </row>
    <row r="5" spans="1:41" s="8" customFormat="1">
      <c r="A5" s="8">
        <f>A4+1</f>
        <v>2</v>
      </c>
      <c r="B5" s="86"/>
      <c r="C5" s="9" t="s">
        <v>48</v>
      </c>
      <c r="D5" s="9"/>
      <c r="E5" s="31" t="s">
        <v>58</v>
      </c>
      <c r="F5" s="32">
        <f t="shared" si="0"/>
        <v>12</v>
      </c>
      <c r="G5" s="12"/>
      <c r="H5" s="20"/>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c r="E8" s="31" t="s">
        <v>58</v>
      </c>
      <c r="F8" s="32">
        <f t="shared" si="0"/>
        <v>12</v>
      </c>
      <c r="G8" s="12"/>
      <c r="H8" s="20"/>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8" t="s">
        <v>76</v>
      </c>
      <c r="C11" s="9"/>
      <c r="D11" s="9"/>
      <c r="E11" s="31" t="s">
        <v>58</v>
      </c>
      <c r="F11" s="32">
        <f t="shared" ref="F11:F30" si="2">VLOOKUP(E11,$AN$1:$AO$22,2,FALSE)</f>
        <v>12</v>
      </c>
      <c r="G11" s="12"/>
      <c r="H11" s="20"/>
      <c r="AM11" s="23">
        <v>13</v>
      </c>
      <c r="AN11" s="15" t="s">
        <v>67</v>
      </c>
      <c r="AO11" s="24">
        <f>12/11</f>
        <v>1.0909090909090908</v>
      </c>
    </row>
    <row r="12" spans="1:41">
      <c r="A12" s="8">
        <f>A11+1</f>
        <v>2</v>
      </c>
      <c r="B12" s="79"/>
      <c r="C12" s="9"/>
      <c r="D12" s="9"/>
      <c r="E12" s="31" t="s">
        <v>58</v>
      </c>
      <c r="F12" s="32">
        <f t="shared" si="2"/>
        <v>12</v>
      </c>
      <c r="G12" s="12"/>
      <c r="H12" s="20"/>
      <c r="AM12" s="23">
        <v>14</v>
      </c>
      <c r="AN12" s="15" t="s">
        <v>68</v>
      </c>
      <c r="AO12" s="25">
        <f>12/12</f>
        <v>1</v>
      </c>
    </row>
    <row r="13" spans="1:41">
      <c r="A13" s="8">
        <f t="shared" ref="A13:A30" si="3">A12+1</f>
        <v>3</v>
      </c>
      <c r="B13" s="79"/>
      <c r="C13" s="9"/>
      <c r="D13" s="9"/>
      <c r="E13" s="31" t="s">
        <v>58</v>
      </c>
      <c r="F13" s="32">
        <f t="shared" si="2"/>
        <v>12</v>
      </c>
      <c r="G13" s="12"/>
      <c r="H13" s="20"/>
      <c r="AM13" s="23">
        <v>15</v>
      </c>
      <c r="AN13" s="15" t="s">
        <v>69</v>
      </c>
      <c r="AO13" s="24">
        <f>1/2</f>
        <v>0.5</v>
      </c>
    </row>
    <row r="14" spans="1:41">
      <c r="A14" s="8">
        <f t="shared" si="3"/>
        <v>4</v>
      </c>
      <c r="B14" s="79"/>
      <c r="C14" s="9"/>
      <c r="D14" s="9"/>
      <c r="E14" s="31" t="s">
        <v>58</v>
      </c>
      <c r="F14" s="32">
        <f t="shared" si="2"/>
        <v>12</v>
      </c>
      <c r="G14" s="12"/>
      <c r="H14" s="20"/>
      <c r="AM14" s="23">
        <v>16</v>
      </c>
      <c r="AN14" s="15" t="s">
        <v>70</v>
      </c>
      <c r="AO14" s="24">
        <f>1/3</f>
        <v>0.33333333333333331</v>
      </c>
    </row>
    <row r="15" spans="1:41">
      <c r="A15" s="8">
        <f t="shared" si="3"/>
        <v>5</v>
      </c>
      <c r="B15" s="79"/>
      <c r="C15" s="9"/>
      <c r="D15" s="9"/>
      <c r="E15" s="31" t="s">
        <v>58</v>
      </c>
      <c r="F15" s="32">
        <f t="shared" si="2"/>
        <v>12</v>
      </c>
      <c r="G15" s="12"/>
      <c r="H15" s="20"/>
      <c r="AM15" s="23">
        <v>17</v>
      </c>
      <c r="AN15" s="15" t="s">
        <v>71</v>
      </c>
      <c r="AO15" s="24">
        <f>1/4</f>
        <v>0.25</v>
      </c>
    </row>
    <row r="16" spans="1:41">
      <c r="A16" s="8">
        <f t="shared" si="3"/>
        <v>6</v>
      </c>
      <c r="B16" s="79"/>
      <c r="C16" s="9"/>
      <c r="D16" s="9"/>
      <c r="E16" s="31" t="s">
        <v>58</v>
      </c>
      <c r="F16" s="32">
        <f t="shared" si="2"/>
        <v>12</v>
      </c>
      <c r="G16" s="12"/>
      <c r="H16" s="20"/>
      <c r="AM16" s="23">
        <v>18</v>
      </c>
      <c r="AN16" s="15" t="s">
        <v>72</v>
      </c>
      <c r="AO16" s="24">
        <f>1/5</f>
        <v>0.2</v>
      </c>
    </row>
    <row r="17" spans="1:41">
      <c r="A17" s="8">
        <f t="shared" si="3"/>
        <v>7</v>
      </c>
      <c r="B17" s="79"/>
      <c r="C17" s="9"/>
      <c r="D17" s="9"/>
      <c r="E17" s="31" t="s">
        <v>58</v>
      </c>
      <c r="F17" s="32">
        <f t="shared" si="2"/>
        <v>12</v>
      </c>
      <c r="G17" s="12"/>
      <c r="H17" s="20"/>
      <c r="AM17" s="23">
        <v>19</v>
      </c>
      <c r="AN17" s="15" t="s">
        <v>73</v>
      </c>
      <c r="AO17" s="24">
        <f>1/10</f>
        <v>0.1</v>
      </c>
    </row>
    <row r="18" spans="1:41">
      <c r="A18" s="8">
        <f t="shared" si="3"/>
        <v>8</v>
      </c>
      <c r="B18" s="79"/>
      <c r="C18" s="9"/>
      <c r="D18" s="9"/>
      <c r="E18" s="31" t="s">
        <v>58</v>
      </c>
      <c r="F18" s="32">
        <f t="shared" si="2"/>
        <v>12</v>
      </c>
      <c r="G18" s="12"/>
      <c r="H18" s="20"/>
      <c r="AM18" s="23">
        <v>20</v>
      </c>
      <c r="AN18" s="15" t="s">
        <v>74</v>
      </c>
      <c r="AO18" s="25">
        <f>1/20</f>
        <v>0.05</v>
      </c>
    </row>
    <row r="19" spans="1:41">
      <c r="A19" s="8">
        <f t="shared" si="3"/>
        <v>9</v>
      </c>
      <c r="B19" s="79"/>
      <c r="C19" s="9"/>
      <c r="D19" s="9"/>
      <c r="E19" s="31" t="s">
        <v>58</v>
      </c>
      <c r="F19" s="32">
        <f t="shared" si="2"/>
        <v>12</v>
      </c>
      <c r="G19" s="12"/>
      <c r="H19" s="20"/>
      <c r="AM19" s="23">
        <v>21</v>
      </c>
      <c r="AN19" s="15" t="s">
        <v>52</v>
      </c>
      <c r="AO19" s="25">
        <v>0</v>
      </c>
    </row>
    <row r="20" spans="1:41">
      <c r="A20" s="8">
        <f t="shared" si="3"/>
        <v>10</v>
      </c>
      <c r="B20" s="79"/>
      <c r="C20" s="9"/>
      <c r="D20" s="9"/>
      <c r="E20" s="31" t="s">
        <v>58</v>
      </c>
      <c r="F20" s="32">
        <f t="shared" si="2"/>
        <v>12</v>
      </c>
      <c r="G20" s="12"/>
      <c r="H20" s="20"/>
      <c r="AM20" s="23">
        <v>22</v>
      </c>
      <c r="AN20" s="15"/>
      <c r="AO20" s="25"/>
    </row>
    <row r="21" spans="1:41">
      <c r="A21" s="8">
        <f t="shared" si="3"/>
        <v>11</v>
      </c>
      <c r="B21" s="79"/>
      <c r="C21" s="9"/>
      <c r="D21" s="9"/>
      <c r="E21" s="31" t="s">
        <v>58</v>
      </c>
      <c r="F21" s="32">
        <f t="shared" si="2"/>
        <v>12</v>
      </c>
      <c r="G21" s="12"/>
      <c r="H21" s="20"/>
      <c r="AM21" s="23">
        <v>23</v>
      </c>
      <c r="AN21" s="15"/>
      <c r="AO21" s="25"/>
    </row>
    <row r="22" spans="1:41" ht="15.75" thickBot="1">
      <c r="A22" s="8">
        <f t="shared" si="3"/>
        <v>12</v>
      </c>
      <c r="B22" s="79"/>
      <c r="C22" s="9"/>
      <c r="D22" s="9"/>
      <c r="E22" s="31" t="s">
        <v>58</v>
      </c>
      <c r="F22" s="32">
        <f t="shared" si="2"/>
        <v>12</v>
      </c>
      <c r="G22" s="12"/>
      <c r="H22" s="20"/>
      <c r="AM22" s="27">
        <v>24</v>
      </c>
      <c r="AN22" s="28"/>
      <c r="AO22" s="29">
        <v>0</v>
      </c>
    </row>
    <row r="23" spans="1:41">
      <c r="A23" s="8">
        <f t="shared" si="3"/>
        <v>13</v>
      </c>
      <c r="B23" s="79"/>
      <c r="C23" s="9"/>
      <c r="D23" s="9"/>
      <c r="E23" s="31" t="s">
        <v>58</v>
      </c>
      <c r="F23" s="32">
        <f t="shared" si="2"/>
        <v>12</v>
      </c>
      <c r="G23" s="12"/>
      <c r="H23" s="20"/>
    </row>
    <row r="24" spans="1:41">
      <c r="A24" s="8">
        <f t="shared" si="3"/>
        <v>14</v>
      </c>
      <c r="B24" s="79"/>
      <c r="C24" s="9"/>
      <c r="D24" s="9"/>
      <c r="E24" s="31" t="s">
        <v>58</v>
      </c>
      <c r="F24" s="32">
        <f t="shared" si="2"/>
        <v>12</v>
      </c>
      <c r="G24" s="12"/>
      <c r="H24" s="20"/>
    </row>
    <row r="25" spans="1:41">
      <c r="A25" s="8">
        <f t="shared" si="3"/>
        <v>15</v>
      </c>
      <c r="B25" s="79"/>
      <c r="C25" s="9"/>
      <c r="D25" s="9"/>
      <c r="E25" s="31" t="s">
        <v>58</v>
      </c>
      <c r="F25" s="32">
        <f t="shared" si="2"/>
        <v>12</v>
      </c>
      <c r="G25" s="12"/>
      <c r="H25" s="20"/>
    </row>
    <row r="26" spans="1:41">
      <c r="A26" s="8">
        <f t="shared" si="3"/>
        <v>16</v>
      </c>
      <c r="B26" s="79"/>
      <c r="C26" s="9"/>
      <c r="D26" s="9"/>
      <c r="E26" s="31" t="s">
        <v>58</v>
      </c>
      <c r="F26" s="32">
        <f t="shared" si="2"/>
        <v>12</v>
      </c>
      <c r="G26" s="12"/>
      <c r="H26" s="20"/>
    </row>
    <row r="27" spans="1:41">
      <c r="A27" s="8">
        <f t="shared" si="3"/>
        <v>17</v>
      </c>
      <c r="B27" s="79"/>
      <c r="C27" s="9"/>
      <c r="D27" s="9"/>
      <c r="E27" s="31" t="s">
        <v>58</v>
      </c>
      <c r="F27" s="32">
        <f t="shared" si="2"/>
        <v>12</v>
      </c>
      <c r="G27" s="12"/>
      <c r="H27" s="20"/>
    </row>
    <row r="28" spans="1:41">
      <c r="A28" s="8">
        <f t="shared" si="3"/>
        <v>18</v>
      </c>
      <c r="B28" s="79"/>
      <c r="C28" s="9"/>
      <c r="D28" s="9"/>
      <c r="E28" s="31" t="s">
        <v>58</v>
      </c>
      <c r="F28" s="32">
        <f t="shared" si="2"/>
        <v>12</v>
      </c>
      <c r="G28" s="12"/>
      <c r="H28" s="20"/>
    </row>
    <row r="29" spans="1:41">
      <c r="A29" s="8">
        <f t="shared" si="3"/>
        <v>19</v>
      </c>
      <c r="B29" s="79"/>
      <c r="C29" s="9"/>
      <c r="D29" s="9"/>
      <c r="E29" s="31" t="s">
        <v>58</v>
      </c>
      <c r="F29" s="32">
        <f t="shared" si="2"/>
        <v>12</v>
      </c>
      <c r="G29" s="12"/>
      <c r="H29" s="20"/>
    </row>
    <row r="30" spans="1:41" s="8" customFormat="1" ht="15" customHeight="1">
      <c r="A30" s="8">
        <f t="shared" si="3"/>
        <v>20</v>
      </c>
      <c r="B30" s="80"/>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8" t="s">
        <v>78</v>
      </c>
      <c r="C32" s="9"/>
      <c r="D32" s="9"/>
      <c r="E32" s="31" t="s">
        <v>58</v>
      </c>
      <c r="F32" s="32">
        <f t="shared" ref="F32:F51" si="4">VLOOKUP(E32,$AN$1:$AO$22,2,FALSE)</f>
        <v>12</v>
      </c>
      <c r="G32" s="12"/>
      <c r="H32" s="20"/>
    </row>
    <row r="33" spans="1:8">
      <c r="A33" s="8">
        <f>A32+1</f>
        <v>2</v>
      </c>
      <c r="B33" s="79"/>
      <c r="C33" s="9"/>
      <c r="D33" s="9"/>
      <c r="E33" s="31" t="s">
        <v>58</v>
      </c>
      <c r="F33" s="32">
        <f t="shared" si="4"/>
        <v>12</v>
      </c>
      <c r="G33" s="12"/>
      <c r="H33" s="20"/>
    </row>
    <row r="34" spans="1:8">
      <c r="A34" s="8">
        <f t="shared" ref="A34:A51" si="5">A33+1</f>
        <v>3</v>
      </c>
      <c r="B34" s="79"/>
      <c r="C34" s="9"/>
      <c r="D34" s="9"/>
      <c r="E34" s="31" t="s">
        <v>58</v>
      </c>
      <c r="F34" s="32">
        <f t="shared" si="4"/>
        <v>12</v>
      </c>
      <c r="G34" s="12"/>
      <c r="H34" s="20"/>
    </row>
    <row r="35" spans="1:8">
      <c r="A35" s="8">
        <f t="shared" si="5"/>
        <v>4</v>
      </c>
      <c r="B35" s="79"/>
      <c r="C35" s="9"/>
      <c r="D35" s="9"/>
      <c r="E35" s="31" t="s">
        <v>58</v>
      </c>
      <c r="F35" s="32">
        <f t="shared" si="4"/>
        <v>12</v>
      </c>
      <c r="G35" s="12"/>
      <c r="H35" s="20"/>
    </row>
    <row r="36" spans="1:8">
      <c r="A36" s="8">
        <f t="shared" si="5"/>
        <v>5</v>
      </c>
      <c r="B36" s="79"/>
      <c r="C36" s="9"/>
      <c r="D36" s="9"/>
      <c r="E36" s="31" t="s">
        <v>58</v>
      </c>
      <c r="F36" s="32">
        <f t="shared" si="4"/>
        <v>12</v>
      </c>
      <c r="G36" s="12"/>
      <c r="H36" s="20"/>
    </row>
    <row r="37" spans="1:8">
      <c r="A37" s="8">
        <f t="shared" si="5"/>
        <v>6</v>
      </c>
      <c r="B37" s="79"/>
      <c r="C37" s="9"/>
      <c r="D37" s="9"/>
      <c r="E37" s="31" t="s">
        <v>58</v>
      </c>
      <c r="F37" s="32">
        <f t="shared" si="4"/>
        <v>12</v>
      </c>
      <c r="G37" s="12"/>
      <c r="H37" s="20"/>
    </row>
    <row r="38" spans="1:8">
      <c r="A38" s="8">
        <f t="shared" si="5"/>
        <v>7</v>
      </c>
      <c r="B38" s="79"/>
      <c r="C38" s="9"/>
      <c r="D38" s="9"/>
      <c r="E38" s="31" t="s">
        <v>58</v>
      </c>
      <c r="F38" s="32">
        <f t="shared" si="4"/>
        <v>12</v>
      </c>
      <c r="G38" s="12"/>
      <c r="H38" s="20"/>
    </row>
    <row r="39" spans="1:8">
      <c r="A39" s="8">
        <f t="shared" si="5"/>
        <v>8</v>
      </c>
      <c r="B39" s="79"/>
      <c r="C39" s="9"/>
      <c r="D39" s="9"/>
      <c r="E39" s="31" t="s">
        <v>58</v>
      </c>
      <c r="F39" s="32">
        <f t="shared" si="4"/>
        <v>12</v>
      </c>
      <c r="G39" s="12"/>
      <c r="H39" s="20"/>
    </row>
    <row r="40" spans="1:8">
      <c r="A40" s="8">
        <f t="shared" si="5"/>
        <v>9</v>
      </c>
      <c r="B40" s="79"/>
      <c r="C40" s="9"/>
      <c r="D40" s="9"/>
      <c r="E40" s="31" t="s">
        <v>58</v>
      </c>
      <c r="F40" s="32">
        <f t="shared" si="4"/>
        <v>12</v>
      </c>
      <c r="G40" s="12"/>
      <c r="H40" s="20"/>
    </row>
    <row r="41" spans="1:8">
      <c r="A41" s="8">
        <f t="shared" si="5"/>
        <v>10</v>
      </c>
      <c r="B41" s="79"/>
      <c r="C41" s="9"/>
      <c r="D41" s="9"/>
      <c r="E41" s="31" t="s">
        <v>58</v>
      </c>
      <c r="F41" s="32">
        <f t="shared" si="4"/>
        <v>12</v>
      </c>
      <c r="G41" s="12"/>
      <c r="H41" s="20"/>
    </row>
    <row r="42" spans="1:8">
      <c r="A42" s="8">
        <f t="shared" si="5"/>
        <v>11</v>
      </c>
      <c r="B42" s="79"/>
      <c r="C42" s="9"/>
      <c r="D42" s="9"/>
      <c r="E42" s="31" t="s">
        <v>58</v>
      </c>
      <c r="F42" s="32">
        <f t="shared" si="4"/>
        <v>12</v>
      </c>
      <c r="G42" s="12"/>
      <c r="H42" s="20"/>
    </row>
    <row r="43" spans="1:8">
      <c r="A43" s="8">
        <f t="shared" si="5"/>
        <v>12</v>
      </c>
      <c r="B43" s="79"/>
      <c r="C43" s="9"/>
      <c r="D43" s="9"/>
      <c r="E43" s="31" t="s">
        <v>58</v>
      </c>
      <c r="F43" s="32">
        <f t="shared" si="4"/>
        <v>12</v>
      </c>
      <c r="G43" s="12"/>
      <c r="H43" s="20"/>
    </row>
    <row r="44" spans="1:8">
      <c r="A44" s="8">
        <f t="shared" si="5"/>
        <v>13</v>
      </c>
      <c r="B44" s="79"/>
      <c r="C44" s="9"/>
      <c r="D44" s="9"/>
      <c r="E44" s="31" t="s">
        <v>58</v>
      </c>
      <c r="F44" s="32">
        <f t="shared" si="4"/>
        <v>12</v>
      </c>
      <c r="G44" s="12"/>
      <c r="H44" s="20"/>
    </row>
    <row r="45" spans="1:8">
      <c r="A45" s="8">
        <f t="shared" si="5"/>
        <v>14</v>
      </c>
      <c r="B45" s="79"/>
      <c r="C45" s="9"/>
      <c r="D45" s="9"/>
      <c r="E45" s="31" t="s">
        <v>58</v>
      </c>
      <c r="F45" s="32">
        <f t="shared" si="4"/>
        <v>12</v>
      </c>
      <c r="G45" s="12"/>
      <c r="H45" s="20"/>
    </row>
    <row r="46" spans="1:8">
      <c r="A46" s="8">
        <f t="shared" si="5"/>
        <v>15</v>
      </c>
      <c r="B46" s="79"/>
      <c r="C46" s="9"/>
      <c r="D46" s="9"/>
      <c r="E46" s="31" t="s">
        <v>58</v>
      </c>
      <c r="F46" s="32">
        <f t="shared" si="4"/>
        <v>12</v>
      </c>
      <c r="G46" s="12"/>
      <c r="H46" s="20"/>
    </row>
    <row r="47" spans="1:8">
      <c r="A47" s="8">
        <f t="shared" si="5"/>
        <v>16</v>
      </c>
      <c r="B47" s="79"/>
      <c r="C47" s="9"/>
      <c r="D47" s="9"/>
      <c r="E47" s="31" t="s">
        <v>58</v>
      </c>
      <c r="F47" s="32">
        <f t="shared" si="4"/>
        <v>12</v>
      </c>
      <c r="G47" s="12"/>
      <c r="H47" s="20"/>
    </row>
    <row r="48" spans="1:8">
      <c r="A48" s="8">
        <f t="shared" si="5"/>
        <v>17</v>
      </c>
      <c r="B48" s="79"/>
      <c r="C48" s="9"/>
      <c r="D48" s="9"/>
      <c r="E48" s="31" t="s">
        <v>58</v>
      </c>
      <c r="F48" s="32">
        <f t="shared" si="4"/>
        <v>12</v>
      </c>
      <c r="G48" s="12"/>
      <c r="H48" s="20"/>
    </row>
    <row r="49" spans="1:41">
      <c r="A49" s="8">
        <f t="shared" si="5"/>
        <v>18</v>
      </c>
      <c r="B49" s="79"/>
      <c r="C49" s="9"/>
      <c r="D49" s="9"/>
      <c r="E49" s="31" t="s">
        <v>58</v>
      </c>
      <c r="F49" s="32">
        <f t="shared" si="4"/>
        <v>12</v>
      </c>
      <c r="G49" s="12"/>
      <c r="H49" s="20"/>
    </row>
    <row r="50" spans="1:41">
      <c r="A50" s="8">
        <f t="shared" si="5"/>
        <v>19</v>
      </c>
      <c r="B50" s="79"/>
      <c r="C50" s="9"/>
      <c r="D50" s="9"/>
      <c r="E50" s="31" t="s">
        <v>58</v>
      </c>
      <c r="F50" s="32">
        <f t="shared" si="4"/>
        <v>12</v>
      </c>
      <c r="G50" s="12"/>
      <c r="H50" s="20"/>
    </row>
    <row r="51" spans="1:41" s="8" customFormat="1">
      <c r="A51" s="8">
        <f t="shared" si="5"/>
        <v>20</v>
      </c>
      <c r="B51" s="80"/>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