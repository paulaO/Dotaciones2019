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927"/>
  <workbookPr/>
  <mc:AlternateContent xmlns:mc="http://schemas.openxmlformats.org/markup-compatibility/2006">
    <mc:Choice Requires="x15">
      <x15ac:absPath xmlns:x15ac="http://schemas.microsoft.com/office/spreadsheetml/2010/11/ac" url="C:\Users\robinson.parada\UNIDAD D\ROBINSON.PARADA\Mis documentos\ESTUDIO DE MERCADO\2017\218A232. SERV PRIMERA INF E2\INF COSTEO\DOT BTA\"/>
    </mc:Choice>
  </mc:AlternateContent>
  <bookViews>
    <workbookView xWindow="0" yWindow="0" windowWidth="16530" windowHeight="6945" tabRatio="784" activeTab="2"/>
  </bookViews>
  <sheets>
    <sheet name="1. Muestra a Realizar" sheetId="7" r:id="rId1"/>
    <sheet name="2. Mod. Inst. CDI, HI Y LP" sheetId="1" r:id="rId2"/>
    <sheet name="3. Servicios de HCB " sheetId="9" r:id="rId3"/>
    <sheet name="4. Mod. Familiar DIMF"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1">#N/A</definedName>
    <definedName name="___INDEX_SHEET___ASAP_Utilities" localSheetId="2">#N/A</definedName>
    <definedName name="___INDEX_SHEET___ASAP_Utilities" localSheetId="3">#N/A</definedName>
    <definedName name="___INDEX_SHEET___ASAP_Utilities">#N/A</definedName>
    <definedName name="_AMAZONAS" localSheetId="1">#REF!</definedName>
    <definedName name="_AMAZONAS" localSheetId="2">#REF!</definedName>
    <definedName name="_AMAZONAS" localSheetId="3">#REF!</definedName>
    <definedName name="_AMAZONAS">#REF!</definedName>
    <definedName name="_amazonas_" localSheetId="1">#REF!</definedName>
    <definedName name="_amazonas_" localSheetId="2">#REF!</definedName>
    <definedName name="_amazonas_" localSheetId="3">#REF!</definedName>
    <definedName name="_amazonas_">#REF!</definedName>
    <definedName name="_ANTIOQUIA" localSheetId="1">#REF!</definedName>
    <definedName name="_ANTIOQUIA" localSheetId="2">#REF!</definedName>
    <definedName name="_ANTIOQUIA" localSheetId="3">#REF!</definedName>
    <definedName name="_ANTIOQUIA">#REF!</definedName>
    <definedName name="_ARAUCA" localSheetId="1">#REF!</definedName>
    <definedName name="_ARAUCA" localSheetId="2">#REF!</definedName>
    <definedName name="_ARAUCA" localSheetId="3">#REF!</definedName>
    <definedName name="_ARAUCA">#REF!</definedName>
    <definedName name="_ATLANTICO" localSheetId="1">#REF!</definedName>
    <definedName name="_ATLANTICO" localSheetId="2">#REF!</definedName>
    <definedName name="_ATLANTICO" localSheetId="3">#REF!</definedName>
    <definedName name="_ATLANTICO">#REF!</definedName>
    <definedName name="_BOGOTADC" localSheetId="1">#REF!</definedName>
    <definedName name="_BOGOTADC" localSheetId="2">#REF!</definedName>
    <definedName name="_BOGOTADC" localSheetId="3">#REF!</definedName>
    <definedName name="_BOGOTADC">#REF!</definedName>
    <definedName name="_BOLIVAR" localSheetId="1">#REF!</definedName>
    <definedName name="_BOLIVAR" localSheetId="2">#REF!</definedName>
    <definedName name="_BOLIVAR" localSheetId="3">#REF!</definedName>
    <definedName name="_BOLIVAR">#REF!</definedName>
    <definedName name="_BOYACA" localSheetId="1">#REF!</definedName>
    <definedName name="_BOYACA" localSheetId="2">#REF!</definedName>
    <definedName name="_BOYACA" localSheetId="3">#REF!</definedName>
    <definedName name="_BOYACA">#REF!</definedName>
    <definedName name="_CALDAS" localSheetId="1">#REF!</definedName>
    <definedName name="_CALDAS" localSheetId="2">#REF!</definedName>
    <definedName name="_CALDAS" localSheetId="3">#REF!</definedName>
    <definedName name="_CALDAS">#REF!</definedName>
    <definedName name="_CAQUETA" localSheetId="1">#REF!</definedName>
    <definedName name="_CAQUETA" localSheetId="2">#REF!</definedName>
    <definedName name="_CAQUETA" localSheetId="3">#REF!</definedName>
    <definedName name="_CAQUETA">#REF!</definedName>
    <definedName name="_CASANARE" localSheetId="1">#REF!</definedName>
    <definedName name="_CASANARE" localSheetId="2">#REF!</definedName>
    <definedName name="_CASANARE" localSheetId="3">#REF!</definedName>
    <definedName name="_CASANARE">#REF!</definedName>
    <definedName name="_CAUCA" localSheetId="1">#REF!</definedName>
    <definedName name="_CAUCA" localSheetId="2">#REF!</definedName>
    <definedName name="_CAUCA" localSheetId="3">#REF!</definedName>
    <definedName name="_CAUCA">#REF!</definedName>
    <definedName name="_CESAR" localSheetId="1">#REF!</definedName>
    <definedName name="_CESAR" localSheetId="2">#REF!</definedName>
    <definedName name="_CESAR" localSheetId="3">#REF!</definedName>
    <definedName name="_CESAR">#REF!</definedName>
    <definedName name="_CHOCO" localSheetId="1">#REF!</definedName>
    <definedName name="_CHOCO" localSheetId="2">#REF!</definedName>
    <definedName name="_CHOCO" localSheetId="3">#REF!</definedName>
    <definedName name="_CHOCO">#REF!</definedName>
    <definedName name="_CORDOBA" localSheetId="1">#REF!</definedName>
    <definedName name="_CORDOBA" localSheetId="2">#REF!</definedName>
    <definedName name="_CORDOBA" localSheetId="3">#REF!</definedName>
    <definedName name="_CORDOBA">#REF!</definedName>
    <definedName name="_CUNDINAMARCA" localSheetId="1">#REF!</definedName>
    <definedName name="_CUNDINAMARCA" localSheetId="2">#REF!</definedName>
    <definedName name="_CUNDINAMARCA" localSheetId="3">#REF!</definedName>
    <definedName name="_CUNDINAMARCA">#REF!</definedName>
    <definedName name="_xlnm._FilterDatabase" localSheetId="0" hidden="1">'1. Muestra a Realizar'!$A$2:$Q$36</definedName>
    <definedName name="_xlnm._FilterDatabase" localSheetId="1" hidden="1">'2. Mod. Inst. CDI, HI Y LP'!$B$4:$L$74</definedName>
    <definedName name="_xlnm._FilterDatabase" localSheetId="2" hidden="1">'3. Servicios de HCB '!$B$4:$L$30</definedName>
    <definedName name="_xlnm._FilterDatabase" localSheetId="3" hidden="1">'4. Mod. Familiar DIMF'!$B$4:$L$51</definedName>
    <definedName name="_GUAINIA" localSheetId="1">#REF!</definedName>
    <definedName name="_GUAINIA" localSheetId="2">#REF!</definedName>
    <definedName name="_GUAINIA" localSheetId="3">#REF!</definedName>
    <definedName name="_GUAINIA">#REF!</definedName>
    <definedName name="_GUAVIARE" localSheetId="1">#REF!</definedName>
    <definedName name="_GUAVIARE" localSheetId="2">#REF!</definedName>
    <definedName name="_GUAVIARE" localSheetId="3">#REF!</definedName>
    <definedName name="_GUAVIARE">#REF!</definedName>
    <definedName name="_HUILA" localSheetId="1">#REF!</definedName>
    <definedName name="_HUILA" localSheetId="2">#REF!</definedName>
    <definedName name="_HUILA" localSheetId="3">#REF!</definedName>
    <definedName name="_HUILA">#REF!</definedName>
    <definedName name="_LAGUAJIRA" localSheetId="1">#REF!</definedName>
    <definedName name="_LAGUAJIRA" localSheetId="2">#REF!</definedName>
    <definedName name="_LAGUAJIRA" localSheetId="3">#REF!</definedName>
    <definedName name="_LAGUAJIRA">#REF!</definedName>
    <definedName name="_MAGDALENA" localSheetId="1">#REF!</definedName>
    <definedName name="_MAGDALENA" localSheetId="2">#REF!</definedName>
    <definedName name="_MAGDALENA" localSheetId="3">#REF!</definedName>
    <definedName name="_MAGDALENA">#REF!</definedName>
    <definedName name="_META" localSheetId="1">#REF!</definedName>
    <definedName name="_META" localSheetId="2">#REF!</definedName>
    <definedName name="_META" localSheetId="3">#REF!</definedName>
    <definedName name="_META">#REF!</definedName>
    <definedName name="_NARIÑO" localSheetId="1">#REF!</definedName>
    <definedName name="_NARIÑO" localSheetId="2">#REF!</definedName>
    <definedName name="_NARIÑO" localSheetId="3">#REF!</definedName>
    <definedName name="_NARIÑO">#REF!</definedName>
    <definedName name="_NORTEDESANTANDER" localSheetId="1">#REF!</definedName>
    <definedName name="_NORTEDESANTANDER" localSheetId="2">#REF!</definedName>
    <definedName name="_NORTEDESANTANDER" localSheetId="3">#REF!</definedName>
    <definedName name="_NORTEDESANTANDER">#REF!</definedName>
    <definedName name="_PUTUMAYO" localSheetId="1">#REF!</definedName>
    <definedName name="_PUTUMAYO" localSheetId="2">#REF!</definedName>
    <definedName name="_PUTUMAYO" localSheetId="3">#REF!</definedName>
    <definedName name="_PUTUMAYO">#REF!</definedName>
    <definedName name="_QUINDIO" localSheetId="1">#REF!</definedName>
    <definedName name="_QUINDIO" localSheetId="2">#REF!</definedName>
    <definedName name="_QUINDIO" localSheetId="3">#REF!</definedName>
    <definedName name="_QUINDIO">#REF!</definedName>
    <definedName name="_RISARALDA" localSheetId="1">#REF!</definedName>
    <definedName name="_RISARALDA" localSheetId="2">#REF!</definedName>
    <definedName name="_RISARALDA" localSheetId="3">#REF!</definedName>
    <definedName name="_RISARALDA">#REF!</definedName>
    <definedName name="_SANANDRES" localSheetId="1">#REF!</definedName>
    <definedName name="_SANANDRES" localSheetId="2">#REF!</definedName>
    <definedName name="_SANANDRES" localSheetId="3">#REF!</definedName>
    <definedName name="_SANANDRES">#REF!</definedName>
    <definedName name="_SANTANDER" localSheetId="1">#REF!</definedName>
    <definedName name="_SANTANDER" localSheetId="2">#REF!</definedName>
    <definedName name="_SANTANDER" localSheetId="3">#REF!</definedName>
    <definedName name="_SANTANDER">#REF!</definedName>
    <definedName name="_SUCRE" localSheetId="1">#REF!</definedName>
    <definedName name="_SUCRE" localSheetId="2">#REF!</definedName>
    <definedName name="_SUCRE" localSheetId="3">#REF!</definedName>
    <definedName name="_SUCRE">#REF!</definedName>
    <definedName name="_TOLIMA" localSheetId="1">#REF!</definedName>
    <definedName name="_TOLIMA" localSheetId="2">#REF!</definedName>
    <definedName name="_TOLIMA" localSheetId="3">#REF!</definedName>
    <definedName name="_TOLIMA">#REF!</definedName>
    <definedName name="_UDS3" localSheetId="1">#REF!</definedName>
    <definedName name="_UDS3" localSheetId="2">#REF!</definedName>
    <definedName name="_UDS3" localSheetId="3">#REF!</definedName>
    <definedName name="_UDS3">#REF!</definedName>
    <definedName name="_VALLEDELCAUCA" localSheetId="1">#REF!</definedName>
    <definedName name="_VALLEDELCAUCA" localSheetId="2">#REF!</definedName>
    <definedName name="_VALLEDELCAUCA" localSheetId="3">#REF!</definedName>
    <definedName name="_VALLEDELCAUCA">#REF!</definedName>
    <definedName name="_VAUPES" localSheetId="1">#REF!</definedName>
    <definedName name="_VAUPES" localSheetId="2">#REF!</definedName>
    <definedName name="_VAUPES" localSheetId="3">#REF!</definedName>
    <definedName name="_VAUPES">#REF!</definedName>
    <definedName name="_VICHADA" localSheetId="1">#REF!</definedName>
    <definedName name="_VICHADA" localSheetId="2">#REF!</definedName>
    <definedName name="_VICHADA" localSheetId="3">#REF!</definedName>
    <definedName name="_VICHADA">#REF!</definedName>
    <definedName name="¿Quiénes_están_inscritos_dentro_del_sistema__incluye_desinscr___" localSheetId="1">#REF!</definedName>
    <definedName name="¿Quiénes_están_inscritos_dentro_del_sistema__incluye_desinscr___" localSheetId="2">#REF!</definedName>
    <definedName name="¿Quiénes_están_inscritos_dentro_del_sistema__incluye_desinscr___" localSheetId="3">#REF!</definedName>
    <definedName name="¿Quiénes_están_inscritos_dentro_del_sistema__incluye_desinscr___">#REF!</definedName>
    <definedName name="ActividadRE" localSheetId="1">#REF!</definedName>
    <definedName name="ActividadRE" localSheetId="2">#REF!</definedName>
    <definedName name="ActividadRE" localSheetId="3">#REF!</definedName>
    <definedName name="ActividadRE">#REF!</definedName>
    <definedName name="ALMUERZO">'[1]Resumen Preparaciones'!$C$52:$C$113</definedName>
    <definedName name="almuerzocena">'[1]Resumen Preparaciones'!$C$52:$C$141</definedName>
    <definedName name="AMAZONAS" localSheetId="1">#REF!</definedName>
    <definedName name="AMAZONAS" localSheetId="2">#REF!</definedName>
    <definedName name="AMAZONAS" localSheetId="3">#REF!</definedName>
    <definedName name="AMAZONAS">#REF!</definedName>
    <definedName name="ANTIOQUIA" localSheetId="1">#REF!</definedName>
    <definedName name="ANTIOQUIA" localSheetId="2">#REF!</definedName>
    <definedName name="ANTIOQUIA" localSheetId="3">#REF!</definedName>
    <definedName name="ANTIOQUIA">#REF!</definedName>
    <definedName name="ARAUCA" localSheetId="1">#REF!</definedName>
    <definedName name="ARAUCA" localSheetId="2">#REF!</definedName>
    <definedName name="ARAUCA" localSheetId="3">#REF!</definedName>
    <definedName name="ARAUCA">#REF!</definedName>
    <definedName name="_xlnm.Print_Area" localSheetId="1">'2. Mod. Inst. CDI, HI Y LP'!$B$2:$H$74</definedName>
    <definedName name="_xlnm.Print_Area" localSheetId="2">'3. Servicios de HCB '!$B$2:$H$30</definedName>
    <definedName name="_xlnm.Print_Area" localSheetId="3">'4. Mod. Familiar DIMF'!$B$2:$H$51</definedName>
    <definedName name="ATLANTICO" localSheetId="1">#REF!</definedName>
    <definedName name="ATLANTICO" localSheetId="2">#REF!</definedName>
    <definedName name="ATLANTICO" localSheetId="3">#REF!</definedName>
    <definedName name="ATLANTICO">#REF!</definedName>
    <definedName name="_xlnm.Database" localSheetId="1">#REF!</definedName>
    <definedName name="_xlnm.Database" localSheetId="2">#REF!</definedName>
    <definedName name="_xlnm.Database" localSheetId="3">#REF!</definedName>
    <definedName name="_xlnm.Database">#REF!</definedName>
    <definedName name="BOGOTA">[2]LISTAS!$J$2:$J$18</definedName>
    <definedName name="BOGOTA_DC" localSheetId="1">#REF!</definedName>
    <definedName name="BOGOTA_DC" localSheetId="2">#REF!</definedName>
    <definedName name="BOGOTA_DC" localSheetId="3">#REF!</definedName>
    <definedName name="BOGOTA_DC">#REF!</definedName>
    <definedName name="BOGOTADC" localSheetId="1">#REF!</definedName>
    <definedName name="BOGOTADC" localSheetId="2">#REF!</definedName>
    <definedName name="BOGOTADC" localSheetId="3">#REF!</definedName>
    <definedName name="BOGOTADC">#REF!</definedName>
    <definedName name="BOLIVAR" localSheetId="1">#REF!</definedName>
    <definedName name="BOLIVAR" localSheetId="2">#REF!</definedName>
    <definedName name="BOLIVAR" localSheetId="3">#REF!</definedName>
    <definedName name="BOLIVAR">#REF!</definedName>
    <definedName name="Borrar" localSheetId="1">#REF!</definedName>
    <definedName name="Borrar" localSheetId="2">#REF!</definedName>
    <definedName name="Borrar" localSheetId="3">#REF!</definedName>
    <definedName name="Borrar">#REF!</definedName>
    <definedName name="BOYACA" localSheetId="1">#REF!</definedName>
    <definedName name="BOYACA" localSheetId="2">#REF!</definedName>
    <definedName name="BOYACA" localSheetId="3">#REF!</definedName>
    <definedName name="BOYACA">#REF!</definedName>
    <definedName name="CALDAS" localSheetId="1">#REF!</definedName>
    <definedName name="CALDAS" localSheetId="2">#REF!</definedName>
    <definedName name="CALDAS" localSheetId="3">#REF!</definedName>
    <definedName name="CALDAS">#REF!</definedName>
    <definedName name="Calidad">[3]PERSONAL!$P$58</definedName>
    <definedName name="Campamento">[3]PERSONAL!$P$122</definedName>
    <definedName name="Cantidad">[2]LISTAS!$F$3:$F$32</definedName>
    <definedName name="Cantidad_de_profesionales">[4]PM1!$G$10</definedName>
    <definedName name="Cantidad_de_técnicos">[4]PM1!$G$24</definedName>
    <definedName name="CAPITALES2" localSheetId="1">#REF!</definedName>
    <definedName name="CAPITALES2" localSheetId="2">#REF!</definedName>
    <definedName name="CAPITALES2" localSheetId="3">#REF!</definedName>
    <definedName name="CAPITALES2">#REF!</definedName>
    <definedName name="CAQUETA" localSheetId="1">#REF!</definedName>
    <definedName name="CAQUETA" localSheetId="2">#REF!</definedName>
    <definedName name="CAQUETA" localSheetId="3">#REF!</definedName>
    <definedName name="CAQUETA">#REF!</definedName>
    <definedName name="CASANARE" localSheetId="1">#REF!</definedName>
    <definedName name="CASANARE" localSheetId="2">#REF!</definedName>
    <definedName name="CASANARE" localSheetId="3">#REF!</definedName>
    <definedName name="CASANARE">#REF!</definedName>
    <definedName name="CAUCA" localSheetId="1">#REF!</definedName>
    <definedName name="CAUCA" localSheetId="2">#REF!</definedName>
    <definedName name="CAUCA" localSheetId="3">#REF!</definedName>
    <definedName name="CAUCA">#REF!</definedName>
    <definedName name="CentroZonal" localSheetId="1">#REF!</definedName>
    <definedName name="CentroZonal" localSheetId="2">#REF!</definedName>
    <definedName name="CentroZonal" localSheetId="3">#REF!</definedName>
    <definedName name="CentroZonal">#REF!</definedName>
    <definedName name="CESAR" localSheetId="1">#REF!</definedName>
    <definedName name="CESAR" localSheetId="2">#REF!</definedName>
    <definedName name="CESAR" localSheetId="3">#REF!</definedName>
    <definedName name="CESAR">#REF!</definedName>
    <definedName name="CHOCO" localSheetId="1">#REF!</definedName>
    <definedName name="CHOCO" localSheetId="2">#REF!</definedName>
    <definedName name="CHOCO" localSheetId="3">#REF!</definedName>
    <definedName name="CHOCO">#REF!</definedName>
    <definedName name="CODIGO" localSheetId="1">#REF!</definedName>
    <definedName name="CODIGO" localSheetId="2">#REF!</definedName>
    <definedName name="CODIGO" localSheetId="3">#REF!</definedName>
    <definedName name="CODIGO">#REF!</definedName>
    <definedName name="Consulta1" localSheetId="1">#REF!</definedName>
    <definedName name="Consulta1" localSheetId="2">#REF!</definedName>
    <definedName name="Consulta1" localSheetId="3">#REF!</definedName>
    <definedName name="Consulta1">#REF!</definedName>
    <definedName name="CORDOBA" localSheetId="1">#REF!</definedName>
    <definedName name="CORDOBA" localSheetId="2">#REF!</definedName>
    <definedName name="CORDOBA" localSheetId="3">#REF!</definedName>
    <definedName name="CORDOBA">#REF!</definedName>
    <definedName name="CostoDirectoObra" localSheetId="1">#REF!</definedName>
    <definedName name="CostoDirectoObra" localSheetId="2">#REF!</definedName>
    <definedName name="CostoDirectoObra" localSheetId="3">#REF!</definedName>
    <definedName name="CostoDirectoObra">#REF!</definedName>
    <definedName name="CuantostieneEdSuperior" localSheetId="1">#REF!</definedName>
    <definedName name="CuantostieneEdSuperior" localSheetId="2">#REF!</definedName>
    <definedName name="CuantostieneEdSuperior" localSheetId="3">#REF!</definedName>
    <definedName name="CuantostieneEdSuperior">#REF!</definedName>
    <definedName name="CUNDINAMARCA" localSheetId="1">#REF!</definedName>
    <definedName name="CUNDINAMARCA" localSheetId="2">#REF!</definedName>
    <definedName name="CUNDINAMARCA" localSheetId="3">#REF!</definedName>
    <definedName name="CUNDINAMARCA">#REF!</definedName>
    <definedName name="CUPOS" localSheetId="1">#REF!</definedName>
    <definedName name="CUPOS" localSheetId="2">#REF!</definedName>
    <definedName name="CUPOS" localSheetId="3">#REF!</definedName>
    <definedName name="CUPOS">#REF!</definedName>
    <definedName name="CURSO">[2]LISTAS!$E$2:$E$68</definedName>
    <definedName name="dbo_trmunici" localSheetId="1">#REF!</definedName>
    <definedName name="dbo_trmunici" localSheetId="2">#REF!</definedName>
    <definedName name="dbo_trmunici" localSheetId="3">#REF!</definedName>
    <definedName name="dbo_trmunici">#REF!</definedName>
    <definedName name="Decision">[5]lista!$A$6:$A$7</definedName>
    <definedName name="Dedicacion" localSheetId="1">'[6]Tal Humano'!#REF!</definedName>
    <definedName name="Dedicacion" localSheetId="2">'[6]Tal Humano'!#REF!</definedName>
    <definedName name="Dedicacion" localSheetId="3">'[6]Tal Humano'!#REF!</definedName>
    <definedName name="Dedicacion">'[6]Tal Humano'!#REF!</definedName>
    <definedName name="Departamento" localSheetId="1">#REF!</definedName>
    <definedName name="Departamento" localSheetId="2">#REF!</definedName>
    <definedName name="Departamento" localSheetId="3">#REF!</definedName>
    <definedName name="Departamento">#REF!</definedName>
    <definedName name="Departamentos" localSheetId="1">#REF!</definedName>
    <definedName name="Departamentos" localSheetId="2">#REF!</definedName>
    <definedName name="Departamentos" localSheetId="3">#REF!</definedName>
    <definedName name="Departamentos">#REF!</definedName>
    <definedName name="desayuno">'[1]Resumen Preparaciones'!$C$5:$C$50</definedName>
    <definedName name="DESAYUNOS">'[1]Resumen Preparaciones'!$C$5:$C$33</definedName>
    <definedName name="DeseanCapacitacionEn" localSheetId="1">#REF!</definedName>
    <definedName name="DeseanCapacitacionEn" localSheetId="2">#REF!</definedName>
    <definedName name="DeseanCapacitacionEn" localSheetId="3">#REF!</definedName>
    <definedName name="DeseanCapacitacionEn">#REF!</definedName>
    <definedName name="DESINSCRITOS" localSheetId="1">#REF!</definedName>
    <definedName name="DESINSCRITOS" localSheetId="2">#REF!</definedName>
    <definedName name="DESINSCRITOS" localSheetId="3">#REF!</definedName>
    <definedName name="DESINSCRITOS">#REF!</definedName>
    <definedName name="DIAS" localSheetId="1">#REF!</definedName>
    <definedName name="DIAS" localSheetId="2">#REF!</definedName>
    <definedName name="DIAS" localSheetId="3">#REF!</definedName>
    <definedName name="DIAS">#REF!</definedName>
    <definedName name="DIASPRESTACION" localSheetId="1">#REF!</definedName>
    <definedName name="DIASPRESTACION" localSheetId="2">#REF!</definedName>
    <definedName name="DIASPRESTACION" localSheetId="3">#REF!</definedName>
    <definedName name="DIASPRESTACION">#REF!</definedName>
    <definedName name="DISTRIBUCIONPORTIPOCONTRATO" localSheetId="1">#REF!</definedName>
    <definedName name="DISTRIBUCIONPORTIPOCONTRATO" localSheetId="2">#REF!</definedName>
    <definedName name="DISTRIBUCIONPORTIPOCONTRATO" localSheetId="3">#REF!</definedName>
    <definedName name="DISTRIBUCIONPORTIPOCONTRATO">#REF!</definedName>
    <definedName name="Ed_cons_empr_CodEntidad" localSheetId="1">#REF!</definedName>
    <definedName name="Ed_cons_empr_CodEntidad" localSheetId="2">#REF!</definedName>
    <definedName name="Ed_cons_empr_CodEntidad" localSheetId="3">#REF!</definedName>
    <definedName name="Ed_cons_empr_CodEntidad">#REF!</definedName>
    <definedName name="Ed_emp_codemp" localSheetId="1">#REF!</definedName>
    <definedName name="Ed_emp_codemp" localSheetId="2">#REF!</definedName>
    <definedName name="Ed_emp_codemp" localSheetId="3">#REF!</definedName>
    <definedName name="Ed_emp_codemp">#REF!</definedName>
    <definedName name="EdSuperior2" localSheetId="1">#REF!</definedName>
    <definedName name="EdSuperior2" localSheetId="2">#REF!</definedName>
    <definedName name="EdSuperior2" localSheetId="3">#REF!</definedName>
    <definedName name="EdSuperior2">#REF!</definedName>
    <definedName name="EdSuperior3" localSheetId="1">#REF!</definedName>
    <definedName name="EdSuperior3" localSheetId="2">#REF!</definedName>
    <definedName name="EdSuperior3" localSheetId="3">#REF!</definedName>
    <definedName name="EdSuperior3">#REF!</definedName>
    <definedName name="Empresa" localSheetId="1">#REF!</definedName>
    <definedName name="Empresa" localSheetId="2">#REF!</definedName>
    <definedName name="Empresa" localSheetId="3">#REF!</definedName>
    <definedName name="Empresa">#REF!</definedName>
    <definedName name="Ensayos">[3]PERSONAL!$P$100</definedName>
    <definedName name="ESPACIOS">[2]LISTAS!$F$3:$F$22</definedName>
    <definedName name="EstadoMadCabFamilia" localSheetId="1">#REF!</definedName>
    <definedName name="EstadoMadCabFamilia" localSheetId="2">#REF!</definedName>
    <definedName name="EstadoMadCabFamilia" localSheetId="3">#REF!</definedName>
    <definedName name="EstadoMadCabFamilia">#REF!</definedName>
    <definedName name="Estrategia">[7]Tablas!$F$2:$F$34</definedName>
    <definedName name="Fuente">[7]Tablas!$D$2:$D$10</definedName>
    <definedName name="Funcionario" localSheetId="1">[8]frmFuncionario!#REF!</definedName>
    <definedName name="Funcionario" localSheetId="2">[8]frmFuncionario!#REF!</definedName>
    <definedName name="Funcionario" localSheetId="3">[8]frmFuncionario!#REF!</definedName>
    <definedName name="Funcionario">[8]frmFuncionario!#REF!</definedName>
    <definedName name="GruporUPS" localSheetId="1">#REF!</definedName>
    <definedName name="GruporUPS" localSheetId="2">#REF!</definedName>
    <definedName name="GruporUPS" localSheetId="3">#REF!</definedName>
    <definedName name="GruporUPS">#REF!</definedName>
    <definedName name="GUAINIA" localSheetId="1">#REF!</definedName>
    <definedName name="GUAINIA" localSheetId="2">#REF!</definedName>
    <definedName name="GUAINIA" localSheetId="3">#REF!</definedName>
    <definedName name="GUAINIA">#REF!</definedName>
    <definedName name="GUAVIARE" localSheetId="1">#REF!</definedName>
    <definedName name="GUAVIARE" localSheetId="2">#REF!</definedName>
    <definedName name="GUAVIARE" localSheetId="3">#REF!</definedName>
    <definedName name="GUAVIARE">#REF!</definedName>
    <definedName name="HA">#N/A</definedName>
    <definedName name="HCB_FAMI">#N/A</definedName>
    <definedName name="HFGHGFH3" localSheetId="1">[9]Planta_Super!#REF!</definedName>
    <definedName name="HFGHGFH3" localSheetId="2">[9]Planta_Super!#REF!</definedName>
    <definedName name="HFGHGFH3" localSheetId="3">[9]Planta_Super!#REF!</definedName>
    <definedName name="HFGHGFH3">[9]Planta_Super!#REF!</definedName>
    <definedName name="HOLA" localSheetId="1">#REF!</definedName>
    <definedName name="HOLA" localSheetId="2">#REF!</definedName>
    <definedName name="HOLA" localSheetId="3">#REF!</definedName>
    <definedName name="HOLA">#REF!</definedName>
    <definedName name="Horas" localSheetId="1">'[10]Tal Humano'!#REF!</definedName>
    <definedName name="Horas" localSheetId="2">'[10]Tal Humano'!#REF!</definedName>
    <definedName name="Horas" localSheetId="3">'[10]Tal Humano'!#REF!</definedName>
    <definedName name="Horas">'[10]Tal Humano'!#REF!</definedName>
    <definedName name="hrgc" localSheetId="1">#REF!</definedName>
    <definedName name="hrgc" localSheetId="2">#REF!</definedName>
    <definedName name="hrgc" localSheetId="3">#REF!</definedName>
    <definedName name="hrgc">#REF!</definedName>
    <definedName name="HUILA" localSheetId="1">#REF!</definedName>
    <definedName name="HUILA" localSheetId="2">#REF!</definedName>
    <definedName name="HUILA" localSheetId="3">#REF!</definedName>
    <definedName name="HUILA">#REF!</definedName>
    <definedName name="Incre" localSheetId="1">#REF!</definedName>
    <definedName name="Incre" localSheetId="2">#REF!</definedName>
    <definedName name="Incre" localSheetId="3">#REF!</definedName>
    <definedName name="Incre">#REF!</definedName>
    <definedName name="INCREMENTO" localSheetId="1">#REF!</definedName>
    <definedName name="INCREMENTO" localSheetId="2">#REF!</definedName>
    <definedName name="INCREMENTO" localSheetId="3">#REF!</definedName>
    <definedName name="INCREMENTO">#REF!</definedName>
    <definedName name="INCREMENTOS" localSheetId="1">#REF!</definedName>
    <definedName name="INCREMENTOS" localSheetId="2">#REF!</definedName>
    <definedName name="INCREMENTOS" localSheetId="3">#REF!</definedName>
    <definedName name="INCREMENTOS">#REF!</definedName>
    <definedName name="Indemnizacion" localSheetId="1">#REF!</definedName>
    <definedName name="Indemnizacion" localSheetId="2">#REF!</definedName>
    <definedName name="Indemnizacion" localSheetId="3">#REF!</definedName>
    <definedName name="Indemnizacion">#REF!</definedName>
    <definedName name="InfLaboral" localSheetId="1">#REF!</definedName>
    <definedName name="InfLaboral" localSheetId="2">#REF!</definedName>
    <definedName name="InfLaboral" localSheetId="3">#REF!</definedName>
    <definedName name="InfLaboral">#REF!</definedName>
    <definedName name="InfLabrl" localSheetId="1">#REF!</definedName>
    <definedName name="InfLabrl" localSheetId="2">#REF!</definedName>
    <definedName name="InfLabrl" localSheetId="3">#REF!</definedName>
    <definedName name="InfLabrl">#REF!</definedName>
    <definedName name="Ins" localSheetId="1">#REF!</definedName>
    <definedName name="Ins" localSheetId="2">#REF!</definedName>
    <definedName name="Ins" localSheetId="3">#REF!</definedName>
    <definedName name="Ins">#REF!</definedName>
    <definedName name="InsEnt" localSheetId="1">#REF!</definedName>
    <definedName name="InsEnt" localSheetId="2">#REF!</definedName>
    <definedName name="InsEnt" localSheetId="3">#REF!</definedName>
    <definedName name="InsEnt">#REF!</definedName>
    <definedName name="InsFisMag" localSheetId="1">#REF!</definedName>
    <definedName name="InsFisMag" localSheetId="2">#REF!</definedName>
    <definedName name="InsFisMag" localSheetId="3">#REF!</definedName>
    <definedName name="InsFisMag">#REF!</definedName>
    <definedName name="IVASobreUtilidad">[3]IMPUESTOS!$E$16</definedName>
    <definedName name="JARDIN_COMUNIT_DESAYUNO" localSheetId="1">#REF!</definedName>
    <definedName name="JARDIN_COMUNIT_DESAYUNO" localSheetId="2">#REF!</definedName>
    <definedName name="JARDIN_COMUNIT_DESAYUNO" localSheetId="3">#REF!</definedName>
    <definedName name="JARDIN_COMUNIT_DESAYUNO">#REF!</definedName>
    <definedName name="LA_GUAJIRA" localSheetId="1">#REF!</definedName>
    <definedName name="LA_GUAJIRA" localSheetId="2">#REF!</definedName>
    <definedName name="LA_GUAJIRA" localSheetId="3">#REF!</definedName>
    <definedName name="LA_GUAJIRA">#REF!</definedName>
    <definedName name="LimitacionAuditiva" localSheetId="1">#REF!</definedName>
    <definedName name="LimitacionAuditiva" localSheetId="2">#REF!</definedName>
    <definedName name="LimitacionAuditiva" localSheetId="3">#REF!</definedName>
    <definedName name="LimitacionAuditiva">#REF!</definedName>
    <definedName name="LimitacionFisicaOMental" localSheetId="1">#REF!</definedName>
    <definedName name="LimitacionFisicaOMental" localSheetId="2">#REF!</definedName>
    <definedName name="LimitacionFisicaOMental" localSheetId="3">#REF!</definedName>
    <definedName name="LimitacionFisicaOMental">#REF!</definedName>
    <definedName name="LimitacionVisual" localSheetId="1">#REF!</definedName>
    <definedName name="LimitacionVisual" localSheetId="2">#REF!</definedName>
    <definedName name="LimitacionVisual" localSheetId="3">#REF!</definedName>
    <definedName name="LimitacionVisual">#REF!</definedName>
    <definedName name="LISTA_1" localSheetId="1">#REF!</definedName>
    <definedName name="LISTA_1" localSheetId="2">#REF!</definedName>
    <definedName name="LISTA_1" localSheetId="3">#REF!</definedName>
    <definedName name="LISTA_1">#REF!</definedName>
    <definedName name="LISTA_2" localSheetId="1">#REF!</definedName>
    <definedName name="LISTA_2" localSheetId="2">#REF!</definedName>
    <definedName name="LISTA_2" localSheetId="3">#REF!</definedName>
    <definedName name="LISTA_2">#REF!</definedName>
    <definedName name="LISTA_PROM" localSheetId="1">#REF!</definedName>
    <definedName name="LISTA_PROM" localSheetId="2">#REF!</definedName>
    <definedName name="LISTA_PROM" localSheetId="3">#REF!</definedName>
    <definedName name="LISTA_PROM">#REF!</definedName>
    <definedName name="MadreCabezaFamilia" localSheetId="1">#REF!</definedName>
    <definedName name="MadreCabezaFamilia" localSheetId="2">#REF!</definedName>
    <definedName name="MadreCabezaFamilia" localSheetId="3">#REF!</definedName>
    <definedName name="MadreCabezaFamilia">#REF!</definedName>
    <definedName name="MAGDALENA" localSheetId="1">#REF!</definedName>
    <definedName name="MAGDALENA" localSheetId="2">#REF!</definedName>
    <definedName name="MAGDALENA" localSheetId="3">#REF!</definedName>
    <definedName name="MAGDALENA">#REF!</definedName>
    <definedName name="Mas_Bajo_Adminstración" localSheetId="1">'[11]Costo Total'!#REF!</definedName>
    <definedName name="Mas_Bajo_Adminstración" localSheetId="2">'[11]Costo Total'!#REF!</definedName>
    <definedName name="Mas_Bajo_Adminstración" localSheetId="3">'[11]Costo Total'!#REF!</definedName>
    <definedName name="Mas_Bajo_Adminstración">'[11]Costo Total'!#REF!</definedName>
    <definedName name="Mas_Bajo_Imprevistos" localSheetId="1">'[11]Costo Total'!#REF!</definedName>
    <definedName name="Mas_Bajo_Imprevistos" localSheetId="2">'[11]Costo Total'!#REF!</definedName>
    <definedName name="Mas_Bajo_Imprevistos" localSheetId="3">'[11]Costo Total'!#REF!</definedName>
    <definedName name="Mas_Bajo_Imprevistos">'[11]Costo Total'!#REF!</definedName>
    <definedName name="META" localSheetId="1">#REF!</definedName>
    <definedName name="META" localSheetId="2">#REF!</definedName>
    <definedName name="META" localSheetId="3">#REF!</definedName>
    <definedName name="META">#REF!</definedName>
    <definedName name="MMM" localSheetId="1">#REF!</definedName>
    <definedName name="MMM" localSheetId="2">#REF!</definedName>
    <definedName name="MMM" localSheetId="3">#REF!</definedName>
    <definedName name="MMM">#REF!</definedName>
    <definedName name="MUNI" localSheetId="1">#REF!</definedName>
    <definedName name="MUNI" localSheetId="2">#REF!</definedName>
    <definedName name="MUNI" localSheetId="3">#REF!</definedName>
    <definedName name="MUNI">#REF!</definedName>
    <definedName name="MUNI2" localSheetId="1">#REF!</definedName>
    <definedName name="MUNI2" localSheetId="2">#REF!</definedName>
    <definedName name="MUNI2" localSheetId="3">#REF!</definedName>
    <definedName name="MUNI2">#REF!</definedName>
    <definedName name="Municipio" localSheetId="1">#REF!</definedName>
    <definedName name="Municipio" localSheetId="2">#REF!</definedName>
    <definedName name="Municipio" localSheetId="3">#REF!</definedName>
    <definedName name="Municipio">#REF!</definedName>
    <definedName name="NARIÑO" localSheetId="1">#REF!</definedName>
    <definedName name="NARIÑO" localSheetId="2">#REF!</definedName>
    <definedName name="NARIÑO" localSheetId="3">#REF!</definedName>
    <definedName name="NARIÑO">#REF!</definedName>
    <definedName name="NEW_Centro_Acogida_Dllo">#N/A</definedName>
    <definedName name="Ninos">[2]LISTAS!$G$2:$G$17</definedName>
    <definedName name="NIVEL">[2]LISTAS!$H$8:$H$11</definedName>
    <definedName name="NivelEducacionBasica" localSheetId="1">#REF!</definedName>
    <definedName name="NivelEducacionBasica" localSheetId="2">#REF!</definedName>
    <definedName name="NivelEducacionBasica" localSheetId="3">#REF!</definedName>
    <definedName name="NivelEducacionBasica">#REF!</definedName>
    <definedName name="NIVELEDUCACIONSUP" localSheetId="1">#REF!</definedName>
    <definedName name="NIVELEDUCACIONSUP" localSheetId="2">#REF!</definedName>
    <definedName name="NIVELEDUCACIONSUP" localSheetId="3">#REF!</definedName>
    <definedName name="NIVELEDUCACIONSUP">#REF!</definedName>
    <definedName name="NivelEducacionSuperior" localSheetId="1">#REF!</definedName>
    <definedName name="NivelEducacionSuperior" localSheetId="2">#REF!</definedName>
    <definedName name="NivelEducacionSuperior" localSheetId="3">#REF!</definedName>
    <definedName name="NivelEducacionSuperior">#REF!</definedName>
    <definedName name="nn">#N/A</definedName>
    <definedName name="NNN" localSheetId="1">#REF!</definedName>
    <definedName name="NNN" localSheetId="2">#REF!</definedName>
    <definedName name="NNN" localSheetId="3">#REF!</definedName>
    <definedName name="NNN">#REF!</definedName>
    <definedName name="NO">[2]LISTAS!$G$2</definedName>
    <definedName name="NoFacturable">[3]PERSONAL!$P$46</definedName>
    <definedName name="NoNOInscritos" localSheetId="1">#REF!</definedName>
    <definedName name="NoNOInscritos" localSheetId="2">#REF!</definedName>
    <definedName name="NoNOInscritos" localSheetId="3">#REF!</definedName>
    <definedName name="NoNOInscritos">#REF!</definedName>
    <definedName name="NORTE_DE_SANTANDER" localSheetId="1">#REF!</definedName>
    <definedName name="NORTE_DE_SANTANDER" localSheetId="2">#REF!</definedName>
    <definedName name="NORTE_DE_SANTANDER" localSheetId="3">#REF!</definedName>
    <definedName name="NORTE_DE_SANTANDER">#REF!</definedName>
    <definedName name="NUMERO" localSheetId="1">[9]Planta_Super!#REF!</definedName>
    <definedName name="NUMERO" localSheetId="2">[9]Planta_Super!#REF!</definedName>
    <definedName name="NUMERO" localSheetId="3">[9]Planta_Super!#REF!</definedName>
    <definedName name="NUMERO">[9]Planta_Super!#REF!</definedName>
    <definedName name="Objetivos">[7]Tablas!$E$2:$E$17</definedName>
    <definedName name="Oficina">[3]PERSONAL!$P$69</definedName>
    <definedName name="opciones" localSheetId="1">#REF!</definedName>
    <definedName name="opciones" localSheetId="2">#REF!</definedName>
    <definedName name="opciones" localSheetId="3">#REF!</definedName>
    <definedName name="opciones">#REF!</definedName>
    <definedName name="Operador" localSheetId="1">#REF!</definedName>
    <definedName name="Operador" localSheetId="2">#REF!</definedName>
    <definedName name="Operador" localSheetId="3">#REF!</definedName>
    <definedName name="Operador">#REF!</definedName>
    <definedName name="PagoRE" localSheetId="1">#REF!</definedName>
    <definedName name="PagoRE" localSheetId="2">#REF!</definedName>
    <definedName name="PagoRE" localSheetId="3">#REF!</definedName>
    <definedName name="PagoRE">#REF!</definedName>
    <definedName name="PARTICIPACION">[5]lista!$A$15:$A$17</definedName>
    <definedName name="PERFILES">'[12]Salarios de Ref'!$B$6:$B$120</definedName>
    <definedName name="pilares">[7]Tablas!$G$2:$G$6</definedName>
    <definedName name="PMCL" localSheetId="1">#REF!</definedName>
    <definedName name="PMCL" localSheetId="2">#REF!</definedName>
    <definedName name="PMCL" localSheetId="3">#REF!</definedName>
    <definedName name="PMCL">#REF!</definedName>
    <definedName name="Procedencia">[5]lista!$A$2:$A$3</definedName>
    <definedName name="Producto" localSheetId="1">#REF!</definedName>
    <definedName name="Producto" localSheetId="2">#REF!</definedName>
    <definedName name="Producto" localSheetId="3">#REF!</definedName>
    <definedName name="Producto">#REF!</definedName>
    <definedName name="productosdef">'[1]Precios Alimentos'!$A$5031:$A$5730</definedName>
    <definedName name="Profesional">[3]PERSONAL!$P$12</definedName>
    <definedName name="Promd_Administración" localSheetId="1">'[11]Costo Total'!#REF!</definedName>
    <definedName name="Promd_Administración" localSheetId="2">'[11]Costo Total'!#REF!</definedName>
    <definedName name="Promd_Administración" localSheetId="3">'[11]Costo Total'!#REF!</definedName>
    <definedName name="Promd_Administración">'[11]Costo Total'!#REF!</definedName>
    <definedName name="Promd_Adnimistración" localSheetId="1">'[11]Costo Total'!#REF!</definedName>
    <definedName name="Promd_Adnimistración" localSheetId="2">'[11]Costo Total'!#REF!</definedName>
    <definedName name="Promd_Adnimistración" localSheetId="3">'[11]Costo Total'!#REF!</definedName>
    <definedName name="Promd_Adnimistración">'[11]Costo Total'!#REF!</definedName>
    <definedName name="Promd_Imprevistos" localSheetId="1">'[11]Costo Total'!#REF!</definedName>
    <definedName name="Promd_Imprevistos" localSheetId="2">'[11]Costo Total'!#REF!</definedName>
    <definedName name="Promd_Imprevistos" localSheetId="3">'[11]Costo Total'!#REF!</definedName>
    <definedName name="Promd_Imprevistos">'[11]Costo Total'!#REF!</definedName>
    <definedName name="Promd_Utilidad" localSheetId="1">'[11]Costo Total'!#REF!</definedName>
    <definedName name="Promd_Utilidad" localSheetId="2">'[11]Costo Total'!#REF!</definedName>
    <definedName name="Promd_Utilidad" localSheetId="3">'[11]Costo Total'!#REF!</definedName>
    <definedName name="Promd_Utilidad">'[11]Costo Total'!#REF!</definedName>
    <definedName name="promedios" localSheetId="1">'[13]Proyección valor Lacteo MADR'!#REF!</definedName>
    <definedName name="promedios" localSheetId="2">'[13]Proyección valor Lacteo MADR'!#REF!</definedName>
    <definedName name="promedios" localSheetId="3">'[13]Proyección valor Lacteo MADR'!#REF!</definedName>
    <definedName name="promedios">'[13]Proyección valor Lacteo MADR'!#REF!</definedName>
    <definedName name="Proporcionalidad" localSheetId="1">'[6]Tal Humano'!#REF!</definedName>
    <definedName name="Proporcionalidad" localSheetId="2">'[6]Tal Humano'!#REF!</definedName>
    <definedName name="Proporcionalidad" localSheetId="3">'[6]Tal Humano'!#REF!</definedName>
    <definedName name="Proporcionalidad">'[6]Tal Humano'!#REF!</definedName>
    <definedName name="ProximoPension" localSheetId="1">#REF!</definedName>
    <definedName name="ProximoPension" localSheetId="2">#REF!</definedName>
    <definedName name="ProximoPension" localSheetId="3">#REF!</definedName>
    <definedName name="ProximoPension">#REF!</definedName>
    <definedName name="prueba" localSheetId="1">#REF!</definedName>
    <definedName name="prueba" localSheetId="2">#REF!</definedName>
    <definedName name="prueba" localSheetId="3">#REF!</definedName>
    <definedName name="prueba">#REF!</definedName>
    <definedName name="PUTUMAYO" localSheetId="1">#REF!</definedName>
    <definedName name="PUTUMAYO" localSheetId="2">#REF!</definedName>
    <definedName name="PUTUMAYO" localSheetId="3">#REF!</definedName>
    <definedName name="PUTUMAYO">#REF!</definedName>
    <definedName name="q" localSheetId="1">#REF!</definedName>
    <definedName name="q" localSheetId="2">#REF!</definedName>
    <definedName name="q" localSheetId="3">#REF!</definedName>
    <definedName name="q">#REF!</definedName>
    <definedName name="QUINDIO" localSheetId="1">#REF!</definedName>
    <definedName name="QUINDIO" localSheetId="2">#REF!</definedName>
    <definedName name="QUINDIO" localSheetId="3">#REF!</definedName>
    <definedName name="QUINDIO">#REF!</definedName>
    <definedName name="RANGO">[14]PILOTO!$A$2:$H$54</definedName>
    <definedName name="RECapacitacion" localSheetId="1">#REF!</definedName>
    <definedName name="RECapacitacion" localSheetId="2">#REF!</definedName>
    <definedName name="RECapacitacion" localSheetId="3">#REF!</definedName>
    <definedName name="RECapacitacion">#REF!</definedName>
    <definedName name="REContPrivada" localSheetId="1">#REF!</definedName>
    <definedName name="REContPrivada" localSheetId="2">#REF!</definedName>
    <definedName name="REContPrivada" localSheetId="3">#REF!</definedName>
    <definedName name="REContPrivada">#REF!</definedName>
    <definedName name="Reg" localSheetId="1">#REF!</definedName>
    <definedName name="Reg" localSheetId="2">#REF!</definedName>
    <definedName name="Reg" localSheetId="3">#REF!</definedName>
    <definedName name="Reg">#REF!</definedName>
    <definedName name="Regional" localSheetId="1">#REF!</definedName>
    <definedName name="Regional" localSheetId="2">#REF!</definedName>
    <definedName name="Regional" localSheetId="3">#REF!</definedName>
    <definedName name="Regional">#REF!</definedName>
    <definedName name="REGIONALCZ" localSheetId="1">#REF!</definedName>
    <definedName name="REGIONALCZ" localSheetId="2">#REF!</definedName>
    <definedName name="REGIONALCZ" localSheetId="3">#REF!</definedName>
    <definedName name="REGIONALCZ">#REF!</definedName>
    <definedName name="RegSeccional" localSheetId="1">#REF!</definedName>
    <definedName name="RegSeccional" localSheetId="2">#REF!</definedName>
    <definedName name="RegSeccional" localSheetId="3">#REF!</definedName>
    <definedName name="RegSeccional">#REF!</definedName>
    <definedName name="RISARALDA" localSheetId="1">#REF!</definedName>
    <definedName name="RISARALDA" localSheetId="2">#REF!</definedName>
    <definedName name="RISARALDA" localSheetId="3">#REF!</definedName>
    <definedName name="RISARALDA">#REF!</definedName>
    <definedName name="RURAL" localSheetId="1">#REF!</definedName>
    <definedName name="RURAL" localSheetId="2">#REF!</definedName>
    <definedName name="RURAL" localSheetId="3">#REF!</definedName>
    <definedName name="RURAL">#REF!</definedName>
    <definedName name="salariosref">'[11]Salarios de Referencia'!$B$7:$B$120</definedName>
    <definedName name="SalarioSuperora3SMLVMyProfesionalidad" localSheetId="1">#REF!</definedName>
    <definedName name="SalarioSuperora3SMLVMyProfesionalidad" localSheetId="2">#REF!</definedName>
    <definedName name="SalarioSuperora3SMLVMyProfesionalidad" localSheetId="3">#REF!</definedName>
    <definedName name="SalarioSuperora3SMLVMyProfesionalidad">#REF!</definedName>
    <definedName name="SAN_ANDRES" localSheetId="1">#REF!</definedName>
    <definedName name="SAN_ANDRES" localSheetId="2">#REF!</definedName>
    <definedName name="SAN_ANDRES" localSheetId="3">#REF!</definedName>
    <definedName name="SAN_ANDRES">#REF!</definedName>
    <definedName name="sanitario">[2]LISTAS!$F$3:$F$12</definedName>
    <definedName name="SANTANDER" localSheetId="1">#REF!</definedName>
    <definedName name="SANTANDER" localSheetId="2">#REF!</definedName>
    <definedName name="SANTANDER" localSheetId="3">#REF!</definedName>
    <definedName name="SANTANDER">#REF!</definedName>
    <definedName name="Seguimiento" localSheetId="1">#REF!</definedName>
    <definedName name="Seguimiento" localSheetId="2">#REF!</definedName>
    <definedName name="Seguimiento" localSheetId="3">#REF!</definedName>
    <definedName name="Seguimiento">#REF!</definedName>
    <definedName name="Sexo" localSheetId="1">#REF!</definedName>
    <definedName name="Sexo" localSheetId="2">#REF!</definedName>
    <definedName name="Sexo" localSheetId="3">#REF!</definedName>
    <definedName name="Sexo">#REF!</definedName>
    <definedName name="sininteres">[2]LISTAS!$E$69</definedName>
    <definedName name="SINO">[2]LISTAS!$H$13:$H$14</definedName>
    <definedName name="SSSS" localSheetId="1">#REF!</definedName>
    <definedName name="SSSS" localSheetId="2">#REF!</definedName>
    <definedName name="SSSS" localSheetId="3">#REF!</definedName>
    <definedName name="SSSS">#REF!</definedName>
    <definedName name="SUCRE" localSheetId="1">#REF!</definedName>
    <definedName name="SUCRE" localSheetId="2">#REF!</definedName>
    <definedName name="SUCRE" localSheetId="3">#REF!</definedName>
    <definedName name="SUCRE">#REF!</definedName>
    <definedName name="Sueldos" localSheetId="1">#REF!</definedName>
    <definedName name="Sueldos" localSheetId="2">#REF!</definedName>
    <definedName name="Sueldos" localSheetId="3">#REF!</definedName>
    <definedName name="Sueldos">#REF!</definedName>
    <definedName name="Tecnico">[3]PERSONAL!$P$34</definedName>
    <definedName name="Telefono" localSheetId="1">#REF!</definedName>
    <definedName name="Telefono" localSheetId="2">#REF!</definedName>
    <definedName name="Telefono" localSheetId="3">#REF!</definedName>
    <definedName name="Telefono">#REF!</definedName>
    <definedName name="tipo">[5]lista!$A$11:$A$13</definedName>
    <definedName name="TIPOCONT" localSheetId="1">#REF!</definedName>
    <definedName name="TIPOCONT" localSheetId="2">#REF!</definedName>
    <definedName name="TIPOCONT" localSheetId="3">#REF!</definedName>
    <definedName name="TIPOCONT">#REF!</definedName>
    <definedName name="tipodeanalisis">'[1]Analisis microbiologico'!$A$110:$A$182</definedName>
    <definedName name="TipoEmpresa" localSheetId="1">#REF!</definedName>
    <definedName name="TipoEmpresa" localSheetId="2">#REF!</definedName>
    <definedName name="TipoEmpresa" localSheetId="3">#REF!</definedName>
    <definedName name="TipoEmpresa">#REF!</definedName>
    <definedName name="TIPOOPERADOR" localSheetId="1">#REF!</definedName>
    <definedName name="TIPOOPERADOR" localSheetId="2">#REF!</definedName>
    <definedName name="TIPOOPERADOR" localSheetId="3">#REF!</definedName>
    <definedName name="TIPOOPERADOR">#REF!</definedName>
    <definedName name="_xlnm.Print_Titles" localSheetId="1">'2. Mod. Inst. CDI, HI Y LP'!$2:$3</definedName>
    <definedName name="_xlnm.Print_Titles" localSheetId="2">'3. Servicios de HCB '!$2:$3</definedName>
    <definedName name="_xlnm.Print_Titles" localSheetId="3">'4. Mod. Familiar DIMF'!$2:$3</definedName>
    <definedName name="TOLIMA" localSheetId="1">#REF!</definedName>
    <definedName name="TOLIMA" localSheetId="2">#REF!</definedName>
    <definedName name="TOLIMA" localSheetId="3">#REF!</definedName>
    <definedName name="TOLIMA">#REF!</definedName>
    <definedName name="TotalContratoSinIVA" localSheetId="1">#REF!</definedName>
    <definedName name="TotalContratoSinIVA" localSheetId="2">#REF!</definedName>
    <definedName name="TotalContratoSinIVA" localSheetId="3">#REF!</definedName>
    <definedName name="TotalContratoSinIVA">#REF!</definedName>
    <definedName name="TotalImpuestosObra">[3]IMPUESTOS!$F$10</definedName>
    <definedName name="Tramite">[3]PERSONAL!$P$88</definedName>
    <definedName name="UNIDADMOBIL" localSheetId="1">#REF!</definedName>
    <definedName name="UNIDADMOBIL" localSheetId="2">#REF!</definedName>
    <definedName name="UNIDADMOBIL" localSheetId="3">#REF!</definedName>
    <definedName name="UNIDADMOBIL">#REF!</definedName>
    <definedName name="URBANA" localSheetId="1">#REF!</definedName>
    <definedName name="URBANA" localSheetId="2">#REF!</definedName>
    <definedName name="URBANA" localSheetId="3">#REF!</definedName>
    <definedName name="URBANA">#REF!</definedName>
    <definedName name="VALLE_DEL_CAUCA" localSheetId="1">#REF!</definedName>
    <definedName name="VALLE_DEL_CAUCA" localSheetId="2">#REF!</definedName>
    <definedName name="VALLE_DEL_CAUCA" localSheetId="3">#REF!</definedName>
    <definedName name="VALLE_DEL_CAUCA">#REF!</definedName>
    <definedName name="VAUPES" localSheetId="1">#REF!</definedName>
    <definedName name="VAUPES" localSheetId="2">#REF!</definedName>
    <definedName name="VAUPES" localSheetId="3">#REF!</definedName>
    <definedName name="VAUPES">#REF!</definedName>
    <definedName name="Viajes">[3]PERSONAL!$P$93</definedName>
    <definedName name="VICHADA" localSheetId="1">#REF!</definedName>
    <definedName name="VICHADA" localSheetId="2">#REF!</definedName>
    <definedName name="VICHADA" localSheetId="3">#REF!</definedName>
    <definedName name="VICHADA">#REF!</definedName>
    <definedName name="Visita">[2]LISTAS!$F$2:$F$32</definedName>
    <definedName name="x">[15]lista!$A$11:$A$13</definedName>
    <definedName name="ZZ">[16]Listas!$B$2:$B$34</definedName>
    <definedName name="zzz">[16]Listas!$B$2:$B$34</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1" l="1"/>
  <c r="F31" i="1"/>
  <c r="F32" i="1"/>
  <c r="H21" i="1" l="1"/>
  <c r="H19" i="1"/>
  <c r="H18" i="1"/>
  <c r="H16" i="1"/>
  <c r="H15" i="1"/>
  <c r="H14" i="1"/>
  <c r="H13" i="1"/>
  <c r="H12" i="1"/>
  <c r="H17" i="1"/>
  <c r="H22" i="1"/>
  <c r="H11" i="1"/>
  <c r="Q35" i="7" l="1"/>
  <c r="Q34" i="7"/>
  <c r="Q29" i="7"/>
  <c r="Q19" i="7"/>
  <c r="Q18" i="7"/>
  <c r="Q4" i="7"/>
  <c r="Q3" i="7"/>
  <c r="N35" i="7"/>
  <c r="N34" i="7"/>
  <c r="N29" i="7"/>
  <c r="N19" i="7"/>
  <c r="N12" i="7"/>
  <c r="H19" i="7"/>
  <c r="H18" i="7"/>
  <c r="H35" i="7"/>
  <c r="H34" i="7"/>
  <c r="H29" i="7"/>
  <c r="H28" i="7"/>
  <c r="H27" i="7"/>
  <c r="H23" i="7"/>
  <c r="H12" i="7"/>
  <c r="H11" i="7"/>
  <c r="H5" i="7"/>
  <c r="C36" i="7" l="1"/>
  <c r="D36" i="7"/>
  <c r="E36" i="7"/>
  <c r="F36" i="7"/>
  <c r="G36" i="7"/>
  <c r="I36" i="7"/>
  <c r="J36" i="7"/>
  <c r="K36" i="7"/>
  <c r="L36" i="7"/>
  <c r="M36" i="7"/>
  <c r="O36" i="7"/>
  <c r="P36" i="7"/>
  <c r="B36" i="7"/>
  <c r="Q5" i="7"/>
  <c r="Q6" i="7"/>
  <c r="Q7" i="7"/>
  <c r="Q8" i="7"/>
  <c r="Q9" i="7"/>
  <c r="Q10" i="7"/>
  <c r="Q11" i="7"/>
  <c r="Q12" i="7"/>
  <c r="Q13" i="7"/>
  <c r="Q14" i="7"/>
  <c r="Q15" i="7"/>
  <c r="Q16" i="7"/>
  <c r="Q17" i="7"/>
  <c r="Q20" i="7"/>
  <c r="Q21" i="7"/>
  <c r="Q22" i="7"/>
  <c r="Q23" i="7"/>
  <c r="Q24" i="7"/>
  <c r="Q25" i="7"/>
  <c r="Q26" i="7"/>
  <c r="Q27" i="7"/>
  <c r="Q28" i="7"/>
  <c r="Q30" i="7"/>
  <c r="Q31" i="7"/>
  <c r="Q32" i="7"/>
  <c r="Q33" i="7"/>
  <c r="N4" i="7"/>
  <c r="N5" i="7"/>
  <c r="N6" i="7"/>
  <c r="N7" i="7"/>
  <c r="N8" i="7"/>
  <c r="N9" i="7"/>
  <c r="N10" i="7"/>
  <c r="N11" i="7"/>
  <c r="N13" i="7"/>
  <c r="N14" i="7"/>
  <c r="N15" i="7"/>
  <c r="N16" i="7"/>
  <c r="N17" i="7"/>
  <c r="N18" i="7"/>
  <c r="R19" i="7"/>
  <c r="N20" i="7"/>
  <c r="N21" i="7"/>
  <c r="N22" i="7"/>
  <c r="N23" i="7"/>
  <c r="R23" i="7" s="1"/>
  <c r="N24" i="7"/>
  <c r="N25" i="7"/>
  <c r="N26" i="7"/>
  <c r="N27" i="7"/>
  <c r="R27" i="7" s="1"/>
  <c r="N28" i="7"/>
  <c r="N30" i="7"/>
  <c r="N31" i="7"/>
  <c r="N32" i="7"/>
  <c r="N33" i="7"/>
  <c r="R35" i="7"/>
  <c r="N3" i="7"/>
  <c r="H4" i="7"/>
  <c r="H6" i="7"/>
  <c r="H7" i="7"/>
  <c r="H8" i="7"/>
  <c r="H9" i="7"/>
  <c r="H10" i="7"/>
  <c r="R12" i="7"/>
  <c r="H13" i="7"/>
  <c r="H14" i="7"/>
  <c r="H15" i="7"/>
  <c r="H16" i="7"/>
  <c r="R16" i="7" s="1"/>
  <c r="H17" i="7"/>
  <c r="H20" i="7"/>
  <c r="H21" i="7"/>
  <c r="H22" i="7"/>
  <c r="H24" i="7"/>
  <c r="H25" i="7"/>
  <c r="H26" i="7"/>
  <c r="R28" i="7"/>
  <c r="H30" i="7"/>
  <c r="H31" i="7"/>
  <c r="H32" i="7"/>
  <c r="H33" i="7"/>
  <c r="H3" i="7"/>
  <c r="R32" i="7" l="1"/>
  <c r="R20" i="7"/>
  <c r="R24" i="7"/>
  <c r="R3" i="7"/>
  <c r="R11" i="7"/>
  <c r="R4" i="7"/>
  <c r="R8" i="7"/>
  <c r="R29" i="7"/>
  <c r="R17" i="7"/>
  <c r="R5" i="7"/>
  <c r="N36" i="7"/>
  <c r="R33" i="7"/>
  <c r="R21" i="7"/>
  <c r="R13" i="7"/>
  <c r="R31" i="7"/>
  <c r="R15" i="7"/>
  <c r="R7" i="7"/>
  <c r="R25" i="7"/>
  <c r="R9" i="7"/>
  <c r="R34" i="7"/>
  <c r="R30" i="7"/>
  <c r="R26" i="7"/>
  <c r="R22" i="7"/>
  <c r="R18" i="7"/>
  <c r="R14" i="7"/>
  <c r="R10" i="7"/>
  <c r="R6" i="7"/>
  <c r="H36" i="7"/>
  <c r="Q36" i="7"/>
  <c r="F51" i="10"/>
  <c r="F50" i="10"/>
  <c r="F49" i="10"/>
  <c r="F48" i="10"/>
  <c r="F47" i="10"/>
  <c r="F46" i="10"/>
  <c r="F45" i="10"/>
  <c r="F44" i="10"/>
  <c r="F43" i="10"/>
  <c r="F42" i="10"/>
  <c r="F41" i="10"/>
  <c r="F40" i="10"/>
  <c r="F39" i="10"/>
  <c r="F38" i="10"/>
  <c r="F37" i="10"/>
  <c r="F36" i="10"/>
  <c r="F35" i="10"/>
  <c r="F34" i="10"/>
  <c r="F33" i="10"/>
  <c r="A33" i="10"/>
  <c r="A34" i="10" s="1"/>
  <c r="A35" i="10" s="1"/>
  <c r="A36" i="10" s="1"/>
  <c r="A37" i="10" s="1"/>
  <c r="A38" i="10" s="1"/>
  <c r="A39" i="10" s="1"/>
  <c r="A40" i="10" s="1"/>
  <c r="A41" i="10" s="1"/>
  <c r="A42" i="10" s="1"/>
  <c r="A43" i="10" s="1"/>
  <c r="A44" i="10" s="1"/>
  <c r="A45" i="10" s="1"/>
  <c r="A46" i="10" s="1"/>
  <c r="A47" i="10" s="1"/>
  <c r="A48" i="10" s="1"/>
  <c r="A49" i="10" s="1"/>
  <c r="A50" i="10" s="1"/>
  <c r="A51" i="10" s="1"/>
  <c r="F32" i="10"/>
  <c r="F30" i="10"/>
  <c r="F29" i="10"/>
  <c r="F28" i="10"/>
  <c r="F27" i="10"/>
  <c r="F26" i="10"/>
  <c r="F25" i="10"/>
  <c r="F24" i="10"/>
  <c r="F23" i="10"/>
  <c r="F22" i="10"/>
  <c r="F21" i="10"/>
  <c r="F20" i="10"/>
  <c r="F19" i="10"/>
  <c r="AO18" i="10"/>
  <c r="F18" i="10"/>
  <c r="AO17" i="10"/>
  <c r="F17" i="10"/>
  <c r="AO16" i="10"/>
  <c r="F16" i="10"/>
  <c r="AO15" i="10"/>
  <c r="F15" i="10"/>
  <c r="AO14" i="10"/>
  <c r="F14" i="10"/>
  <c r="AO13" i="10"/>
  <c r="F13" i="10"/>
  <c r="AO12" i="10"/>
  <c r="F12" i="10"/>
  <c r="A12" i="10"/>
  <c r="A13" i="10" s="1"/>
  <c r="A14" i="10" s="1"/>
  <c r="A15" i="10" s="1"/>
  <c r="A16" i="10" s="1"/>
  <c r="A17" i="10" s="1"/>
  <c r="A18" i="10" s="1"/>
  <c r="A19" i="10" s="1"/>
  <c r="A20" i="10" s="1"/>
  <c r="A21" i="10" s="1"/>
  <c r="A22" i="10" s="1"/>
  <c r="A23" i="10" s="1"/>
  <c r="A24" i="10" s="1"/>
  <c r="A25" i="10" s="1"/>
  <c r="A26" i="10" s="1"/>
  <c r="A27" i="10" s="1"/>
  <c r="A28" i="10" s="1"/>
  <c r="A29" i="10" s="1"/>
  <c r="A30" i="10" s="1"/>
  <c r="AO11" i="10"/>
  <c r="F11" i="10"/>
  <c r="AO10" i="10"/>
  <c r="AO9" i="10"/>
  <c r="F9" i="10"/>
  <c r="AO8" i="10"/>
  <c r="F8" i="10"/>
  <c r="AO7" i="10"/>
  <c r="F7" i="10"/>
  <c r="AO6" i="10"/>
  <c r="F6" i="10"/>
  <c r="AO5" i="10"/>
  <c r="F5" i="10"/>
  <c r="A5" i="10"/>
  <c r="A6" i="10" s="1"/>
  <c r="A7" i="10" s="1"/>
  <c r="A8" i="10" s="1"/>
  <c r="A9" i="10" s="1"/>
  <c r="AO4" i="10"/>
  <c r="AO3" i="10"/>
  <c r="F4" i="10" s="1"/>
  <c r="AO10" i="9"/>
  <c r="AO11" i="9"/>
  <c r="A12" i="9"/>
  <c r="A13" i="9" s="1"/>
  <c r="A14" i="9" s="1"/>
  <c r="A15" i="9" s="1"/>
  <c r="A16" i="9" s="1"/>
  <c r="A17" i="9" s="1"/>
  <c r="A18" i="9" s="1"/>
  <c r="A19" i="9" s="1"/>
  <c r="A20" i="9" s="1"/>
  <c r="A21" i="9" s="1"/>
  <c r="A22" i="9" s="1"/>
  <c r="A23" i="9" s="1"/>
  <c r="A24" i="9" s="1"/>
  <c r="A25" i="9" s="1"/>
  <c r="A26" i="9" s="1"/>
  <c r="A27" i="9" s="1"/>
  <c r="A28" i="9" s="1"/>
  <c r="A29" i="9" s="1"/>
  <c r="A30" i="9" s="1"/>
  <c r="AO12" i="9"/>
  <c r="F13" i="9"/>
  <c r="AO13" i="9"/>
  <c r="AO14" i="9"/>
  <c r="F15" i="9"/>
  <c r="AO15" i="9"/>
  <c r="AO16" i="9"/>
  <c r="F17" i="9"/>
  <c r="AO17" i="9"/>
  <c r="AO18" i="9"/>
  <c r="F19" i="9"/>
  <c r="F23" i="9"/>
  <c r="F27" i="9"/>
  <c r="AO9" i="9"/>
  <c r="F9" i="9"/>
  <c r="AO8" i="9"/>
  <c r="F8" i="9"/>
  <c r="AO7" i="9"/>
  <c r="F7" i="9"/>
  <c r="AO6" i="9"/>
  <c r="F20" i="9" s="1"/>
  <c r="F6" i="9"/>
  <c r="AO5" i="9"/>
  <c r="F5" i="9"/>
  <c r="A5" i="9"/>
  <c r="A6" i="9" s="1"/>
  <c r="A7" i="9" s="1"/>
  <c r="A8" i="9" s="1"/>
  <c r="A9" i="9" s="1"/>
  <c r="AO4" i="9"/>
  <c r="AO3" i="9"/>
  <c r="F4" i="9" s="1"/>
  <c r="F30" i="9" l="1"/>
  <c r="F26" i="9"/>
  <c r="F22" i="9"/>
  <c r="F11" i="9"/>
  <c r="F29" i="9"/>
  <c r="F25" i="9"/>
  <c r="F21" i="9"/>
  <c r="F18" i="9"/>
  <c r="F16" i="9"/>
  <c r="F14" i="9"/>
  <c r="F12" i="9"/>
  <c r="F28" i="9"/>
  <c r="F24" i="9"/>
  <c r="R36" i="7"/>
  <c r="F74" i="1"/>
  <c r="F73" i="1"/>
  <c r="F72" i="1"/>
  <c r="F71" i="1"/>
  <c r="F70" i="1"/>
  <c r="F69" i="1"/>
  <c r="F68" i="1"/>
  <c r="F67" i="1"/>
  <c r="F66" i="1"/>
  <c r="F65" i="1"/>
  <c r="F64" i="1"/>
  <c r="F63" i="1"/>
  <c r="F62" i="1"/>
  <c r="F61" i="1"/>
  <c r="F60" i="1"/>
  <c r="F56" i="1"/>
  <c r="F54" i="1"/>
  <c r="F53" i="1"/>
  <c r="F52" i="1"/>
  <c r="F51" i="1"/>
  <c r="F50" i="1"/>
  <c r="F49" i="1"/>
  <c r="F46" i="1"/>
  <c r="F45" i="1"/>
  <c r="F44" i="1"/>
  <c r="F43" i="1"/>
  <c r="F42" i="1"/>
  <c r="F41" i="1"/>
  <c r="F40" i="1"/>
  <c r="F39" i="1"/>
  <c r="F38" i="1"/>
  <c r="F37" i="1"/>
  <c r="F35" i="1"/>
  <c r="F33" i="1"/>
  <c r="F29" i="1"/>
  <c r="F28" i="1"/>
  <c r="F27" i="1"/>
  <c r="F26" i="1"/>
  <c r="F25" i="1"/>
  <c r="F24" i="1"/>
  <c r="F23" i="1"/>
  <c r="F22" i="1"/>
  <c r="F21" i="1"/>
  <c r="F20" i="1"/>
  <c r="F19" i="1"/>
  <c r="F18" i="1"/>
  <c r="F17" i="1"/>
  <c r="F16" i="1"/>
  <c r="F15" i="1"/>
  <c r="F14" i="1"/>
  <c r="F13" i="1"/>
  <c r="F12" i="1"/>
  <c r="F11" i="1"/>
  <c r="F9" i="1"/>
  <c r="F8" i="1"/>
  <c r="F7" i="1"/>
  <c r="F6" i="1"/>
  <c r="F5" i="1"/>
  <c r="AO18" i="1"/>
  <c r="AO17" i="1"/>
  <c r="AO16" i="1"/>
  <c r="AO15" i="1"/>
  <c r="AO14" i="1"/>
  <c r="AO13" i="1"/>
  <c r="AO12" i="1"/>
  <c r="AO11" i="1"/>
  <c r="AO10" i="1"/>
  <c r="AO9" i="1"/>
  <c r="AO8" i="1"/>
  <c r="AO7" i="1"/>
  <c r="AO6" i="1"/>
  <c r="F47" i="1" s="1"/>
  <c r="AO5" i="1"/>
  <c r="AO4" i="1"/>
  <c r="F59" i="1" s="1"/>
  <c r="AO3" i="1"/>
  <c r="F4" i="1" s="1"/>
  <c r="F58" i="1" l="1"/>
  <c r="F48" i="1"/>
  <c r="F57" i="1"/>
  <c r="F36" i="1"/>
  <c r="A57" i="1"/>
  <c r="A58" i="1" s="1"/>
  <c r="A60" i="1" s="1"/>
  <c r="A61" i="1" s="1"/>
  <c r="A62" i="1" s="1"/>
  <c r="A63" i="1" s="1"/>
  <c r="A64" i="1" s="1"/>
  <c r="A65" i="1" s="1"/>
  <c r="A66" i="1" s="1"/>
  <c r="A67" i="1" s="1"/>
  <c r="A68" i="1" s="1"/>
  <c r="A69" i="1" s="1"/>
  <c r="A70" i="1" s="1"/>
  <c r="A71" i="1" s="1"/>
  <c r="A72" i="1" s="1"/>
  <c r="A73" i="1" s="1"/>
  <c r="A74" i="1" s="1"/>
  <c r="A36" i="1"/>
  <c r="A37" i="1" s="1"/>
  <c r="A38" i="1" s="1"/>
  <c r="A39" i="1" s="1"/>
  <c r="A40" i="1" s="1"/>
  <c r="A41" i="1" s="1"/>
  <c r="A42" i="1" s="1"/>
  <c r="A43" i="1" s="1"/>
  <c r="A44" i="1" s="1"/>
  <c r="A45" i="1" s="1"/>
  <c r="A46" i="1" s="1"/>
  <c r="A47" i="1" s="1"/>
  <c r="A48" i="1" s="1"/>
  <c r="A49" i="1" s="1"/>
  <c r="A50" i="1" s="1"/>
  <c r="A51" i="1" s="1"/>
  <c r="A52" i="1" s="1"/>
  <c r="A53" i="1" s="1"/>
  <c r="A54" i="1" s="1"/>
  <c r="A12" i="1"/>
  <c r="A13" i="1" s="1"/>
  <c r="A14" i="1" s="1"/>
  <c r="A15" i="1" s="1"/>
  <c r="A16" i="1" s="1"/>
  <c r="A17" i="1" s="1"/>
  <c r="A18" i="1" s="1"/>
  <c r="A19" i="1" s="1"/>
  <c r="A20" i="1" s="1"/>
  <c r="A21" i="1" s="1"/>
  <c r="A22" i="1" s="1"/>
  <c r="A23" i="1" s="1"/>
  <c r="A24" i="1" s="1"/>
  <c r="A25" i="1" s="1"/>
  <c r="A26" i="1" s="1"/>
  <c r="A27" i="1" s="1"/>
  <c r="A28" i="1" s="1"/>
  <c r="A29" i="1" s="1"/>
  <c r="A33" i="1" s="1"/>
  <c r="A5" i="1"/>
  <c r="A6" i="1" s="1"/>
  <c r="A7" i="1" s="1"/>
  <c r="A8" i="1" s="1"/>
  <c r="A9" i="1" s="1"/>
</calcChain>
</file>

<file path=xl/comments1.xml><?xml version="1.0" encoding="utf-8"?>
<comments xmlns="http://schemas.openxmlformats.org/spreadsheetml/2006/main">
  <authors>
    <author>Catherine Angelica Cuenca Gomez</author>
    <author>Gabriel</author>
  </authors>
  <commentList>
    <comment ref="C3" authorId="0" shapeId="0">
      <text>
        <r>
          <rPr>
            <sz val="9"/>
            <color indexed="81"/>
            <rFont val="Tahoma"/>
            <family val="2"/>
          </rPr>
          <t>Diligenciar el número de niños y niñas beneficiarios de la UDS</t>
        </r>
      </text>
    </comment>
    <comment ref="E3"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1" shapeId="0">
      <text>
        <r>
          <rPr>
            <sz val="9"/>
            <color indexed="81"/>
            <rFont val="Tahoma"/>
            <family val="2"/>
          </rPr>
          <t>Para servicios públicos indicar si es facturación mensual, bimestral, etc.</t>
        </r>
      </text>
    </comment>
    <comment ref="E10" authorId="1" shapeId="0">
      <text>
        <r>
          <rPr>
            <sz val="9"/>
            <color indexed="81"/>
            <rFont val="Tahoma"/>
            <family val="2"/>
          </rPr>
          <t xml:space="preserve">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1" shapeId="0">
      <text>
        <r>
          <rPr>
            <sz val="9"/>
            <color indexed="81"/>
            <rFont val="Tahoma"/>
            <family val="2"/>
          </rPr>
          <t>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t>
        </r>
      </text>
    </comment>
    <comment ref="E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4"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55" authorId="1"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2.xml><?xml version="1.0" encoding="utf-8"?>
<comments xmlns="http://schemas.openxmlformats.org/spreadsheetml/2006/main">
  <authors>
    <author>Gabriel</author>
    <author>Catherine Angelica Cuenca Gomez</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C3" authorId="1" shapeId="0">
      <text>
        <r>
          <rPr>
            <sz val="9"/>
            <color indexed="81"/>
            <rFont val="Tahoma"/>
            <family val="2"/>
          </rPr>
          <t xml:space="preserve">Diligenciar el número de niños y niñas beneficiarios de la UDS
</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Para servicios públicos indicar si es facturación mensual, bimestral, etc.</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comments3.xml><?xml version="1.0" encoding="utf-8"?>
<comments xmlns="http://schemas.openxmlformats.org/spreadsheetml/2006/main">
  <authors>
    <author>Gabriel</author>
  </authors>
  <commentList>
    <comment ref="C2" authorId="0" shapeId="0">
      <text>
        <r>
          <rPr>
            <b/>
            <sz val="9"/>
            <color indexed="81"/>
            <rFont val="Tahoma"/>
            <family val="2"/>
          </rPr>
          <t>Gabriel:</t>
        </r>
        <r>
          <rPr>
            <sz val="9"/>
            <color indexed="81"/>
            <rFont val="Tahoma"/>
            <family val="2"/>
          </rPr>
          <t xml:space="preserve">
Indicar para cuantos niños alcanza</t>
        </r>
      </text>
    </comment>
    <comment ref="E3"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 authorId="0" shapeId="0">
      <text>
        <r>
          <rPr>
            <b/>
            <sz val="9"/>
            <color indexed="81"/>
            <rFont val="Tahoma"/>
            <family val="2"/>
          </rPr>
          <t>Gabriel:</t>
        </r>
        <r>
          <rPr>
            <sz val="9"/>
            <color indexed="81"/>
            <rFont val="Tahoma"/>
            <family val="2"/>
          </rPr>
          <t xml:space="preserve">
Para servicios públicos indicar si es facturación mensual, bimestral, etc.
</t>
        </r>
      </text>
    </comment>
    <comment ref="E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10"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 ref="E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 un cepillo de dientes por niño cada tres meses
Se entrega un galón de hipoclorito por unidad de servicio cada mes
</t>
        </r>
      </text>
    </comment>
    <comment ref="G31" authorId="0" shapeId="0">
      <text>
        <r>
          <rPr>
            <b/>
            <sz val="9"/>
            <color indexed="81"/>
            <rFont val="Tahoma"/>
            <family val="2"/>
          </rPr>
          <t>Gabriel:</t>
        </r>
        <r>
          <rPr>
            <sz val="9"/>
            <color indexed="81"/>
            <rFont val="Tahoma"/>
            <family val="2"/>
          </rPr>
          <t xml:space="preserve">
Para servicios públicos indicar si es facturación mensual, bimestral, etc.
Para Dotación de consumo, Aseo Personal y Elementos de Aseo: indicar la periodicidad de entrega del elemento. Por ejemplo: Se entregan 10 barras de plástilina por aula cada mes. 
Se entregan un cepillo de dientes por niño cada tres meses
Se entrega un galn de hipoclorito al mes por unidad de servicio
</t>
        </r>
      </text>
    </comment>
  </commentList>
</comments>
</file>

<file path=xl/sharedStrings.xml><?xml version="1.0" encoding="utf-8"?>
<sst xmlns="http://schemas.openxmlformats.org/spreadsheetml/2006/main" count="450" uniqueCount="205">
  <si>
    <t>AMAZONAS</t>
  </si>
  <si>
    <t>CDI CON ARRIENDO - INSTITUCIONAL INTEGRAL</t>
  </si>
  <si>
    <t>CDI SIN ARRIENDO -  INSTITUCIONAL INTEGRAL</t>
  </si>
  <si>
    <t>DESARROLLO INFANTIL EN MEDIO FAMILIAR CON ARRIENDO - FAMILIAR INTEGRAL</t>
  </si>
  <si>
    <t>ANTIOQUIA</t>
  </si>
  <si>
    <t>ATENCIÓN A NIÑOS HASTA LOS 3 AÑOS EN ESTABLECIMIENTOS DE RECLUSIÓN A MUJERES INTEGRAL</t>
  </si>
  <si>
    <t>HCB  AGRUPADOS -INSTITUCIONAL TRADICIONAL</t>
  </si>
  <si>
    <t>HCB FAMI-FAMILIAR TRADICIONAL</t>
  </si>
  <si>
    <t>HCB TRADICIONAL- COMUNITARIO (T)</t>
  </si>
  <si>
    <t>HOGARES EMPRESARIALES - INSTITUCIONAL INTEGRAL</t>
  </si>
  <si>
    <t>HOGARES INFANTILES - INSTITUCIONAL INTEGRAL</t>
  </si>
  <si>
    <t>JARDINES SOCIALES - INSTITUCIONAL INTEGRAL</t>
  </si>
  <si>
    <t>ARAUCA</t>
  </si>
  <si>
    <t>ATLANTICO</t>
  </si>
  <si>
    <t>HOGARES MULTIPLES - INSTITUCIONAL INTEGRAL</t>
  </si>
  <si>
    <t>BOGOTA</t>
  </si>
  <si>
    <t>BOLIVAR</t>
  </si>
  <si>
    <t>BOYACA</t>
  </si>
  <si>
    <t>CALDAS</t>
  </si>
  <si>
    <t>CAQUETA</t>
  </si>
  <si>
    <t>CASANARE</t>
  </si>
  <si>
    <t>CAUCA</t>
  </si>
  <si>
    <t>CESAR</t>
  </si>
  <si>
    <t>CHOCO</t>
  </si>
  <si>
    <t>CORDOBA</t>
  </si>
  <si>
    <t>CUNDINAMARCA</t>
  </si>
  <si>
    <t>GUAINIA</t>
  </si>
  <si>
    <t>GUAVIARE</t>
  </si>
  <si>
    <t>HUILA</t>
  </si>
  <si>
    <t>LA GUAJIRA</t>
  </si>
  <si>
    <t>MAGDALENA</t>
  </si>
  <si>
    <t>META</t>
  </si>
  <si>
    <t>NARIÑO</t>
  </si>
  <si>
    <t>NORTE DE SANTANDER</t>
  </si>
  <si>
    <t>PUTUMAYO</t>
  </si>
  <si>
    <t>QUINDIO</t>
  </si>
  <si>
    <t>RISARALDA</t>
  </si>
  <si>
    <t>SAN ANDRES</t>
  </si>
  <si>
    <t>SANTANDER</t>
  </si>
  <si>
    <t>SUCRE</t>
  </si>
  <si>
    <t>TOLIMA</t>
  </si>
  <si>
    <t>VALLE DEL CAUCA</t>
  </si>
  <si>
    <t>VAUPES</t>
  </si>
  <si>
    <t>VICHADA</t>
  </si>
  <si>
    <t>REGIONAL</t>
  </si>
  <si>
    <t>Decripción</t>
  </si>
  <si>
    <t>Serv. Publicos</t>
  </si>
  <si>
    <t>Acueducto y alcantarillado</t>
  </si>
  <si>
    <t>Energía</t>
  </si>
  <si>
    <t>Teléfono fijo</t>
  </si>
  <si>
    <t>Celular</t>
  </si>
  <si>
    <t>Gas</t>
  </si>
  <si>
    <t>Otro</t>
  </si>
  <si>
    <t>Unidad de medida</t>
  </si>
  <si>
    <t>Dotación de aseo personal</t>
  </si>
  <si>
    <t>Precio o valor
(unitario)
(IVA incluido)</t>
  </si>
  <si>
    <t>Periodicidad
 de 
suministro</t>
  </si>
  <si>
    <t>Semanalmente</t>
  </si>
  <si>
    <t>Mensual</t>
  </si>
  <si>
    <t>Bimestral</t>
  </si>
  <si>
    <t>Trimestral</t>
  </si>
  <si>
    <t>Cuatrimestral</t>
  </si>
  <si>
    <t>Semestral</t>
  </si>
  <si>
    <t>Cada 7 Meses</t>
  </si>
  <si>
    <t>Cada 8 Meses</t>
  </si>
  <si>
    <t>Cada 9 Meses</t>
  </si>
  <si>
    <t>Cada 10 Meses</t>
  </si>
  <si>
    <t>Cada 11 Meses</t>
  </si>
  <si>
    <t>Anual</t>
  </si>
  <si>
    <t>Cada 2 Años</t>
  </si>
  <si>
    <t>Cada 3 Años</t>
  </si>
  <si>
    <t>Cada 4 Años</t>
  </si>
  <si>
    <t>Cada 5 Años</t>
  </si>
  <si>
    <t>Cada 10 Años</t>
  </si>
  <si>
    <t>Cada 20 Años</t>
  </si>
  <si>
    <t>Veces
/año</t>
  </si>
  <si>
    <r>
      <t xml:space="preserve">Dotación de consumo </t>
    </r>
    <r>
      <rPr>
        <b/>
        <sz val="8"/>
        <rFont val="Arial"/>
        <family val="2"/>
      </rPr>
      <t>(Material didáctico para actividades pedagógicas de acuerdo con lo establecido en lineamientos técnicos y papelería)</t>
    </r>
  </si>
  <si>
    <r>
      <t xml:space="preserve">Mantenimiento y adecuaciones </t>
    </r>
    <r>
      <rPr>
        <b/>
        <sz val="8"/>
        <rFont val="Arial"/>
        <family val="2"/>
      </rPr>
      <t>(Elementos de aseo institucional, mantenimiento de la sede, el control de agua (lavado de tanques), fumigaciones, manejo de basuras y control de plagas)</t>
    </r>
  </si>
  <si>
    <t>Dotación de aseo personal e Institucional</t>
  </si>
  <si>
    <t>MODALIDAD FAMILIAR (Desarrollo Infantil en Medio Familiar)</t>
  </si>
  <si>
    <t>DESARROLLO INFANTIL EN MEDIO FAMILIAR - FAMILIAR INTEGRAL</t>
  </si>
  <si>
    <t>LACTANTES Y PREESCOLARES - INSTITUCIONAL INTEGRAL</t>
  </si>
  <si>
    <t>MUESTRA</t>
  </si>
  <si>
    <t>CAPACIDAD UDS / DESCRIPCIÓN</t>
  </si>
  <si>
    <t>VALORES</t>
  </si>
  <si>
    <t>MODALIDAD INSTITUCIONAL (CDI y HI, ATENCIÓN A NIÑOS HASTA LOS 3 AÑOS EN ESTABLECIMIENTOS DE RECLUSIÓN A MUJERES INTEGRAL, HOGARES EMPRESARIALES, LACTANTES Y PRESESCOLARES)</t>
  </si>
  <si>
    <t>SERVICIOS QUE FUNCIONAN CON CANASTA HCB
MODALIDAD INSTITUCIONAL (Jardines Sociales, Múltiples)
MODALIDAD COMUNITARIA ( Familiar, Agrupado)
MODALIDAD FAMILIAR (HCB Fami)</t>
  </si>
  <si>
    <t>TOTAL</t>
  </si>
  <si>
    <t>Cantidad</t>
  </si>
  <si>
    <t>JABON FAB</t>
  </si>
  <si>
    <t>LIMPIDO</t>
  </si>
  <si>
    <t>SABRAS</t>
  </si>
  <si>
    <t>VINILOS</t>
  </si>
  <si>
    <t>PLASTILINA</t>
  </si>
  <si>
    <t>CRAYOLAS</t>
  </si>
  <si>
    <t>CARTULINA</t>
  </si>
  <si>
    <t>PAPEL IRIS</t>
  </si>
  <si>
    <t>PAPEL SEDA</t>
  </si>
  <si>
    <t>PAPEL SILIETA</t>
  </si>
  <si>
    <t>BLOCK OFICIO</t>
  </si>
  <si>
    <t>COLBON</t>
  </si>
  <si>
    <t>PAPEL CRAK</t>
  </si>
  <si>
    <t>CATON PAJA</t>
  </si>
  <si>
    <t>HICOPOR</t>
  </si>
  <si>
    <t>1 FRASCO POR CADA 5 NIÑOS</t>
  </si>
  <si>
    <t>1 CAJA  PARA CINCO NIÑOS</t>
  </si>
  <si>
    <t>2 CAJA  PARA CINCO NIÑOS</t>
  </si>
  <si>
    <t>1 PLIEGO PARA 4 NIÑOS</t>
  </si>
  <si>
    <t>1 CUADERNILLO PARA 15 NIÑOS</t>
  </si>
  <si>
    <t>1 PLIEGO PARA CADA NIÑO</t>
  </si>
  <si>
    <t>2 PLIEGO PARA CADA NIÑO</t>
  </si>
  <si>
    <t>JABON BARRA</t>
  </si>
  <si>
    <t>FABULOSO</t>
  </si>
  <si>
    <t>GUANTES</t>
  </si>
  <si>
    <t>BOLSAS BASURA</t>
  </si>
  <si>
    <t>ESCOBAS</t>
  </si>
  <si>
    <t>TRAPEROS</t>
  </si>
  <si>
    <t>RECOJEDOR</t>
  </si>
  <si>
    <t>BRILLADORAS</t>
  </si>
  <si>
    <t>31 BLOC MENSUAL PARA 125 NUÑOS</t>
  </si>
  <si>
    <t>1 PARA 15 NIÑOS</t>
  </si>
  <si>
    <t>1 ROLLO AL MES</t>
  </si>
  <si>
    <t>1 LAMINA POR 10 NIÑOS</t>
  </si>
  <si>
    <t>OTROS</t>
  </si>
  <si>
    <t>PALILLOS-PITILLOS-LANA</t>
  </si>
  <si>
    <t>AXION</t>
  </si>
  <si>
    <t>PILAS</t>
  </si>
  <si>
    <t>BOMBILLOS</t>
  </si>
  <si>
    <t>CREMA DENTAL</t>
  </si>
  <si>
    <t>AJON LIQUIDO</t>
  </si>
  <si>
    <t>ESPONJAS</t>
  </si>
  <si>
    <t>2 CAJAS EN EL MES FRASCO X 450</t>
  </si>
  <si>
    <t>2 CAJAS UNIDSD X 600 GRS</t>
  </si>
  <si>
    <t>6 UNIDADES EN EL MES</t>
  </si>
  <si>
    <t>24 UNIDDADES MES</t>
  </si>
  <si>
    <t>BOLSAS GRIS-VERDE-AZUL-INDUSTRIAL Y PARA PAPELERAS</t>
  </si>
  <si>
    <t>2 TUBOS DE CREMA PARA 35 NIÑOS</t>
  </si>
  <si>
    <t>FOSOFOROS</t>
  </si>
  <si>
    <t>LIMPIEZA DE PRADO</t>
  </si>
  <si>
    <t>FUMIGACION</t>
  </si>
  <si>
    <t>LAVADO TANQUES</t>
  </si>
  <si>
    <t>10000 POR CADA TANQUE DE AGUA</t>
  </si>
  <si>
    <t>FUMIGACION Y CONTROL DE PLAGAS</t>
  </si>
  <si>
    <t>MANTENIMIENTO LICUADORAS E INSTALACIONES LOCATIVAS</t>
  </si>
  <si>
    <t>A 31 DE MARZO EJECUTADO POR LA INSTITUCION EN MANTENIMIENTOS DE EQUIPOS E INSTLACIONES</t>
  </si>
  <si>
    <t>MARCADORES</t>
  </si>
  <si>
    <t>PAPEL COPIA CARTA Y OFICIO</t>
  </si>
  <si>
    <t>CLIP</t>
  </si>
  <si>
    <t>LAPICERO</t>
  </si>
  <si>
    <t>TINTAS</t>
  </si>
  <si>
    <t>CUADERNOS</t>
  </si>
  <si>
    <t>GANCHOS LEGAJADORES</t>
  </si>
  <si>
    <t>MARCADORES BORRBLES</t>
  </si>
  <si>
    <t xml:space="preserve">CARPETAS </t>
  </si>
  <si>
    <t>PACA OLOR A LIMON X 250 GRS</t>
  </si>
  <si>
    <t>LIMPIA HORNOS-MATA CUCARACHAS-CEPILLOS-DELANTALES PLASTICOS</t>
  </si>
  <si>
    <t>Decripción PARA ATENCION DE 125 NIÑOS</t>
  </si>
  <si>
    <t>1..ATENDEMOS 125 NIÑOS Y NIÑAS</t>
  </si>
  <si>
    <t>2...TENEMOS SALACUNA</t>
  </si>
  <si>
    <t>3..TENEMOS DOS COCINAS</t>
  </si>
  <si>
    <t xml:space="preserve">4..DOS BATERIAS SANITARIA </t>
  </si>
  <si>
    <t>PARA ADECUAR ESPACIOS DE ACUERDO A LAS ACTIVIDADES COTIDIANAS DEL MES( 5 AULAS)</t>
  </si>
  <si>
    <t xml:space="preserve"> 1FRASCO X 850 GRS PARA CADA 35NIÑOS CADA 15 DIAS</t>
  </si>
  <si>
    <t>ADECUACIONES ESPACIOS SIGNIFICATIVOS</t>
  </si>
  <si>
    <t>MODALIDAD INSTITUCIONAL ASOCIACION DE PADRES DE FAMILIA Y VECINOS DEL HOGAR INFANTIL LOS OLIVOS 125 NIÑOS Y NIÑAS CON SALACUNA</t>
  </si>
  <si>
    <t>kW</t>
  </si>
  <si>
    <t>Lts</t>
  </si>
  <si>
    <t>Resma</t>
  </si>
  <si>
    <t>Papel carta</t>
  </si>
  <si>
    <t>una (1) resma de papel tamaño carta</t>
  </si>
  <si>
    <t>Cartulina 1/8</t>
  </si>
  <si>
    <t>Paquete</t>
  </si>
  <si>
    <t>tres (3) paquetes de cartulina en diferentes colores tamaño 1/8 x 25 unidades cada paquete</t>
  </si>
  <si>
    <t>Papel crepe</t>
  </si>
  <si>
    <t>un (1) paquete de papel crepe x 6 unidades cada paquete</t>
  </si>
  <si>
    <t>Plastilina</t>
  </si>
  <si>
    <t>Kilo</t>
  </si>
  <si>
    <t>un (1) kilo de plastilina colores surtidos</t>
  </si>
  <si>
    <t>Crayolas</t>
  </si>
  <si>
    <t>Caja</t>
  </si>
  <si>
    <t>una (1) caja de crayolas colores surtidos x 12 unidades cada caja</t>
  </si>
  <si>
    <t>Colbon</t>
  </si>
  <si>
    <t>un (1) kilo de colbon</t>
  </si>
  <si>
    <t>Cinta pegante</t>
  </si>
  <si>
    <t>Rollo</t>
  </si>
  <si>
    <t>un (1) rollo de cinta pegante ancha</t>
  </si>
  <si>
    <t>Marcadores</t>
  </si>
  <si>
    <t>una (1) caja de marcadores punta gruesa, colores surtidos x 6 unidades cada caja</t>
  </si>
  <si>
    <t>Papel iris</t>
  </si>
  <si>
    <t>Block</t>
  </si>
  <si>
    <t>un (1) block de papel iris, colores surtidos x 100 hojas</t>
  </si>
  <si>
    <t>Escarcha</t>
  </si>
  <si>
    <t>un (1) paquete de frascos de escarcha, colores surtidos x 12 frascos</t>
  </si>
  <si>
    <t>Juego de pinceles</t>
  </si>
  <si>
    <t xml:space="preserve">un (1) paquete juego de pinceles, tamaños surtidos x 12 pinceles </t>
  </si>
  <si>
    <t>Vinilos</t>
  </si>
  <si>
    <t>Palos de paletas</t>
  </si>
  <si>
    <t>tres (3) paquetes de palos de paleta x 30 palos</t>
  </si>
  <si>
    <t>seis (6) cajas de vinilos, colores surtidos x 6 colores</t>
  </si>
  <si>
    <t>Tijeras punta roma</t>
  </si>
  <si>
    <t>Unidad</t>
  </si>
  <si>
    <t>seis (6) tijeras punta roma</t>
  </si>
  <si>
    <t>Colores</t>
  </si>
  <si>
    <t>una (1) caja de colores gruesos doble punta x 12 colores cada caja</t>
  </si>
  <si>
    <t>MODALIDAD COMUNITARIA - HCB Tradicionales - HCB Los Pilositos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</si>
</sst>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quot;$&quot;* #,##0.00_-;_-&quot;$&quot;* &quot;-&quot;??_-;_-@_-"/>
    <numFmt numFmtId="164" formatCode="_(&quot;$&quot;\ * #,##0.00_);_(&quot;$&quot;\ * \(#,##0.00\);_(&quot;$&quot;\ * &quot;-&quot;??_);_(@_)"/>
    <numFmt numFmtId="165" formatCode="_ * #,##0.00_ ;_ * \-#,##0.00_ ;_ * &quot;-&quot;??_ ;_ @_ "/>
    <numFmt numFmtId="166" formatCode="0\ &quot;niñ@s&quot;"/>
    <numFmt numFmtId="167" formatCode="_-* #,##0.00\ _€_-;\-* #,##0.00\ _€_-;_-* &quot;-&quot;??\ _€_-;_-@_-"/>
    <numFmt numFmtId="168" formatCode="0.0"/>
  </numFmts>
  <fonts count="16">
    <font>
      <sz val="11"/>
      <color theme="1"/>
      <name val="Calibri"/>
      <family val="2"/>
      <scheme val="minor"/>
    </font>
    <font>
      <sz val="11"/>
      <color theme="1"/>
      <name val="Calibri"/>
      <family val="2"/>
      <scheme val="minor"/>
    </font>
    <font>
      <sz val="10"/>
      <name val="Arial"/>
      <family val="2"/>
    </font>
    <font>
      <b/>
      <sz val="14"/>
      <name val="Arial"/>
      <family val="2"/>
    </font>
    <font>
      <sz val="9"/>
      <name val="Arial"/>
      <family val="2"/>
    </font>
    <font>
      <b/>
      <sz val="10"/>
      <name val="Arial"/>
      <family val="2"/>
    </font>
    <font>
      <sz val="8"/>
      <name val="Arial"/>
      <family val="2"/>
    </font>
    <font>
      <sz val="10"/>
      <name val="Zurich BT"/>
      <family val="2"/>
    </font>
    <font>
      <b/>
      <sz val="11"/>
      <color theme="1"/>
      <name val="Calibri"/>
      <family val="2"/>
      <scheme val="minor"/>
    </font>
    <font>
      <sz val="9"/>
      <color indexed="81"/>
      <name val="Tahoma"/>
      <family val="2"/>
    </font>
    <font>
      <b/>
      <sz val="9"/>
      <color indexed="81"/>
      <name val="Tahoma"/>
      <family val="2"/>
    </font>
    <font>
      <b/>
      <sz val="11"/>
      <color theme="0"/>
      <name val="Calibri"/>
      <family val="2"/>
      <scheme val="minor"/>
    </font>
    <font>
      <b/>
      <sz val="12"/>
      <color theme="1"/>
      <name val="Arial"/>
      <family val="2"/>
    </font>
    <font>
      <b/>
      <sz val="8"/>
      <name val="Arial"/>
      <family val="2"/>
    </font>
    <font>
      <b/>
      <sz val="11"/>
      <name val="Calibri"/>
      <family val="2"/>
      <scheme val="minor"/>
    </font>
    <font>
      <b/>
      <sz val="12"/>
      <name val="Arial"/>
      <family val="2"/>
    </font>
  </fonts>
  <fills count="11">
    <fill>
      <patternFill patternType="none"/>
    </fill>
    <fill>
      <patternFill patternType="gray125"/>
    </fill>
    <fill>
      <patternFill patternType="solid">
        <fgColor indexed="43"/>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indexed="2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s>
  <borders count="16">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style="thin">
        <color indexed="64"/>
      </bottom>
      <diagonal/>
    </border>
  </borders>
  <cellStyleXfs count="13">
    <xf numFmtId="0" fontId="0" fillId="0" borderId="0"/>
    <xf numFmtId="0" fontId="2" fillId="0" borderId="0"/>
    <xf numFmtId="164" fontId="7" fillId="0" borderId="0" applyFont="0" applyFill="0" applyBorder="0" applyAlignment="0" applyProtection="0"/>
    <xf numFmtId="167" fontId="7"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9" fontId="7" fillId="0" borderId="0" applyFont="0" applyFill="0" applyBorder="0" applyAlignment="0" applyProtection="0"/>
    <xf numFmtId="0" fontId="2" fillId="0" borderId="0"/>
    <xf numFmtId="164" fontId="1" fillId="0" borderId="0" applyFont="0" applyFill="0" applyBorder="0" applyAlignment="0" applyProtection="0"/>
    <xf numFmtId="167" fontId="1" fillId="0" borderId="0" applyFont="0" applyFill="0" applyBorder="0" applyAlignment="0" applyProtection="0"/>
    <xf numFmtId="165" fontId="2" fillId="0" borderId="0" applyFont="0" applyFill="0" applyBorder="0" applyAlignment="0" applyProtection="0"/>
    <xf numFmtId="0" fontId="2" fillId="0" borderId="0"/>
    <xf numFmtId="44" fontId="1" fillId="0" borderId="0" applyFont="0" applyFill="0" applyBorder="0" applyAlignment="0" applyProtection="0"/>
  </cellStyleXfs>
  <cellXfs count="94">
    <xf numFmtId="0" fontId="0" fillId="0" borderId="0" xfId="0"/>
    <xf numFmtId="0" fontId="2" fillId="0" borderId="0" xfId="1"/>
    <xf numFmtId="0" fontId="2" fillId="0" borderId="0" xfId="1" applyFont="1"/>
    <xf numFmtId="0" fontId="2" fillId="0" borderId="0" xfId="1" applyAlignment="1">
      <alignment horizontal="center"/>
    </xf>
    <xf numFmtId="0" fontId="2" fillId="2" borderId="0" xfId="1" applyFill="1"/>
    <xf numFmtId="0" fontId="2" fillId="2" borderId="0" xfId="1" applyFont="1" applyFill="1"/>
    <xf numFmtId="166" fontId="6" fillId="2" borderId="2" xfId="1" applyNumberFormat="1" applyFont="1" applyFill="1" applyBorder="1" applyAlignment="1">
      <alignment horizontal="center" vertical="center"/>
    </xf>
    <xf numFmtId="0" fontId="5" fillId="0" borderId="2" xfId="1" applyFont="1" applyBorder="1" applyAlignment="1">
      <alignment horizontal="center"/>
    </xf>
    <xf numFmtId="0" fontId="2" fillId="0" borderId="0" xfId="1" applyFill="1"/>
    <xf numFmtId="0" fontId="2" fillId="0" borderId="2" xfId="1" applyFill="1" applyBorder="1" applyAlignment="1">
      <alignment horizontal="center"/>
    </xf>
    <xf numFmtId="0" fontId="2" fillId="0" borderId="0" xfId="1" applyFont="1" applyAlignment="1">
      <alignment horizontal="center"/>
    </xf>
    <xf numFmtId="0" fontId="5" fillId="3" borderId="2" xfId="1" applyFont="1" applyFill="1" applyBorder="1" applyAlignment="1">
      <alignment horizontal="center" vertical="top" wrapText="1"/>
    </xf>
    <xf numFmtId="0" fontId="2" fillId="0" borderId="2" xfId="1" applyFont="1" applyFill="1" applyBorder="1" applyAlignment="1">
      <alignment horizontal="center"/>
    </xf>
    <xf numFmtId="166" fontId="6" fillId="2" borderId="2" xfId="1" applyNumberFormat="1" applyFont="1" applyFill="1" applyBorder="1" applyAlignment="1">
      <alignment horizontal="center" vertical="center" wrapText="1"/>
    </xf>
    <xf numFmtId="3" fontId="0" fillId="0" borderId="0" xfId="0" applyNumberFormat="1"/>
    <xf numFmtId="0" fontId="0" fillId="0" borderId="2" xfId="0" applyBorder="1"/>
    <xf numFmtId="3" fontId="0" fillId="0" borderId="2" xfId="0" applyNumberFormat="1" applyBorder="1"/>
    <xf numFmtId="0" fontId="0" fillId="0" borderId="0" xfId="0" applyAlignment="1">
      <alignment wrapText="1"/>
    </xf>
    <xf numFmtId="0" fontId="3" fillId="0" borderId="1" xfId="1" applyFont="1" applyBorder="1" applyAlignment="1">
      <alignment horizontal="center"/>
    </xf>
    <xf numFmtId="0" fontId="5" fillId="0" borderId="2" xfId="1" applyFont="1" applyBorder="1" applyAlignment="1">
      <alignment horizontal="center" vertical="center"/>
    </xf>
    <xf numFmtId="44" fontId="5" fillId="0" borderId="2" xfId="12" applyFont="1" applyFill="1" applyBorder="1" applyAlignment="1">
      <alignment horizontal="left" vertical="center" wrapText="1"/>
    </xf>
    <xf numFmtId="44" fontId="5" fillId="3" borderId="2" xfId="12" applyFont="1" applyFill="1" applyBorder="1" applyAlignment="1">
      <alignment horizontal="center" vertical="top" wrapText="1"/>
    </xf>
    <xf numFmtId="44" fontId="2" fillId="0" borderId="0" xfId="12" applyFont="1"/>
    <xf numFmtId="0" fontId="2" fillId="0" borderId="9" xfId="0" applyFont="1" applyBorder="1"/>
    <xf numFmtId="2" fontId="0" fillId="0" borderId="10" xfId="0" applyNumberFormat="1" applyBorder="1"/>
    <xf numFmtId="0" fontId="0" fillId="0" borderId="10" xfId="0" applyBorder="1"/>
    <xf numFmtId="1" fontId="0" fillId="0" borderId="10" xfId="0" applyNumberFormat="1" applyBorder="1"/>
    <xf numFmtId="0" fontId="2" fillId="0" borderId="11" xfId="0" applyFont="1" applyBorder="1"/>
    <xf numFmtId="0" fontId="0" fillId="0" borderId="12" xfId="0" applyBorder="1"/>
    <xf numFmtId="0" fontId="0" fillId="0" borderId="13" xfId="0" applyBorder="1"/>
    <xf numFmtId="0" fontId="0" fillId="0" borderId="0" xfId="0" applyBorder="1"/>
    <xf numFmtId="0" fontId="4" fillId="5" borderId="2" xfId="0" applyFont="1" applyFill="1" applyBorder="1" applyAlignment="1">
      <alignment horizontal="center" vertical="top" wrapText="1"/>
    </xf>
    <xf numFmtId="168" fontId="4" fillId="0" borderId="5" xfId="0" applyNumberFormat="1" applyFont="1" applyBorder="1" applyAlignment="1">
      <alignment horizontal="center" vertical="top" wrapText="1"/>
    </xf>
    <xf numFmtId="0" fontId="2" fillId="7" borderId="2" xfId="1" applyFill="1" applyBorder="1" applyAlignment="1">
      <alignment horizontal="center"/>
    </xf>
    <xf numFmtId="0" fontId="2" fillId="9" borderId="2" xfId="1" applyFill="1" applyBorder="1" applyAlignment="1">
      <alignment horizontal="center"/>
    </xf>
    <xf numFmtId="0" fontId="0" fillId="0" borderId="0" xfId="0" applyAlignment="1">
      <alignment vertical="center"/>
    </xf>
    <xf numFmtId="3" fontId="0" fillId="0" borderId="8" xfId="0" applyNumberFormat="1" applyBorder="1"/>
    <xf numFmtId="0" fontId="14" fillId="9"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2" fillId="9" borderId="2" xfId="1" applyFont="1" applyFill="1" applyBorder="1" applyAlignment="1">
      <alignment horizontal="center" vertical="center" wrapText="1"/>
    </xf>
    <xf numFmtId="0" fontId="15" fillId="9" borderId="2" xfId="1" applyFont="1" applyFill="1" applyBorder="1" applyAlignment="1">
      <alignment horizontal="center" vertical="center" wrapText="1"/>
    </xf>
    <xf numFmtId="0" fontId="14" fillId="7" borderId="2" xfId="0" applyFont="1" applyFill="1" applyBorder="1" applyAlignment="1">
      <alignment horizontal="center" vertical="center" wrapText="1"/>
    </xf>
    <xf numFmtId="0" fontId="2" fillId="10" borderId="2" xfId="1" applyFill="1" applyBorder="1" applyAlignment="1">
      <alignment horizontal="center"/>
    </xf>
    <xf numFmtId="0" fontId="12" fillId="7" borderId="2" xfId="1" applyFont="1" applyFill="1" applyBorder="1" applyAlignment="1">
      <alignment horizontal="center" vertical="center" wrapText="1"/>
    </xf>
    <xf numFmtId="0" fontId="15" fillId="7" borderId="2" xfId="1" applyFont="1" applyFill="1" applyBorder="1" applyAlignment="1">
      <alignment horizontal="center" vertical="center" wrapText="1"/>
    </xf>
    <xf numFmtId="0" fontId="12" fillId="10"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2" xfId="0" applyFont="1" applyFill="1" applyBorder="1" applyAlignment="1">
      <alignment horizontal="center" vertical="center" wrapText="1"/>
    </xf>
    <xf numFmtId="3" fontId="0" fillId="0" borderId="6" xfId="0" applyNumberFormat="1" applyBorder="1"/>
    <xf numFmtId="3" fontId="0" fillId="0" borderId="2" xfId="0" applyNumberFormat="1" applyBorder="1" applyAlignment="1">
      <alignment wrapText="1"/>
    </xf>
    <xf numFmtId="3" fontId="0" fillId="8" borderId="2" xfId="0" applyNumberFormat="1" applyFill="1" applyBorder="1"/>
    <xf numFmtId="3" fontId="8" fillId="8" borderId="2" xfId="0" applyNumberFormat="1" applyFont="1" applyFill="1" applyBorder="1"/>
    <xf numFmtId="3" fontId="8" fillId="8" borderId="2" xfId="0" applyNumberFormat="1" applyFont="1" applyFill="1" applyBorder="1" applyAlignment="1">
      <alignment horizontal="right" wrapText="1"/>
    </xf>
    <xf numFmtId="3" fontId="0" fillId="6" borderId="2" xfId="0" applyNumberFormat="1" applyFill="1" applyBorder="1" applyAlignment="1">
      <alignment horizontal="center"/>
    </xf>
    <xf numFmtId="3" fontId="8" fillId="8" borderId="2" xfId="0" applyNumberFormat="1" applyFont="1" applyFill="1" applyBorder="1" applyAlignment="1">
      <alignment horizontal="center" wrapText="1"/>
    </xf>
    <xf numFmtId="0" fontId="2" fillId="0" borderId="2" xfId="1" applyFill="1" applyBorder="1" applyAlignment="1">
      <alignment horizontal="left"/>
    </xf>
    <xf numFmtId="0" fontId="2" fillId="0" borderId="2" xfId="1" applyFill="1" applyBorder="1" applyAlignment="1">
      <alignment horizontal="left" wrapText="1"/>
    </xf>
    <xf numFmtId="0" fontId="2" fillId="0" borderId="2" xfId="1" applyFont="1" applyFill="1" applyBorder="1" applyAlignment="1">
      <alignment horizontal="center" wrapText="1"/>
    </xf>
    <xf numFmtId="0" fontId="6" fillId="0" borderId="2" xfId="1" applyFont="1" applyFill="1" applyBorder="1" applyAlignment="1">
      <alignment horizontal="center"/>
    </xf>
    <xf numFmtId="0" fontId="2" fillId="0" borderId="0" xfId="1" applyBorder="1" applyAlignment="1">
      <alignment horizontal="center"/>
    </xf>
    <xf numFmtId="0" fontId="2" fillId="0" borderId="0" xfId="1" applyFont="1" applyBorder="1" applyAlignment="1">
      <alignment horizontal="center"/>
    </xf>
    <xf numFmtId="0" fontId="2" fillId="0" borderId="0" xfId="1" applyBorder="1"/>
    <xf numFmtId="0" fontId="2" fillId="0" borderId="0" xfId="1" applyBorder="1" applyAlignment="1"/>
    <xf numFmtId="44" fontId="2" fillId="0" borderId="0" xfId="12" applyFont="1" applyBorder="1"/>
    <xf numFmtId="168" fontId="4" fillId="0" borderId="2" xfId="0" applyNumberFormat="1" applyFont="1" applyBorder="1" applyAlignment="1">
      <alignment horizontal="center" vertical="top" wrapText="1"/>
    </xf>
    <xf numFmtId="0" fontId="6" fillId="0" borderId="2" xfId="1" applyFont="1" applyFill="1" applyBorder="1" applyAlignment="1">
      <alignment horizontal="center" wrapText="1"/>
    </xf>
    <xf numFmtId="0" fontId="6" fillId="0" borderId="2" xfId="1" applyFont="1" applyFill="1" applyBorder="1" applyAlignment="1">
      <alignment horizontal="left"/>
    </xf>
    <xf numFmtId="0" fontId="11" fillId="4" borderId="0"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4" fillId="9" borderId="6"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8" fillId="10" borderId="15" xfId="0" applyFont="1" applyFill="1" applyBorder="1" applyAlignment="1">
      <alignment horizontal="center" vertical="center" wrapText="1"/>
    </xf>
    <xf numFmtId="0" fontId="8" fillId="10" borderId="14" xfId="0" applyFont="1" applyFill="1" applyBorder="1" applyAlignment="1">
      <alignment horizontal="center" vertical="center" wrapText="1"/>
    </xf>
    <xf numFmtId="0" fontId="5" fillId="0" borderId="3" xfId="1" applyFont="1" applyFill="1" applyBorder="1" applyAlignment="1">
      <alignment horizontal="center" vertical="center" textRotation="90" wrapText="1"/>
    </xf>
    <xf numFmtId="0" fontId="5" fillId="0" borderId="4" xfId="1" applyFont="1" applyFill="1" applyBorder="1" applyAlignment="1">
      <alignment horizontal="center" vertical="center" textRotation="90" wrapText="1"/>
    </xf>
    <xf numFmtId="0" fontId="5" fillId="0" borderId="5" xfId="1" applyFont="1" applyFill="1" applyBorder="1" applyAlignment="1">
      <alignment horizontal="center" vertical="center" textRotation="90" wrapText="1"/>
    </xf>
    <xf numFmtId="0" fontId="5" fillId="0" borderId="2" xfId="1" applyFont="1" applyFill="1" applyBorder="1" applyAlignment="1">
      <alignment horizontal="center" vertical="center" textRotation="90" wrapText="1"/>
    </xf>
    <xf numFmtId="0" fontId="12" fillId="9" borderId="6" xfId="1" applyFont="1" applyFill="1" applyBorder="1" applyAlignment="1">
      <alignment horizontal="center" vertical="center" wrapText="1"/>
    </xf>
    <xf numFmtId="0" fontId="12" fillId="9" borderId="7" xfId="1" applyFont="1" applyFill="1" applyBorder="1" applyAlignment="1">
      <alignment horizontal="center" vertical="center" wrapText="1"/>
    </xf>
    <xf numFmtId="0" fontId="12" fillId="9" borderId="8" xfId="1" applyFont="1" applyFill="1" applyBorder="1" applyAlignment="1">
      <alignment horizontal="center" vertical="center" wrapText="1"/>
    </xf>
    <xf numFmtId="0" fontId="5" fillId="0" borderId="3" xfId="1" applyFont="1" applyFill="1" applyBorder="1" applyAlignment="1">
      <alignment horizontal="center" vertical="center" textRotation="90"/>
    </xf>
    <xf numFmtId="0" fontId="5" fillId="0" borderId="4" xfId="1" applyFont="1" applyFill="1" applyBorder="1" applyAlignment="1">
      <alignment horizontal="center" vertical="center" textRotation="90"/>
    </xf>
    <xf numFmtId="0" fontId="5" fillId="0" borderId="5" xfId="1" applyFont="1" applyFill="1" applyBorder="1" applyAlignment="1">
      <alignment horizontal="center" vertical="center" textRotation="90"/>
    </xf>
    <xf numFmtId="0" fontId="5" fillId="0" borderId="0" xfId="1" applyFont="1" applyBorder="1" applyAlignment="1">
      <alignment horizontal="left"/>
    </xf>
    <xf numFmtId="0" fontId="2" fillId="0" borderId="0" xfId="1" applyBorder="1" applyAlignment="1">
      <alignment horizontal="center"/>
    </xf>
    <xf numFmtId="0" fontId="12" fillId="7" borderId="6" xfId="1" applyFont="1" applyFill="1" applyBorder="1" applyAlignment="1">
      <alignment horizontal="center" vertical="center" wrapText="1"/>
    </xf>
    <xf numFmtId="0" fontId="12" fillId="7" borderId="7" xfId="1" applyFont="1" applyFill="1" applyBorder="1" applyAlignment="1">
      <alignment horizontal="center" vertical="center" wrapText="1"/>
    </xf>
    <xf numFmtId="0" fontId="12" fillId="7" borderId="8" xfId="1" applyFont="1" applyFill="1" applyBorder="1" applyAlignment="1">
      <alignment horizontal="center" vertical="center" wrapText="1"/>
    </xf>
    <xf numFmtId="0" fontId="12" fillId="10" borderId="6" xfId="1" applyFont="1" applyFill="1" applyBorder="1" applyAlignment="1">
      <alignment horizontal="center" vertical="center" wrapText="1"/>
    </xf>
    <xf numFmtId="0" fontId="12" fillId="10" borderId="7" xfId="1" applyFont="1" applyFill="1" applyBorder="1" applyAlignment="1">
      <alignment horizontal="center" vertical="center" wrapText="1"/>
    </xf>
    <xf numFmtId="0" fontId="12" fillId="10" borderId="8" xfId="1" applyFont="1" applyFill="1" applyBorder="1" applyAlignment="1">
      <alignment horizontal="center" vertical="center" wrapText="1"/>
    </xf>
  </cellXfs>
  <cellStyles count="13">
    <cellStyle name="Millares 2 2 9" xfId="3"/>
    <cellStyle name="Millares 3" xfId="10"/>
    <cellStyle name="Millares 7" xfId="5"/>
    <cellStyle name="Millares 7 2 2" xfId="9"/>
    <cellStyle name="Moneda" xfId="12" builtinId="4"/>
    <cellStyle name="Moneda 2 2" xfId="2"/>
    <cellStyle name="Moneda 3 3" xfId="4"/>
    <cellStyle name="Moneda 3 3 2 2" xfId="8"/>
    <cellStyle name="Normal" xfId="0" builtinId="0"/>
    <cellStyle name="Normal 10" xfId="11"/>
    <cellStyle name="Normal 2" xfId="1"/>
    <cellStyle name="Normal 2 2" xfId="7"/>
    <cellStyle name="Porcentual 2 2 2" xfId="6"/>
  </cellStyles>
  <dxfs count="11">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abriel/Downloads/INPEC/imprimir/Ajustado_Modelo_de_costos_INPEC_10_01_201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9.30\rub\Documents%20and%20Settings\heidy.guillen\Configuraci&#243;n%20local\Archivos%20temporales%20de%20Internet\Content.Outlook\80LG8T3L\MadresComunitarias_FAMI_Extranjeros_Liliana%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Gabriel/Downloads/DIRECCION%20TECNICA%20ICBF/Archivos%20FONADE/COSTEO%20DIAGNOSTICOS.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DIRECCION%20TECNICA%20ICBF\1.%20Direcci&#243;n%20de%20Logistica%20y%20Abastecimiento\Interventoria%20Adulto%20Mayor%202011\Costeo%20INTERVENTORIA%20PANAM%202011%20Ener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EQUIPOS%20DE%20METROLOGIA\EQUIPOS%20METROLOGIA%20-%20SDI%2002071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Jardines%20Sociales/Estudio%20de%20Costos%20Jardines%20Sociale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9.30\Disco%20local%20(F)\Datos\2012\ANTEPROYECTO\INGRESOS\BASE%20PND%202011-2014%20-%20PR%20SOCIAL%20feb%201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gbog90\d\DOCUME~1\J0ZAMB~1\CONFIG~1\Temp\P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Gabriel/Downloads/Documents%20and%20Settings/Huber.Garcia/Mis%20documentos/Datos/Rafa/PLANTA-2008/AMPLIACION%20PLANTA/DATOS_COSTOS-SUPERNUMERARIOS-401_CUPOS-19-08-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Consultoria%20Bienestarina/CONSULTORIA%20BIENESTARINA%2031-07-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Escritorio/ICBF/Direcci&#243;n%20de%20Logistica%20y%20Abastecimiento/Encuesta%20Nacional%20de%20Juventud/E.C.%20Encuesta%20Nacional%20de%20Juventu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Andres_Mutis/COSTEOS%20PRIMERA%20INFANCIA/MODELO%20DE%20COSTOS%20PI%20-%20VIGENCIA%202014/Version_1_MODELO_COSTOS_HCB_2014_25_Agosto.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Gabriel/Downloads/Documents%20and%20Settings/diego.quintanilla/Configuraci&#243;n%20local/Archivos%20temporales%20de%20Internet/Content.Outlook/Y3XOUI2P/Revisado_Edilberto_Desayunos_Infantiles_con_Amor_Nov_26_20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wnloads/Documents%20and%20Settings/liliana.jaramillo.ICBF/Configuraci&#243;n%20local/Archivos%20temporales%20de%20Internet/OLK5E/Coberturas/Participantes/MODELOS/Copia%20de%20Copia%20de%20MODEL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9.31\archivosicbf\Users\Engree.Duica\AppData\Local\Microsoft\Windows\Temporary%20Internet%20Files\Content.Outlook\E4EMGSL4\DEVUELTOS\EQUIPOS%20DE%20METROLOGIA\SDI\EQUIPOS%20METROLOGIA%20-%20SDI%200207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CONSOLIDADO_GENERAL_SEDES_PAE_150220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
      <sheetName val="Parametros"/>
      <sheetName val="Precios Alimentos"/>
      <sheetName val="Precios_leche_UHT"/>
      <sheetName val="Costo de Ing de Prep"/>
      <sheetName val="Resumen Preparaciones"/>
      <sheetName val="Factor de Conversión"/>
      <sheetName val="Menú"/>
      <sheetName val="Salarios de Ref"/>
      <sheetName val="Estanda T.H."/>
      <sheetName val="Componentes T.H."/>
      <sheetName val="Centros P y C"/>
      <sheetName val="Hoja1"/>
      <sheetName val="Estandar Menaje"/>
      <sheetName val="Resumen De Menaje"/>
      <sheetName val="Resumen Costos"/>
      <sheetName val="Analisis de Costos"/>
      <sheetName val="Analisis microbiologico"/>
    </sheetNames>
    <sheetDataSet>
      <sheetData sheetId="0"/>
      <sheetData sheetId="1"/>
      <sheetData sheetId="2">
        <row r="5031">
          <cell r="A5031" t="str">
            <v>Aceite girasol</v>
          </cell>
        </row>
        <row r="5032">
          <cell r="A5032" t="str">
            <v>Aceite soya</v>
          </cell>
        </row>
        <row r="5033">
          <cell r="A5033" t="str">
            <v>Aceite vegetal mezcla</v>
          </cell>
        </row>
        <row r="5034">
          <cell r="A5034" t="str">
            <v>Acelga</v>
          </cell>
        </row>
        <row r="5035">
          <cell r="A5035" t="str">
            <v>Aguacate común</v>
          </cell>
        </row>
        <row r="5036">
          <cell r="A5036" t="str">
            <v>Aguacate Hass</v>
          </cell>
        </row>
        <row r="5037">
          <cell r="A5037" t="str">
            <v>Aguacate papelillo</v>
          </cell>
        </row>
        <row r="5038">
          <cell r="A5038" t="str">
            <v>Ahuyama</v>
          </cell>
        </row>
        <row r="5039">
          <cell r="A5039" t="str">
            <v>Ají dulce</v>
          </cell>
        </row>
        <row r="5040">
          <cell r="A5040" t="str">
            <v>Ají topito dulce</v>
          </cell>
        </row>
        <row r="5041">
          <cell r="A5041" t="str">
            <v>Ajo</v>
          </cell>
        </row>
        <row r="5042">
          <cell r="A5042" t="str">
            <v>Ajo importado</v>
          </cell>
        </row>
        <row r="5043">
          <cell r="A5043" t="str">
            <v>Alas de pollo con costillar</v>
          </cell>
        </row>
        <row r="5044">
          <cell r="A5044" t="str">
            <v>Alas de pollo sin costillar</v>
          </cell>
        </row>
        <row r="5045">
          <cell r="A5045" t="str">
            <v>Almejas con concha</v>
          </cell>
        </row>
        <row r="5046">
          <cell r="A5046" t="str">
            <v>Almejas sin concha</v>
          </cell>
        </row>
        <row r="5047">
          <cell r="A5047" t="str">
            <v>Apio</v>
          </cell>
        </row>
        <row r="5048">
          <cell r="A5048" t="str">
            <v>Arracacha amarilla</v>
          </cell>
        </row>
        <row r="5049">
          <cell r="A5049" t="str">
            <v>Arracacha blanca</v>
          </cell>
        </row>
        <row r="5050">
          <cell r="A5050" t="str">
            <v>Arroz de primera</v>
          </cell>
        </row>
        <row r="5051">
          <cell r="A5051" t="str">
            <v>Arroz de segunda</v>
          </cell>
        </row>
        <row r="5052">
          <cell r="A5052" t="str">
            <v>Arroz excelso</v>
          </cell>
        </row>
        <row r="5053">
          <cell r="A5053" t="str">
            <v>Arroz sopa cristal</v>
          </cell>
        </row>
        <row r="5054">
          <cell r="A5054" t="str">
            <v>Arveja amarilla seca importada</v>
          </cell>
        </row>
        <row r="5055">
          <cell r="A5055" t="str">
            <v>Arveja enlatada</v>
          </cell>
        </row>
        <row r="5056">
          <cell r="A5056" t="str">
            <v>Arveja verde en vaina</v>
          </cell>
        </row>
        <row r="5057">
          <cell r="A5057" t="str">
            <v>Arveja verde en vaina pastusa</v>
          </cell>
        </row>
        <row r="5058">
          <cell r="A5058" t="str">
            <v>Arveja verde seca importada</v>
          </cell>
        </row>
        <row r="5059">
          <cell r="A5059" t="str">
            <v>Avena en hojuelas</v>
          </cell>
        </row>
        <row r="5060">
          <cell r="A5060" t="str">
            <v>Avena molida</v>
          </cell>
        </row>
        <row r="5061">
          <cell r="A5061" t="str">
            <v>Azúcar morena</v>
          </cell>
        </row>
        <row r="5062">
          <cell r="A5062" t="str">
            <v>Azúcar refinada</v>
          </cell>
        </row>
        <row r="5063">
          <cell r="A5063" t="str">
            <v>Azúcar sulfitada</v>
          </cell>
        </row>
        <row r="5064">
          <cell r="A5064" t="str">
            <v>Badea</v>
          </cell>
        </row>
        <row r="5065">
          <cell r="A5065" t="str">
            <v>Bagre rayado en postas congelado</v>
          </cell>
        </row>
        <row r="5066">
          <cell r="A5066" t="str">
            <v>Bagre rayado entero congelado</v>
          </cell>
        </row>
        <row r="5067">
          <cell r="A5067" t="str">
            <v>Bagre rayado entero fresco</v>
          </cell>
        </row>
        <row r="5068">
          <cell r="A5068" t="str">
            <v>Banano bocadillo</v>
          </cell>
        </row>
        <row r="5069">
          <cell r="A5069" t="str">
            <v>Banano criollo</v>
          </cell>
        </row>
        <row r="5070">
          <cell r="A5070" t="str">
            <v>Banano Urabá</v>
          </cell>
        </row>
        <row r="5071">
          <cell r="A5071" t="str">
            <v>Berenjena</v>
          </cell>
        </row>
        <row r="5072">
          <cell r="A5072" t="str">
            <v>Blanquillo entero fresco</v>
          </cell>
        </row>
        <row r="5073">
          <cell r="A5073" t="str">
            <v>Bocachico criollo fresco</v>
          </cell>
        </row>
        <row r="5074">
          <cell r="A5074" t="str">
            <v>Bocachico importado congelado</v>
          </cell>
        </row>
        <row r="5075">
          <cell r="A5075" t="str">
            <v>Bocadillo veleño</v>
          </cell>
        </row>
        <row r="5076">
          <cell r="A5076" t="str">
            <v>Borojó</v>
          </cell>
        </row>
        <row r="5077">
          <cell r="A5077" t="str">
            <v>Breva</v>
          </cell>
        </row>
        <row r="5078">
          <cell r="A5078" t="str">
            <v>Brócoli</v>
          </cell>
        </row>
        <row r="5079">
          <cell r="A5079" t="str">
            <v>Cachama de cultivo fresca</v>
          </cell>
        </row>
        <row r="5080">
          <cell r="A5080" t="str">
            <v>Café instantáneo</v>
          </cell>
        </row>
        <row r="5081">
          <cell r="A5081" t="str">
            <v>Café molido</v>
          </cell>
        </row>
        <row r="5082">
          <cell r="A5082" t="str">
            <v>Calabacín</v>
          </cell>
        </row>
        <row r="5083">
          <cell r="A5083" t="str">
            <v>Calabaza</v>
          </cell>
        </row>
        <row r="5084">
          <cell r="A5084" t="str">
            <v>Calamar anillos</v>
          </cell>
        </row>
        <row r="5085">
          <cell r="A5085" t="str">
            <v>Calamar blanco entero</v>
          </cell>
        </row>
        <row r="5086">
          <cell r="A5086" t="str">
            <v>Calamar morado entero</v>
          </cell>
        </row>
        <row r="5087">
          <cell r="A5087" t="str">
            <v>Camarón tigre precocido seco</v>
          </cell>
        </row>
        <row r="5088">
          <cell r="A5088" t="str">
            <v>Camarón tití precocido seco</v>
          </cell>
        </row>
        <row r="5089">
          <cell r="A5089" t="str">
            <v>Capaz Magdalena fresco</v>
          </cell>
        </row>
        <row r="5090">
          <cell r="A5090" t="str">
            <v>Carne de cerdo en canal</v>
          </cell>
        </row>
        <row r="5091">
          <cell r="A5091" t="str">
            <v>Carne de cerdo, brazo con hueso</v>
          </cell>
        </row>
        <row r="5092">
          <cell r="A5092" t="str">
            <v>Carne de cerdo, brazo sin hueso</v>
          </cell>
        </row>
        <row r="5093">
          <cell r="A5093" t="str">
            <v>Carne de cerdo, cabeza de lomo</v>
          </cell>
        </row>
        <row r="5094">
          <cell r="A5094" t="str">
            <v>Carne de cerdo, costilla</v>
          </cell>
        </row>
        <row r="5095">
          <cell r="A5095" t="str">
            <v>Carne de cerdo, espinazo</v>
          </cell>
        </row>
        <row r="5096">
          <cell r="A5096" t="str">
            <v>Carne de cerdo, lomo con hueso</v>
          </cell>
        </row>
        <row r="5097">
          <cell r="A5097" t="str">
            <v>Carne de cerdo, lomo sin hueso</v>
          </cell>
        </row>
        <row r="5098">
          <cell r="A5098" t="str">
            <v>Carne de cerdo, pernil con hueso</v>
          </cell>
        </row>
        <row r="5099">
          <cell r="A5099" t="str">
            <v>Carne de cerdo, pernil sin hueso</v>
          </cell>
        </row>
        <row r="5100">
          <cell r="A5100" t="str">
            <v>Carne de cerdo, tocino barriga</v>
          </cell>
        </row>
        <row r="5101">
          <cell r="A5101" t="str">
            <v>Carne de cerdo, tocino papada</v>
          </cell>
        </row>
        <row r="5102">
          <cell r="A5102" t="str">
            <v>Carne de res en canal</v>
          </cell>
        </row>
        <row r="5103">
          <cell r="A5103" t="str">
            <v>Carne de res molida, murillo</v>
          </cell>
        </row>
        <row r="5104">
          <cell r="A5104" t="str">
            <v>Carne de res, bola de brazo</v>
          </cell>
        </row>
        <row r="5105">
          <cell r="A5105" t="str">
            <v>Carne de res, bola de pierna</v>
          </cell>
        </row>
        <row r="5106">
          <cell r="A5106" t="str">
            <v>Carne de res, bota</v>
          </cell>
        </row>
        <row r="5107">
          <cell r="A5107" t="str">
            <v>Carne de res, cadera</v>
          </cell>
        </row>
        <row r="5108">
          <cell r="A5108" t="str">
            <v>Carne de res, centro de pierna</v>
          </cell>
        </row>
        <row r="5109">
          <cell r="A5109" t="str">
            <v>Carne de res, chatas</v>
          </cell>
        </row>
        <row r="5110">
          <cell r="A5110" t="str">
            <v>Carne de res, cogote</v>
          </cell>
        </row>
        <row r="5111">
          <cell r="A5111" t="str">
            <v>Carne de res, costilla</v>
          </cell>
        </row>
        <row r="5112">
          <cell r="A5112" t="str">
            <v>Carne de res, falda</v>
          </cell>
        </row>
        <row r="5113">
          <cell r="A5113" t="str">
            <v>Carne de res, lomo de brazo</v>
          </cell>
        </row>
        <row r="5114">
          <cell r="A5114" t="str">
            <v>Carne de res, lomo fino</v>
          </cell>
        </row>
        <row r="5115">
          <cell r="A5115" t="str">
            <v>Carne de res, morrillo</v>
          </cell>
        </row>
        <row r="5116">
          <cell r="A5116" t="str">
            <v>Carne de res, muchacho</v>
          </cell>
        </row>
        <row r="5117">
          <cell r="A5117" t="str">
            <v>Carne de res, murillo</v>
          </cell>
        </row>
        <row r="5118">
          <cell r="A5118" t="str">
            <v>Carne de res, pecho</v>
          </cell>
        </row>
        <row r="5119">
          <cell r="A5119" t="str">
            <v>Carne de res, punta de anca</v>
          </cell>
        </row>
        <row r="5120">
          <cell r="A5120" t="str">
            <v>Carne de res, sobrebarriga</v>
          </cell>
        </row>
        <row r="5121">
          <cell r="A5121" t="str">
            <v>Cazuela de mariscos (paquete)</v>
          </cell>
        </row>
        <row r="5122">
          <cell r="A5122" t="str">
            <v>Cebolla cabezona blanca</v>
          </cell>
        </row>
        <row r="5123">
          <cell r="A5123" t="str">
            <v>Cebolla cabezona blanca bogotana</v>
          </cell>
        </row>
        <row r="5124">
          <cell r="A5124" t="str">
            <v>Cebolla cabezona blanca ecuatoriana</v>
          </cell>
        </row>
        <row r="5125">
          <cell r="A5125" t="str">
            <v>Cebolla cabezona blanca importada</v>
          </cell>
        </row>
        <row r="5126">
          <cell r="A5126" t="str">
            <v>Cebolla cabezona blanca pastusa</v>
          </cell>
        </row>
        <row r="5127">
          <cell r="A5127" t="str">
            <v>Cebolla cabezona blanca peruana</v>
          </cell>
        </row>
        <row r="5128">
          <cell r="A5128" t="str">
            <v>Cebolla cabezona roja ecuatoriana</v>
          </cell>
        </row>
        <row r="5129">
          <cell r="A5129" t="str">
            <v>Cebolla cabezona roja importada</v>
          </cell>
        </row>
        <row r="5130">
          <cell r="A5130" t="str">
            <v>Cebolla cabezona roja ocañera</v>
          </cell>
        </row>
        <row r="5131">
          <cell r="A5131" t="str">
            <v>Cebolla cabezona roja peruana</v>
          </cell>
        </row>
        <row r="5132">
          <cell r="A5132" t="str">
            <v>Cebolla junca</v>
          </cell>
        </row>
        <row r="5133">
          <cell r="A5133" t="str">
            <v>Cebolla junca Aquitania</v>
          </cell>
        </row>
        <row r="5134">
          <cell r="A5134" t="str">
            <v>Cebolla junca Berlín</v>
          </cell>
        </row>
        <row r="5135">
          <cell r="A5135" t="str">
            <v>Cebolla junca pastusa</v>
          </cell>
        </row>
        <row r="5136">
          <cell r="A5136" t="str">
            <v>Cebolla junca Tenerife</v>
          </cell>
        </row>
        <row r="5137">
          <cell r="A5137" t="str">
            <v>Cebolla puerro</v>
          </cell>
        </row>
        <row r="5138">
          <cell r="A5138" t="str">
            <v>Cebollín chino</v>
          </cell>
        </row>
        <row r="5139">
          <cell r="A5139" t="str">
            <v>Chocolate amargo</v>
          </cell>
        </row>
        <row r="5140">
          <cell r="A5140" t="str">
            <v>Chocolate dulce</v>
          </cell>
        </row>
        <row r="5141">
          <cell r="A5141" t="str">
            <v>Chocolate instantáneo</v>
          </cell>
        </row>
        <row r="5142">
          <cell r="A5142" t="str">
            <v>Chócolo mazorca</v>
          </cell>
        </row>
        <row r="5143">
          <cell r="A5143" t="str">
            <v>Cidra</v>
          </cell>
        </row>
        <row r="5144">
          <cell r="A5144" t="str">
            <v>Cilantro</v>
          </cell>
        </row>
        <row r="5145">
          <cell r="A5145" t="str">
            <v>Ciruela negra chilena</v>
          </cell>
        </row>
        <row r="5146">
          <cell r="A5146" t="str">
            <v>Ciruela roja</v>
          </cell>
        </row>
        <row r="5147">
          <cell r="A5147" t="str">
            <v>Coco</v>
          </cell>
        </row>
        <row r="5148">
          <cell r="A5148" t="str">
            <v>Coles</v>
          </cell>
        </row>
        <row r="5149">
          <cell r="A5149" t="str">
            <v>Coliflor</v>
          </cell>
        </row>
        <row r="5150">
          <cell r="A5150" t="str">
            <v>Color (bolsita)</v>
          </cell>
        </row>
        <row r="5151">
          <cell r="A5151" t="str">
            <v>Corvina, filete congelado nacional</v>
          </cell>
        </row>
        <row r="5152">
          <cell r="A5152" t="str">
            <v>Cuchuco de cebada</v>
          </cell>
        </row>
        <row r="5153">
          <cell r="A5153" t="str">
            <v>Cuchuco de maíz</v>
          </cell>
        </row>
        <row r="5154">
          <cell r="A5154" t="str">
            <v>Curuba larga</v>
          </cell>
        </row>
        <row r="5155">
          <cell r="A5155" t="str">
            <v>Curuba redonda</v>
          </cell>
        </row>
        <row r="5156">
          <cell r="A5156" t="str">
            <v>Durazno importado</v>
          </cell>
        </row>
        <row r="5157">
          <cell r="A5157" t="str">
            <v>Durazno nacional</v>
          </cell>
        </row>
        <row r="5158">
          <cell r="A5158" t="str">
            <v>Espinaca</v>
          </cell>
        </row>
        <row r="5159">
          <cell r="A5159" t="str">
            <v>Fécula de maíz</v>
          </cell>
        </row>
        <row r="5160">
          <cell r="A5160" t="str">
            <v>Feijoa</v>
          </cell>
        </row>
        <row r="5161">
          <cell r="A5161" t="str">
            <v>Fresa</v>
          </cell>
        </row>
        <row r="5162">
          <cell r="A5162" t="str">
            <v>Fríjol bolón</v>
          </cell>
        </row>
        <row r="5163">
          <cell r="A5163" t="str">
            <v>Fríjol cabeza negra importado</v>
          </cell>
        </row>
        <row r="5164">
          <cell r="A5164" t="str">
            <v>Fríjol cabeza negra nacional</v>
          </cell>
        </row>
        <row r="5165">
          <cell r="A5165" t="str">
            <v>Fríjol calima</v>
          </cell>
        </row>
        <row r="5166">
          <cell r="A5166" t="str">
            <v>Fríjol cargamanto blanco</v>
          </cell>
        </row>
        <row r="5167">
          <cell r="A5167" t="str">
            <v>Fríjol cargamanto rojo</v>
          </cell>
        </row>
        <row r="5168">
          <cell r="A5168" t="str">
            <v>Fríjol enlatado</v>
          </cell>
        </row>
        <row r="5169">
          <cell r="A5169" t="str">
            <v>Fríjol nima calima</v>
          </cell>
        </row>
        <row r="5170">
          <cell r="A5170" t="str">
            <v>Fríjol palomito importado</v>
          </cell>
        </row>
        <row r="5171">
          <cell r="A5171" t="str">
            <v>Fríjol radical</v>
          </cell>
        </row>
        <row r="5172">
          <cell r="A5172" t="str">
            <v>Fríjol Uribe rosado</v>
          </cell>
        </row>
        <row r="5173">
          <cell r="A5173" t="str">
            <v>Fríjol verde bolo</v>
          </cell>
        </row>
        <row r="5174">
          <cell r="A5174" t="str">
            <v>Fríjol verde cargamanto</v>
          </cell>
        </row>
        <row r="5175">
          <cell r="A5175" t="str">
            <v>Fríjol verde en vaina</v>
          </cell>
        </row>
        <row r="5176">
          <cell r="A5176" t="str">
            <v>Fríjol Zaragoza</v>
          </cell>
        </row>
        <row r="5177">
          <cell r="A5177" t="str">
            <v>Galletas dulces redondas con crema</v>
          </cell>
        </row>
        <row r="5178">
          <cell r="A5178" t="str">
            <v>Galletas saladas 3 tacos</v>
          </cell>
        </row>
        <row r="5179">
          <cell r="A5179" t="str">
            <v>Garbanzo importado</v>
          </cell>
        </row>
        <row r="5180">
          <cell r="A5180" t="str">
            <v>Gelatina</v>
          </cell>
        </row>
        <row r="5181">
          <cell r="A5181" t="str">
            <v>Granadilla</v>
          </cell>
        </row>
        <row r="5182">
          <cell r="A5182" t="str">
            <v>Guanábana</v>
          </cell>
        </row>
        <row r="5183">
          <cell r="A5183" t="str">
            <v>Guayaba agria</v>
          </cell>
        </row>
        <row r="5184">
          <cell r="A5184" t="str">
            <v>Guayaba común</v>
          </cell>
        </row>
        <row r="5185">
          <cell r="A5185" t="str">
            <v>Guayaba manzana</v>
          </cell>
        </row>
        <row r="5186">
          <cell r="A5186" t="str">
            <v>Guayaba pera</v>
          </cell>
        </row>
        <row r="5187">
          <cell r="A5187" t="str">
            <v>Gulupa</v>
          </cell>
        </row>
        <row r="5188">
          <cell r="A5188" t="str">
            <v>Haba verde</v>
          </cell>
        </row>
        <row r="5189">
          <cell r="A5189" t="str">
            <v>Habichuela</v>
          </cell>
        </row>
        <row r="5190">
          <cell r="A5190" t="str">
            <v>Habichuela larga</v>
          </cell>
        </row>
        <row r="5191">
          <cell r="A5191" t="str">
            <v>Harina de trigo</v>
          </cell>
        </row>
        <row r="5192">
          <cell r="A5192" t="str">
            <v>Harina precocida de maíz</v>
          </cell>
        </row>
        <row r="5193">
          <cell r="A5193" t="str">
            <v>Higo</v>
          </cell>
        </row>
        <row r="5194">
          <cell r="A5194" t="str">
            <v>Huevo blanco A</v>
          </cell>
        </row>
        <row r="5195">
          <cell r="A5195" t="str">
            <v>Huevo blanco AA</v>
          </cell>
        </row>
        <row r="5196">
          <cell r="A5196" t="str">
            <v>Huevo blanco B</v>
          </cell>
        </row>
        <row r="5197">
          <cell r="A5197" t="str">
            <v>Huevo blanco extra</v>
          </cell>
        </row>
        <row r="5198">
          <cell r="A5198" t="str">
            <v>Huevo rojo A</v>
          </cell>
        </row>
        <row r="5199">
          <cell r="A5199" t="str">
            <v>Huevo rojo AA</v>
          </cell>
        </row>
        <row r="5200">
          <cell r="A5200" t="str">
            <v>Huevo rojo B</v>
          </cell>
        </row>
        <row r="5201">
          <cell r="A5201" t="str">
            <v>Huevo rojo extra</v>
          </cell>
        </row>
        <row r="5202">
          <cell r="A5202" t="str">
            <v>Jugo de frutas</v>
          </cell>
        </row>
        <row r="5203">
          <cell r="A5203" t="str">
            <v>Jugo instantáneo (sobre)</v>
          </cell>
        </row>
        <row r="5204">
          <cell r="A5204" t="str">
            <v>Kiwi</v>
          </cell>
        </row>
        <row r="5205">
          <cell r="A5205" t="str">
            <v>Langostino 16-20</v>
          </cell>
        </row>
        <row r="5206">
          <cell r="A5206" t="str">
            <v>Langostino U12</v>
          </cell>
        </row>
        <row r="5207">
          <cell r="A5207" t="str">
            <v>Leche en polvo</v>
          </cell>
        </row>
        <row r="5208">
          <cell r="A5208" t="str">
            <v>Lechuga Batavia</v>
          </cell>
        </row>
        <row r="5209">
          <cell r="A5209" t="str">
            <v>Lechuga crespa morada</v>
          </cell>
        </row>
        <row r="5210">
          <cell r="A5210" t="str">
            <v>Lechuga crespa verde</v>
          </cell>
        </row>
        <row r="5211">
          <cell r="A5211" t="str">
            <v>Lenteja importada</v>
          </cell>
        </row>
        <row r="5212">
          <cell r="A5212" t="str">
            <v>Limón común</v>
          </cell>
        </row>
        <row r="5213">
          <cell r="A5213" t="str">
            <v>Limón común Ciénaga</v>
          </cell>
        </row>
        <row r="5214">
          <cell r="A5214" t="str">
            <v>Limón común valluno</v>
          </cell>
        </row>
        <row r="5215">
          <cell r="A5215" t="str">
            <v>Limón mandarino</v>
          </cell>
        </row>
        <row r="5216">
          <cell r="A5216" t="str">
            <v>Limón Tahití</v>
          </cell>
        </row>
        <row r="5217">
          <cell r="A5217" t="str">
            <v>Lomitos de atún en lata</v>
          </cell>
        </row>
        <row r="5218">
          <cell r="A5218" t="str">
            <v>Lulo</v>
          </cell>
        </row>
        <row r="5219">
          <cell r="A5219" t="str">
            <v>Maíz amarillo cáscara</v>
          </cell>
        </row>
        <row r="5220">
          <cell r="A5220" t="str">
            <v>Maíz amarillo trillado</v>
          </cell>
        </row>
        <row r="5221">
          <cell r="A5221" t="str">
            <v>Maíz blanco cáscara</v>
          </cell>
        </row>
        <row r="5222">
          <cell r="A5222" t="str">
            <v>Maíz blanco retrillado</v>
          </cell>
        </row>
        <row r="5223">
          <cell r="A5223" t="str">
            <v>Maíz blanco trillado</v>
          </cell>
        </row>
        <row r="5224">
          <cell r="A5224" t="str">
            <v>Maíz pira</v>
          </cell>
        </row>
        <row r="5225">
          <cell r="A5225" t="str">
            <v>Mandarina arrayana</v>
          </cell>
        </row>
        <row r="5226">
          <cell r="A5226" t="str">
            <v>Mandarina común</v>
          </cell>
        </row>
        <row r="5227">
          <cell r="A5227" t="str">
            <v>Mandarina Oneco</v>
          </cell>
        </row>
        <row r="5228">
          <cell r="A5228" t="str">
            <v>Mango común</v>
          </cell>
        </row>
        <row r="5229">
          <cell r="A5229" t="str">
            <v>Mango de azúcar</v>
          </cell>
        </row>
        <row r="5230">
          <cell r="A5230" t="str">
            <v>Mango manzano</v>
          </cell>
        </row>
        <row r="5231">
          <cell r="A5231" t="str">
            <v>Mango reina</v>
          </cell>
        </row>
        <row r="5232">
          <cell r="A5232" t="str">
            <v>Mango Tommy</v>
          </cell>
        </row>
        <row r="5233">
          <cell r="A5233" t="str">
            <v>Manteca</v>
          </cell>
        </row>
        <row r="5234">
          <cell r="A5234" t="str">
            <v>Manzana nacional</v>
          </cell>
        </row>
        <row r="5235">
          <cell r="A5235" t="str">
            <v>Manzana roja importada</v>
          </cell>
        </row>
        <row r="5236">
          <cell r="A5236" t="str">
            <v>Manzana royal gala importada</v>
          </cell>
        </row>
        <row r="5237">
          <cell r="A5237" t="str">
            <v>Manzana verde importada</v>
          </cell>
        </row>
        <row r="5238">
          <cell r="A5238" t="str">
            <v>Maracuyá</v>
          </cell>
        </row>
        <row r="5239">
          <cell r="A5239" t="str">
            <v>Maracuyá antioqueño</v>
          </cell>
        </row>
        <row r="5240">
          <cell r="A5240" t="str">
            <v>Maracuyá huilense</v>
          </cell>
        </row>
        <row r="5241">
          <cell r="A5241" t="str">
            <v>Maracuyá santandereano</v>
          </cell>
        </row>
        <row r="5242">
          <cell r="A5242" t="str">
            <v>Maracuyá valluno</v>
          </cell>
        </row>
        <row r="5243">
          <cell r="A5243" t="str">
            <v>Margarina</v>
          </cell>
        </row>
        <row r="5244">
          <cell r="A5244" t="str">
            <v>Mayonesa doy pack</v>
          </cell>
        </row>
        <row r="5245">
          <cell r="A5245" t="str">
            <v>Melón Cantalup</v>
          </cell>
        </row>
        <row r="5246">
          <cell r="A5246" t="str">
            <v>Menudencias de pollo</v>
          </cell>
        </row>
        <row r="5247">
          <cell r="A5247" t="str">
            <v>Merluza, filete importado</v>
          </cell>
        </row>
        <row r="5248">
          <cell r="A5248" t="str">
            <v>Merluza, filete nacional</v>
          </cell>
        </row>
        <row r="5249">
          <cell r="A5249" t="str">
            <v>Mojarra lora entera congelada</v>
          </cell>
        </row>
        <row r="5250">
          <cell r="A5250" t="str">
            <v>Mojarra lora entera fresca</v>
          </cell>
        </row>
        <row r="5251">
          <cell r="A5251" t="str">
            <v>Mora de Castilla</v>
          </cell>
        </row>
        <row r="5252">
          <cell r="A5252" t="str">
            <v>Muslos de pollo con rabadilla</v>
          </cell>
        </row>
        <row r="5253">
          <cell r="A5253" t="str">
            <v>Muslos de pollo sin rabadilla</v>
          </cell>
        </row>
        <row r="5254">
          <cell r="A5254" t="str">
            <v>Naranja común</v>
          </cell>
        </row>
        <row r="5255">
          <cell r="A5255" t="str">
            <v>Naranja Valencia</v>
          </cell>
        </row>
        <row r="5256">
          <cell r="A5256" t="str">
            <v>Nicuro fresco</v>
          </cell>
        </row>
        <row r="5257">
          <cell r="A5257" t="str">
            <v>Ñame criollo</v>
          </cell>
        </row>
        <row r="5258">
          <cell r="A5258" t="str">
            <v>Ñame diamante</v>
          </cell>
        </row>
        <row r="5259">
          <cell r="A5259" t="str">
            <v>Ñame espino</v>
          </cell>
        </row>
        <row r="5260">
          <cell r="A5260" t="str">
            <v>Palmitos de mar</v>
          </cell>
        </row>
        <row r="5261">
          <cell r="A5261" t="str">
            <v>Panela cuadrada blanca</v>
          </cell>
        </row>
        <row r="5262">
          <cell r="A5262" t="str">
            <v>Panela cuadrada morena</v>
          </cell>
        </row>
        <row r="5263">
          <cell r="A5263" t="str">
            <v>Panela redonda morena</v>
          </cell>
        </row>
        <row r="5264">
          <cell r="A5264" t="str">
            <v>Papa capira</v>
          </cell>
        </row>
        <row r="5265">
          <cell r="A5265" t="str">
            <v>Papa capira carmenia</v>
          </cell>
        </row>
        <row r="5266">
          <cell r="A5266" t="str">
            <v>Papa criolla limpia</v>
          </cell>
        </row>
        <row r="5267">
          <cell r="A5267" t="str">
            <v>Papa criolla para lavar</v>
          </cell>
        </row>
        <row r="5268">
          <cell r="A5268" t="str">
            <v>Papa criolla sucia</v>
          </cell>
        </row>
        <row r="5269">
          <cell r="A5269" t="str">
            <v>Papa frita</v>
          </cell>
        </row>
        <row r="5270">
          <cell r="A5270" t="str">
            <v>Papa ICA-Huila</v>
          </cell>
        </row>
        <row r="5271">
          <cell r="A5271" t="str">
            <v>Papa Morasurco</v>
          </cell>
        </row>
        <row r="5272">
          <cell r="A5272" t="str">
            <v>Papa nevada</v>
          </cell>
        </row>
        <row r="5273">
          <cell r="A5273" t="str">
            <v>Papa parda para lavar</v>
          </cell>
        </row>
        <row r="5274">
          <cell r="A5274" t="str">
            <v>Papa parda pastusa</v>
          </cell>
        </row>
        <row r="5275">
          <cell r="A5275" t="str">
            <v>Papa Puracé</v>
          </cell>
        </row>
        <row r="5276">
          <cell r="A5276" t="str">
            <v>Papa R-12 negra</v>
          </cell>
        </row>
        <row r="5277">
          <cell r="A5277" t="str">
            <v>Papa R-12 roja</v>
          </cell>
        </row>
        <row r="5278">
          <cell r="A5278" t="str">
            <v>Papa roja peruana</v>
          </cell>
        </row>
        <row r="5279">
          <cell r="A5279" t="str">
            <v>Papa ruby</v>
          </cell>
        </row>
        <row r="5280">
          <cell r="A5280" t="str">
            <v>Papa sabanera</v>
          </cell>
        </row>
        <row r="5281">
          <cell r="A5281" t="str">
            <v>Papa San Félix</v>
          </cell>
        </row>
        <row r="5282">
          <cell r="A5282" t="str">
            <v>Papa suprema</v>
          </cell>
        </row>
        <row r="5283">
          <cell r="A5283" t="str">
            <v>Papa tocana</v>
          </cell>
        </row>
        <row r="5284">
          <cell r="A5284" t="str">
            <v>Papa tocarreña</v>
          </cell>
        </row>
        <row r="5285">
          <cell r="A5285" t="str">
            <v>Papa única</v>
          </cell>
        </row>
        <row r="5286">
          <cell r="A5286" t="str">
            <v>Papaya hawaiana</v>
          </cell>
        </row>
        <row r="5287">
          <cell r="A5287" t="str">
            <v>Papaya Maradol</v>
          </cell>
        </row>
        <row r="5288">
          <cell r="A5288" t="str">
            <v>Papaya melona</v>
          </cell>
        </row>
        <row r="5289">
          <cell r="A5289" t="str">
            <v>Papaya redonda</v>
          </cell>
        </row>
        <row r="5290">
          <cell r="A5290" t="str">
            <v>Pargo rojo entero congelado</v>
          </cell>
        </row>
        <row r="5291">
          <cell r="A5291" t="str">
            <v>Pargo rojo entero fresco</v>
          </cell>
        </row>
        <row r="5292">
          <cell r="A5292" t="str">
            <v>Pargo rojo platero</v>
          </cell>
        </row>
        <row r="5293">
          <cell r="A5293" t="str">
            <v>Pastas alimenticias</v>
          </cell>
        </row>
        <row r="5294">
          <cell r="A5294" t="str">
            <v>Patilla</v>
          </cell>
        </row>
        <row r="5295">
          <cell r="A5295" t="str">
            <v>Pechuga de pollo</v>
          </cell>
        </row>
        <row r="5296">
          <cell r="A5296" t="str">
            <v>Pepino cohombro</v>
          </cell>
        </row>
        <row r="5297">
          <cell r="A5297" t="str">
            <v>Pepino de rellenar</v>
          </cell>
        </row>
        <row r="5298">
          <cell r="A5298" t="str">
            <v>Pera importada</v>
          </cell>
        </row>
        <row r="5299">
          <cell r="A5299" t="str">
            <v>Perejil</v>
          </cell>
        </row>
        <row r="5300">
          <cell r="A5300" t="str">
            <v>Pescado cabezas</v>
          </cell>
        </row>
        <row r="5301">
          <cell r="A5301" t="str">
            <v>Pierna pernil con rabadilla</v>
          </cell>
        </row>
        <row r="5302">
          <cell r="A5302" t="str">
            <v>Pierna pernil sin rabadilla</v>
          </cell>
        </row>
        <row r="5303">
          <cell r="A5303" t="str">
            <v>Piernas de pollo</v>
          </cell>
        </row>
        <row r="5304">
          <cell r="A5304" t="str">
            <v>Pimentón</v>
          </cell>
        </row>
        <row r="5305">
          <cell r="A5305" t="str">
            <v>Pimentón verde</v>
          </cell>
        </row>
        <row r="5306">
          <cell r="A5306" t="str">
            <v>Piña gold</v>
          </cell>
        </row>
        <row r="5307">
          <cell r="A5307" t="str">
            <v>Piña manzana</v>
          </cell>
        </row>
        <row r="5308">
          <cell r="A5308" t="str">
            <v>Piña perolera</v>
          </cell>
        </row>
        <row r="5309">
          <cell r="A5309" t="str">
            <v>Pitahaya</v>
          </cell>
        </row>
        <row r="5310">
          <cell r="A5310" t="str">
            <v>Plátano comino</v>
          </cell>
        </row>
        <row r="5311">
          <cell r="A5311" t="str">
            <v>Plátano dominico hartón maduro</v>
          </cell>
        </row>
        <row r="5312">
          <cell r="A5312" t="str">
            <v>Plátano dominico hartón verde</v>
          </cell>
        </row>
        <row r="5313">
          <cell r="A5313" t="str">
            <v>Plátano dominico verde</v>
          </cell>
        </row>
        <row r="5314">
          <cell r="A5314" t="str">
            <v>Plátano guineo</v>
          </cell>
        </row>
        <row r="5315">
          <cell r="A5315" t="str">
            <v>Plátano hartón maduro</v>
          </cell>
        </row>
        <row r="5316">
          <cell r="A5316" t="str">
            <v>Plátano hartón verde</v>
          </cell>
        </row>
        <row r="5317">
          <cell r="A5317" t="str">
            <v>Plátano hartón verde llanero</v>
          </cell>
        </row>
        <row r="5318">
          <cell r="A5318" t="str">
            <v>Pollo entero congelado sin vísceras</v>
          </cell>
        </row>
        <row r="5319">
          <cell r="A5319" t="str">
            <v>Pollo entero fresco con vísceras</v>
          </cell>
        </row>
        <row r="5320">
          <cell r="A5320" t="str">
            <v>Pollo entero fresco sin vísceras</v>
          </cell>
        </row>
        <row r="5321">
          <cell r="A5321" t="str">
            <v>Queso campesino</v>
          </cell>
        </row>
        <row r="5322">
          <cell r="A5322" t="str">
            <v>Queso costeño</v>
          </cell>
        </row>
        <row r="5323">
          <cell r="A5323" t="str">
            <v>Queso cuajada</v>
          </cell>
        </row>
        <row r="5324">
          <cell r="A5324" t="str">
            <v>Queso doble crema</v>
          </cell>
        </row>
        <row r="5325">
          <cell r="A5325" t="str">
            <v>Rabadillas de pollo</v>
          </cell>
        </row>
        <row r="5326">
          <cell r="A5326" t="str">
            <v>Rábano rojo</v>
          </cell>
        </row>
        <row r="5327">
          <cell r="A5327" t="str">
            <v>Remolacha</v>
          </cell>
        </row>
        <row r="5328">
          <cell r="A5328" t="str">
            <v>Remolacha bogotana</v>
          </cell>
        </row>
        <row r="5329">
          <cell r="A5329" t="str">
            <v>Remolacha regional</v>
          </cell>
        </row>
        <row r="5330">
          <cell r="A5330" t="str">
            <v>Repollo blanco</v>
          </cell>
        </row>
        <row r="5331">
          <cell r="A5331" t="str">
            <v>Repollo blanco bogotano</v>
          </cell>
        </row>
        <row r="5332">
          <cell r="A5332" t="str">
            <v>Repollo blanco valluno</v>
          </cell>
        </row>
        <row r="5333">
          <cell r="A5333" t="str">
            <v>Repollo morado</v>
          </cell>
        </row>
        <row r="5334">
          <cell r="A5334" t="str">
            <v>Repollo morado antioqueño</v>
          </cell>
        </row>
        <row r="5335">
          <cell r="A5335" t="str">
            <v>Repollo verde regional</v>
          </cell>
        </row>
        <row r="5336">
          <cell r="A5336" t="str">
            <v>Róbalo, filete congelado</v>
          </cell>
        </row>
        <row r="5337">
          <cell r="A5337" t="str">
            <v>Sal yodada</v>
          </cell>
        </row>
        <row r="5338">
          <cell r="A5338" t="str">
            <v>Salmón, filete congelado</v>
          </cell>
        </row>
        <row r="5339">
          <cell r="A5339" t="str">
            <v>Salsa de tomate doy pack</v>
          </cell>
        </row>
        <row r="5340">
          <cell r="A5340" t="str">
            <v>Sardinas en lata</v>
          </cell>
        </row>
        <row r="5341">
          <cell r="A5341" t="str">
            <v>Sierra entera congelada</v>
          </cell>
        </row>
        <row r="5342">
          <cell r="A5342" t="str">
            <v>Sopa de pollo (caja)</v>
          </cell>
        </row>
        <row r="5343">
          <cell r="A5343" t="str">
            <v>Tangelo</v>
          </cell>
        </row>
        <row r="5344">
          <cell r="A5344" t="str">
            <v>Tilapia roja entera congelada</v>
          </cell>
        </row>
        <row r="5345">
          <cell r="A5345" t="str">
            <v>Tilapia roja entera fresca</v>
          </cell>
        </row>
        <row r="5346">
          <cell r="A5346" t="str">
            <v>Tilapia, filete congelado</v>
          </cell>
        </row>
        <row r="5347">
          <cell r="A5347" t="str">
            <v>Tilapia, lomitos</v>
          </cell>
        </row>
        <row r="5348">
          <cell r="A5348" t="str">
            <v>Tomate chonto</v>
          </cell>
        </row>
        <row r="5349">
          <cell r="A5349" t="str">
            <v>Tomate chonto antioqueño</v>
          </cell>
        </row>
        <row r="5350">
          <cell r="A5350" t="str">
            <v>Tomate chonto valluno</v>
          </cell>
        </row>
        <row r="5351">
          <cell r="A5351" t="str">
            <v>Tomate de árbol</v>
          </cell>
        </row>
        <row r="5352">
          <cell r="A5352" t="str">
            <v>Tomate larga vida</v>
          </cell>
        </row>
        <row r="5353">
          <cell r="A5353" t="str">
            <v>Tomate riñón</v>
          </cell>
        </row>
        <row r="5354">
          <cell r="A5354" t="str">
            <v>Tomate riñón valluno</v>
          </cell>
        </row>
        <row r="5355">
          <cell r="A5355" t="str">
            <v>Tomate Riogrande</v>
          </cell>
        </row>
        <row r="5356">
          <cell r="A5356" t="str">
            <v>Tomate Riogrande bumangués</v>
          </cell>
        </row>
        <row r="5357">
          <cell r="A5357" t="str">
            <v>Tomate Riogrande ocañero</v>
          </cell>
        </row>
        <row r="5358">
          <cell r="A5358" t="str">
            <v>Toyo blanco, filete congelado</v>
          </cell>
        </row>
        <row r="5359">
          <cell r="A5359" t="str">
            <v>Trucha en corte mariposa</v>
          </cell>
        </row>
        <row r="5360">
          <cell r="A5360" t="str">
            <v>Trucha entera fresca</v>
          </cell>
        </row>
        <row r="5361">
          <cell r="A5361" t="str">
            <v>Uchuva con cáscara</v>
          </cell>
        </row>
        <row r="5362">
          <cell r="A5362" t="str">
            <v>Ulluco</v>
          </cell>
        </row>
        <row r="5363">
          <cell r="A5363" t="str">
            <v>Uva importada</v>
          </cell>
        </row>
        <row r="5364">
          <cell r="A5364" t="str">
            <v>Uva Isabela</v>
          </cell>
        </row>
        <row r="5365">
          <cell r="A5365" t="str">
            <v>Uva negra</v>
          </cell>
        </row>
        <row r="5366">
          <cell r="A5366" t="str">
            <v>Uva red globe nacional</v>
          </cell>
        </row>
        <row r="5367">
          <cell r="A5367" t="str">
            <v>Uva roja</v>
          </cell>
        </row>
        <row r="5368">
          <cell r="A5368" t="str">
            <v>Uva verde</v>
          </cell>
        </row>
        <row r="5369">
          <cell r="A5369" t="str">
            <v>Vinagre</v>
          </cell>
        </row>
        <row r="5370">
          <cell r="A5370" t="str">
            <v>Yuca chirosa</v>
          </cell>
        </row>
        <row r="5371">
          <cell r="A5371" t="str">
            <v>Yuca criolla</v>
          </cell>
        </row>
        <row r="5372">
          <cell r="A5372" t="str">
            <v>Yuca ICA</v>
          </cell>
        </row>
        <row r="5373">
          <cell r="A5373" t="str">
            <v>Yuca llanera</v>
          </cell>
        </row>
        <row r="5374">
          <cell r="A5374" t="str">
            <v>Zanahoria</v>
          </cell>
        </row>
        <row r="5375">
          <cell r="A5375" t="str">
            <v>Zanahoria bogotana</v>
          </cell>
        </row>
        <row r="5376">
          <cell r="A5376" t="str">
            <v>Zanahoria</v>
          </cell>
        </row>
        <row r="5377">
          <cell r="A5377" t="str">
            <v>Zanahoria bogotana</v>
          </cell>
        </row>
        <row r="5378">
          <cell r="A5378" t="str">
            <v>Leche entera UHT</v>
          </cell>
        </row>
        <row r="5379">
          <cell r="A5379" t="str">
            <v>Mortadela</v>
          </cell>
        </row>
        <row r="5380">
          <cell r="A5380" t="str">
            <v>Salchicha</v>
          </cell>
        </row>
        <row r="5381">
          <cell r="A5381" t="str">
            <v>Arepa</v>
          </cell>
        </row>
        <row r="5382">
          <cell r="A5382" t="str">
            <v>Calado Mantequilla</v>
          </cell>
        </row>
        <row r="5383">
          <cell r="A5383" t="str">
            <v>Pan Blanco</v>
          </cell>
        </row>
        <row r="5384">
          <cell r="A5384" t="str">
            <v>Pan Integral</v>
          </cell>
        </row>
        <row r="5385">
          <cell r="A5385" t="str">
            <v>Pan queso</v>
          </cell>
        </row>
        <row r="5386">
          <cell r="A5386" t="str">
            <v xml:space="preserve">Mogolla </v>
          </cell>
        </row>
        <row r="5387">
          <cell r="A5387" t="str">
            <v>Mojicón Con azúcar</v>
          </cell>
        </row>
        <row r="5388">
          <cell r="A5388" t="str">
            <v>Pan Tostadas</v>
          </cell>
        </row>
        <row r="5389">
          <cell r="A5389" t="str">
            <v>Mermeladas</v>
          </cell>
        </row>
        <row r="5390">
          <cell r="A5390" t="str">
            <v>Te</v>
          </cell>
        </row>
        <row r="5391">
          <cell r="A5391" t="str">
            <v>Pan coco</v>
          </cell>
        </row>
        <row r="5392">
          <cell r="A5392" t="str">
            <v>Queso campesino</v>
          </cell>
        </row>
        <row r="5393">
          <cell r="A5393" t="str">
            <v>Pan blandito</v>
          </cell>
        </row>
        <row r="5394">
          <cell r="A5394" t="str">
            <v>Calado</v>
          </cell>
        </row>
        <row r="5395">
          <cell r="A5395" t="str">
            <v>Pan mantequilla</v>
          </cell>
        </row>
        <row r="5396">
          <cell r="A5396" t="str">
            <v>Galleta de sal</v>
          </cell>
        </row>
        <row r="5397">
          <cell r="A5397" t="str">
            <v>Arepa de choclo</v>
          </cell>
        </row>
        <row r="5398">
          <cell r="A5398" t="str">
            <v>Salchichon</v>
          </cell>
        </row>
        <row r="5399">
          <cell r="A5399" t="str">
            <v>Jamón</v>
          </cell>
        </row>
        <row r="5400">
          <cell r="A5400" t="str">
            <v>Crema de leche</v>
          </cell>
        </row>
        <row r="5401">
          <cell r="A5401" t="str">
            <v>Guascas</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sheetData>
      <sheetData sheetId="3"/>
      <sheetData sheetId="4"/>
      <sheetData sheetId="5">
        <row r="5">
          <cell r="C5" t="str">
            <v>Café con leche</v>
          </cell>
        </row>
        <row r="6">
          <cell r="C6" t="str">
            <v>Té con leche</v>
          </cell>
        </row>
        <row r="7">
          <cell r="C7" t="str">
            <v>Chocolate en leche</v>
          </cell>
        </row>
        <row r="8">
          <cell r="C8" t="str">
            <v>Aguadepanela con leche</v>
          </cell>
        </row>
        <row r="9">
          <cell r="C9" t="str">
            <v xml:space="preserve">Avena   </v>
          </cell>
        </row>
        <row r="10">
          <cell r="C10" t="str">
            <v>Fecula de maiz</v>
          </cell>
        </row>
        <row r="11">
          <cell r="C11" t="str">
            <v xml:space="preserve">Colada en leche </v>
          </cell>
        </row>
        <row r="12">
          <cell r="C12" t="str">
            <v>Carne Pechuga De pollo</v>
          </cell>
        </row>
        <row r="13">
          <cell r="C13" t="str">
            <v>Carne MenuDencias De pollo</v>
          </cell>
        </row>
        <row r="14">
          <cell r="C14" t="str">
            <v xml:space="preserve">Huevo </v>
          </cell>
        </row>
        <row r="15">
          <cell r="C15" t="str">
            <v>Embutido MortaDela</v>
          </cell>
        </row>
        <row r="16">
          <cell r="C16" t="str">
            <v>Carne Semigorda De res</v>
          </cell>
        </row>
        <row r="17">
          <cell r="C17" t="str">
            <v>Queso Semiblando con crema</v>
          </cell>
        </row>
        <row r="18">
          <cell r="C18" t="str">
            <v>Embutido Salchicha</v>
          </cell>
        </row>
        <row r="19">
          <cell r="C19" t="str">
            <v xml:space="preserve">Salchichón </v>
          </cell>
        </row>
        <row r="20">
          <cell r="C20" t="str">
            <v>Arepa Maíz</v>
          </cell>
        </row>
        <row r="21">
          <cell r="C21" t="str">
            <v>Calado Mantequilla</v>
          </cell>
        </row>
        <row r="22">
          <cell r="C22" t="str">
            <v>Pan Blanco</v>
          </cell>
        </row>
        <row r="23">
          <cell r="C23" t="str">
            <v>Pan Integral</v>
          </cell>
        </row>
        <row r="24">
          <cell r="C24" t="str">
            <v>Pan queso</v>
          </cell>
        </row>
        <row r="25">
          <cell r="C25" t="str">
            <v xml:space="preserve">Mogolla </v>
          </cell>
        </row>
        <row r="26">
          <cell r="C26" t="str">
            <v>Mojicón Con azúcar</v>
          </cell>
        </row>
        <row r="27">
          <cell r="C27" t="str">
            <v>Pan Tostadas</v>
          </cell>
        </row>
        <row r="28">
          <cell r="C28" t="str">
            <v>Frutas</v>
          </cell>
        </row>
        <row r="29">
          <cell r="C29" t="str">
            <v>Azúcar</v>
          </cell>
        </row>
        <row r="30">
          <cell r="C30" t="str">
            <v>Chocolate</v>
          </cell>
        </row>
        <row r="31">
          <cell r="C31" t="str">
            <v>Mermeladas</v>
          </cell>
        </row>
        <row r="32">
          <cell r="C32" t="str">
            <v>Panela</v>
          </cell>
        </row>
        <row r="33">
          <cell r="C33" t="str">
            <v>Aceite Soya</v>
          </cell>
        </row>
        <row r="34">
          <cell r="C34" t="str">
            <v>Caldo de carne</v>
          </cell>
        </row>
        <row r="35">
          <cell r="C35" t="str">
            <v>Caldo de menudencias</v>
          </cell>
        </row>
        <row r="36">
          <cell r="C36" t="str">
            <v>Pan coco</v>
          </cell>
        </row>
        <row r="37">
          <cell r="C37" t="str">
            <v>Queso campesino</v>
          </cell>
        </row>
        <row r="38">
          <cell r="C38" t="str">
            <v>Calado</v>
          </cell>
        </row>
        <row r="39">
          <cell r="C39" t="str">
            <v>Caldo de pollo</v>
          </cell>
        </row>
        <row r="40">
          <cell r="C40" t="str">
            <v>Queso doble crema</v>
          </cell>
        </row>
        <row r="41">
          <cell r="C41" t="str">
            <v>Pan mantequilla</v>
          </cell>
        </row>
        <row r="42">
          <cell r="C42" t="str">
            <v>Galleta de sal</v>
          </cell>
        </row>
        <row r="43">
          <cell r="C43" t="str">
            <v>Arepa de choclo</v>
          </cell>
        </row>
        <row r="44">
          <cell r="C44" t="str">
            <v>Changua con huevo</v>
          </cell>
        </row>
        <row r="45">
          <cell r="C45" t="str">
            <v>Jamón</v>
          </cell>
        </row>
        <row r="46">
          <cell r="C46" t="str">
            <v>Otros</v>
          </cell>
        </row>
        <row r="47">
          <cell r="C47" t="str">
            <v>Otros</v>
          </cell>
        </row>
        <row r="48">
          <cell r="C48" t="str">
            <v>Otros</v>
          </cell>
        </row>
        <row r="49">
          <cell r="C49" t="str">
            <v>Otros</v>
          </cell>
        </row>
        <row r="50">
          <cell r="C50" t="str">
            <v>Otros</v>
          </cell>
        </row>
        <row r="52">
          <cell r="C52" t="str">
            <v>Sopa de arroz</v>
          </cell>
        </row>
        <row r="53">
          <cell r="C53" t="str">
            <v>Sopa de guandul</v>
          </cell>
        </row>
        <row r="54">
          <cell r="C54" t="str">
            <v>Sopa de avena</v>
          </cell>
        </row>
        <row r="55">
          <cell r="C55" t="str">
            <v>Sopa de pasta</v>
          </cell>
        </row>
        <row r="56">
          <cell r="C56" t="str">
            <v>Sopa de frijoles</v>
          </cell>
        </row>
        <row r="57">
          <cell r="C57" t="str">
            <v>Sopa de cuchuco</v>
          </cell>
        </row>
        <row r="58">
          <cell r="C58" t="str">
            <v>Sopa de lentejas</v>
          </cell>
        </row>
        <row r="59">
          <cell r="C59" t="str">
            <v>Sopa de harina de maíz amarillo</v>
          </cell>
        </row>
        <row r="60">
          <cell r="C60" t="str">
            <v>Sopa de cuchuco de trigo</v>
          </cell>
        </row>
        <row r="61">
          <cell r="C61" t="str">
            <v>Mute santandereano</v>
          </cell>
        </row>
        <row r="62">
          <cell r="C62" t="str">
            <v>Mazamorra chiquita</v>
          </cell>
        </row>
        <row r="63">
          <cell r="C63" t="str">
            <v>Sopa de garbanzo</v>
          </cell>
        </row>
        <row r="64">
          <cell r="C64" t="str">
            <v>Sopa de colí</v>
          </cell>
        </row>
        <row r="65">
          <cell r="C65" t="str">
            <v>Sopa de plátano</v>
          </cell>
        </row>
        <row r="66">
          <cell r="C66" t="str">
            <v>Sopa de mute</v>
          </cell>
        </row>
        <row r="67">
          <cell r="C67" t="str">
            <v>Sopa de arracacha</v>
          </cell>
        </row>
        <row r="68">
          <cell r="C68" t="str">
            <v>Sopa de ñame</v>
          </cell>
        </row>
        <row r="69">
          <cell r="C69" t="str">
            <v>Sopa de verduras</v>
          </cell>
        </row>
        <row r="70">
          <cell r="C70" t="str">
            <v>Pechuga De pollo</v>
          </cell>
        </row>
        <row r="71">
          <cell r="C71" t="str">
            <v>Semigorda De cerdo</v>
          </cell>
        </row>
        <row r="72">
          <cell r="C72" t="str">
            <v>Semigorda De res</v>
          </cell>
        </row>
        <row r="73">
          <cell r="C73" t="str">
            <v>Atún</v>
          </cell>
        </row>
        <row r="74">
          <cell r="C74" t="str">
            <v>Pescado</v>
          </cell>
        </row>
        <row r="75">
          <cell r="C75" t="str">
            <v>Sardina</v>
          </cell>
        </row>
        <row r="76">
          <cell r="C76" t="str">
            <v>Arroz Blanco</v>
          </cell>
        </row>
        <row r="77">
          <cell r="C77" t="str">
            <v>Arracacha Amarilla</v>
          </cell>
        </row>
        <row r="78">
          <cell r="C78" t="str">
            <v>Ñame 0</v>
          </cell>
        </row>
        <row r="79">
          <cell r="C79" t="str">
            <v>Papa Común</v>
          </cell>
        </row>
        <row r="80">
          <cell r="C80" t="str">
            <v>Papa Criolla</v>
          </cell>
        </row>
        <row r="81">
          <cell r="C81" t="str">
            <v>Yuca 0</v>
          </cell>
        </row>
        <row r="82">
          <cell r="C82" t="str">
            <v>Plátano Hartón</v>
          </cell>
        </row>
        <row r="83">
          <cell r="C83" t="str">
            <v>Ensalada 1</v>
          </cell>
        </row>
        <row r="84">
          <cell r="C84" t="str">
            <v>Ensalada 2</v>
          </cell>
        </row>
        <row r="85">
          <cell r="C85" t="str">
            <v>Ensalada 3</v>
          </cell>
        </row>
        <row r="86">
          <cell r="C86" t="str">
            <v>Ensalada 4</v>
          </cell>
        </row>
        <row r="87">
          <cell r="C87" t="str">
            <v>Ensalada 5</v>
          </cell>
        </row>
        <row r="88">
          <cell r="C88" t="str">
            <v>Ensalada 6</v>
          </cell>
        </row>
        <row r="89">
          <cell r="C89" t="str">
            <v>Ensalada 7</v>
          </cell>
        </row>
        <row r="90">
          <cell r="C90" t="str">
            <v>Ensalada 8</v>
          </cell>
        </row>
        <row r="91">
          <cell r="C91" t="str">
            <v>Ensalada 9</v>
          </cell>
        </row>
        <row r="92">
          <cell r="C92" t="str">
            <v>Ensalada 10</v>
          </cell>
        </row>
        <row r="93">
          <cell r="C93" t="str">
            <v>Ensalada 11</v>
          </cell>
        </row>
        <row r="94">
          <cell r="C94" t="str">
            <v>Ensalada 12</v>
          </cell>
        </row>
        <row r="95">
          <cell r="C95" t="str">
            <v>Ensalada 13</v>
          </cell>
        </row>
        <row r="96">
          <cell r="C96" t="str">
            <v>Ensalada 14</v>
          </cell>
        </row>
        <row r="97">
          <cell r="C97" t="str">
            <v>Mayonesa Con sal</v>
          </cell>
        </row>
        <row r="98">
          <cell r="C98" t="str">
            <v>Crema De leche</v>
          </cell>
        </row>
        <row r="99">
          <cell r="C99" t="str">
            <v>Aceite Vegetal</v>
          </cell>
        </row>
        <row r="100">
          <cell r="C100" t="str">
            <v>jugo Fresa</v>
          </cell>
        </row>
        <row r="101">
          <cell r="C101" t="str">
            <v>jugo Guayaba</v>
          </cell>
        </row>
        <row r="102">
          <cell r="C102" t="str">
            <v>jugo Lulo</v>
          </cell>
        </row>
        <row r="103">
          <cell r="C103" t="str">
            <v>jugo Mango</v>
          </cell>
        </row>
        <row r="104">
          <cell r="C104" t="str">
            <v>jugo Maracuyá</v>
          </cell>
        </row>
        <row r="105">
          <cell r="C105" t="str">
            <v>jugo Mora</v>
          </cell>
        </row>
        <row r="106">
          <cell r="C106" t="str">
            <v>jugo Tomate de árbol</v>
          </cell>
        </row>
        <row r="107">
          <cell r="C107" t="str">
            <v>Jugo de fruta</v>
          </cell>
        </row>
        <row r="108">
          <cell r="C108" t="str">
            <v>Azúcar</v>
          </cell>
        </row>
        <row r="109">
          <cell r="C109" t="str">
            <v>Panela</v>
          </cell>
        </row>
        <row r="110">
          <cell r="C110" t="str">
            <v>Aceite Soya</v>
          </cell>
        </row>
        <row r="111">
          <cell r="C111" t="str">
            <v>Tomate Chonto</v>
          </cell>
        </row>
        <row r="112">
          <cell r="C112" t="str">
            <v>Cebolla Cabezona</v>
          </cell>
        </row>
        <row r="113">
          <cell r="C113" t="str">
            <v>Aceite Soya-</v>
          </cell>
        </row>
        <row r="114">
          <cell r="C114" t="str">
            <v>Guisos</v>
          </cell>
        </row>
        <row r="115">
          <cell r="C115" t="str">
            <v>Sopa de ajiaco</v>
          </cell>
        </row>
        <row r="116">
          <cell r="C116" t="str">
            <v>Pernil de pollo</v>
          </cell>
        </row>
        <row r="117">
          <cell r="C117" t="str">
            <v>Sopa de torrejas</v>
          </cell>
        </row>
        <row r="118">
          <cell r="C118" t="str">
            <v xml:space="preserve">Cascabeles </v>
          </cell>
        </row>
        <row r="119">
          <cell r="C119" t="str">
            <v>Carne de cerdo</v>
          </cell>
        </row>
        <row r="120">
          <cell r="C120" t="str">
            <v>Mojarra</v>
          </cell>
        </row>
        <row r="121">
          <cell r="C121" t="str">
            <v>Sancocho (papa, yuca, plátano)</v>
          </cell>
        </row>
        <row r="122">
          <cell r="C122" t="str">
            <v>Sobrebarriga</v>
          </cell>
        </row>
        <row r="123">
          <cell r="C123" t="str">
            <v>Mixto de res y de pollo</v>
          </cell>
        </row>
        <row r="124">
          <cell r="C124" t="str">
            <v>Mazamorra dulce</v>
          </cell>
        </row>
        <row r="125">
          <cell r="C125" t="str">
            <v>Sopa de cebada perlada</v>
          </cell>
        </row>
        <row r="126">
          <cell r="C126" t="str">
            <v>Cazuela de lentejas</v>
          </cell>
        </row>
        <row r="127">
          <cell r="C127" t="str">
            <v>Otros</v>
          </cell>
        </row>
        <row r="128">
          <cell r="C128" t="str">
            <v>Cazuela de frijoles</v>
          </cell>
        </row>
        <row r="129">
          <cell r="C129" t="str">
            <v>Pico de gallo</v>
          </cell>
        </row>
        <row r="130">
          <cell r="C130" t="str">
            <v>Sancocho de gallina tipico</v>
          </cell>
        </row>
        <row r="131">
          <cell r="C131" t="str">
            <v>Sopa de pajarilla</v>
          </cell>
        </row>
        <row r="132">
          <cell r="C132" t="str">
            <v>Filete de merluza</v>
          </cell>
        </row>
        <row r="133">
          <cell r="C133" t="str">
            <v>Sopa de pollo</v>
          </cell>
        </row>
        <row r="134">
          <cell r="C134" t="str">
            <v>Sopa de carne</v>
          </cell>
        </row>
        <row r="135">
          <cell r="C135" t="str">
            <v>Sopa de mondongo con garbanzos</v>
          </cell>
        </row>
        <row r="136">
          <cell r="C136" t="str">
            <v xml:space="preserve">Sopa de la huerta </v>
          </cell>
        </row>
        <row r="137">
          <cell r="C137" t="str">
            <v>Otros</v>
          </cell>
        </row>
        <row r="138">
          <cell r="C138" t="str">
            <v>Otros</v>
          </cell>
        </row>
        <row r="139">
          <cell r="C139" t="str">
            <v>Otros</v>
          </cell>
        </row>
        <row r="140">
          <cell r="C140" t="str">
            <v>Otros</v>
          </cell>
        </row>
        <row r="141">
          <cell r="C141" t="str">
            <v>Otros</v>
          </cell>
        </row>
      </sheetData>
      <sheetData sheetId="6"/>
      <sheetData sheetId="7"/>
      <sheetData sheetId="8">
        <row r="6">
          <cell r="B6" t="str">
            <v>Directivo 1</v>
          </cell>
        </row>
      </sheetData>
      <sheetData sheetId="9"/>
      <sheetData sheetId="10"/>
      <sheetData sheetId="11"/>
      <sheetData sheetId="12"/>
      <sheetData sheetId="13"/>
      <sheetData sheetId="14"/>
      <sheetData sheetId="15"/>
      <sheetData sheetId="16"/>
      <sheetData sheetId="17">
        <row r="110">
          <cell r="A110" t="str">
            <v>Sensorial</v>
          </cell>
        </row>
        <row r="111">
          <cell r="A111" t="str">
            <v>Densidad</v>
          </cell>
        </row>
        <row r="112">
          <cell r="A112" t="str">
            <v>Acidez como ácido láctico</v>
          </cell>
        </row>
        <row r="113">
          <cell r="A113" t="str">
            <v>PH</v>
          </cell>
        </row>
        <row r="114">
          <cell r="A114" t="str">
            <v>Volúmen por ración</v>
          </cell>
        </row>
        <row r="115">
          <cell r="A115" t="str">
            <v>Peso por ración</v>
          </cell>
        </row>
        <row r="116">
          <cell r="A116" t="str">
            <v>Extracto seco no graso</v>
          </cell>
        </row>
        <row r="117">
          <cell r="A117" t="str">
            <v>Indice insolubilidad</v>
          </cell>
        </row>
        <row r="118">
          <cell r="A118" t="str">
            <v>Vitamina A</v>
          </cell>
        </row>
        <row r="119">
          <cell r="A119" t="str">
            <v>Vitamina D</v>
          </cell>
        </row>
        <row r="120">
          <cell r="A120" t="str">
            <v>°Brix</v>
          </cell>
        </row>
        <row r="121">
          <cell r="A121" t="str">
            <v>Zinc</v>
          </cell>
        </row>
        <row r="122">
          <cell r="A122" t="str">
            <v>Hierro</v>
          </cell>
        </row>
        <row r="123">
          <cell r="A123" t="str">
            <v>Sodio (cloruro de)</v>
          </cell>
        </row>
        <row r="124">
          <cell r="A124" t="str">
            <v>Arsénico</v>
          </cell>
        </row>
        <row r="125">
          <cell r="A125" t="str">
            <v>Cloro</v>
          </cell>
        </row>
        <row r="126">
          <cell r="A126" t="str">
            <v>Plomo</v>
          </cell>
        </row>
        <row r="127">
          <cell r="A127" t="str">
            <v>Cobre</v>
          </cell>
        </row>
        <row r="128">
          <cell r="A128" t="str">
            <v>Cadmio</v>
          </cell>
        </row>
        <row r="129">
          <cell r="A129" t="str">
            <v>Mercurio</v>
          </cell>
        </row>
        <row r="130">
          <cell r="A130" t="str">
            <v>Metilmercurio</v>
          </cell>
        </row>
        <row r="131">
          <cell r="A131" t="str">
            <v>Iodo</v>
          </cell>
        </row>
        <row r="132">
          <cell r="A132" t="str">
            <v>Fluor</v>
          </cell>
        </row>
        <row r="133">
          <cell r="A133" t="str">
            <v>Fósforo, cromo</v>
          </cell>
        </row>
        <row r="134">
          <cell r="A134" t="str">
            <v>Ácido Fólico</v>
          </cell>
        </row>
        <row r="135">
          <cell r="A135" t="str">
            <v>Proteínas</v>
          </cell>
        </row>
        <row r="136">
          <cell r="A136" t="str">
            <v>Carbohidratos</v>
          </cell>
        </row>
        <row r="137">
          <cell r="A137" t="str">
            <v>Grasas</v>
          </cell>
        </row>
        <row r="138">
          <cell r="A138" t="str">
            <v>Cenizas</v>
          </cell>
        </row>
        <row r="139">
          <cell r="A139" t="str">
            <v>Mesófilos</v>
          </cell>
        </row>
        <row r="140">
          <cell r="A140" t="str">
            <v>Coliformes Totales</v>
          </cell>
        </row>
        <row r="141">
          <cell r="A141" t="str">
            <v>E. Coli</v>
          </cell>
        </row>
        <row r="142">
          <cell r="A142" t="str">
            <v xml:space="preserve">Salmonella </v>
          </cell>
        </row>
        <row r="143">
          <cell r="A143" t="str">
            <v>Mohos y levaduras</v>
          </cell>
        </row>
        <row r="144">
          <cell r="A144" t="str">
            <v>Esporas Clostridium sulfito reductoras</v>
          </cell>
        </row>
        <row r="145">
          <cell r="A145" t="str">
            <v>Staphylococcus aureus coagulasa positivos</v>
          </cell>
        </row>
        <row r="146">
          <cell r="A146" t="str">
            <v>Bacillus Cereus</v>
          </cell>
        </row>
        <row r="147">
          <cell r="A147" t="str">
            <v>Listeria monocytogenes</v>
          </cell>
        </row>
        <row r="148">
          <cell r="A148" t="str">
            <v>Esterilidad Comercial</v>
          </cell>
        </row>
        <row r="149">
          <cell r="A149" t="str">
            <v>Humedad</v>
          </cell>
        </row>
        <row r="150">
          <cell r="A150" t="str">
            <v>%granos partidos</v>
          </cell>
        </row>
        <row r="151">
          <cell r="A151" t="str">
            <v>%granos yesados</v>
          </cell>
        </row>
        <row r="152">
          <cell r="A152" t="str">
            <v>%granos rojos</v>
          </cell>
        </row>
        <row r="153">
          <cell r="A153" t="str">
            <v>%impurezas</v>
          </cell>
        </row>
        <row r="154">
          <cell r="A154" t="str">
            <v>Índice de refracción</v>
          </cell>
        </row>
        <row r="155">
          <cell r="A155" t="str">
            <v>Índice de peróxidos</v>
          </cell>
        </row>
        <row r="156">
          <cell r="A156" t="str">
            <v>Perfil lipídico</v>
          </cell>
        </row>
        <row r="157">
          <cell r="A157" t="str">
            <v xml:space="preserve"> Aflatoxinas B1</v>
          </cell>
        </row>
        <row r="158">
          <cell r="A158" t="str">
            <v xml:space="preserve"> Aflatoxinas B2</v>
          </cell>
        </row>
        <row r="159">
          <cell r="A159" t="str">
            <v>Aflatoxinas M1</v>
          </cell>
        </row>
        <row r="160">
          <cell r="A160" t="str">
            <v>Aflatoxinas M2</v>
          </cell>
        </row>
        <row r="161">
          <cell r="A161" t="str">
            <v>Aflatoxinas G1</v>
          </cell>
        </row>
        <row r="162">
          <cell r="A162" t="str">
            <v xml:space="preserve"> Aflatoxinas  G2</v>
          </cell>
        </row>
        <row r="163">
          <cell r="A163" t="str">
            <v>Residuos de plaguicidas</v>
          </cell>
        </row>
        <row r="164">
          <cell r="A164" t="str">
            <v>Propionato</v>
          </cell>
        </row>
        <row r="165">
          <cell r="A165" t="str">
            <v xml:space="preserve"> Acido Sorbico y sus sales</v>
          </cell>
        </row>
        <row r="166">
          <cell r="A166" t="str">
            <v>Acido benzoico y sus sales</v>
          </cell>
        </row>
        <row r="167">
          <cell r="A167" t="str">
            <v>Calcio</v>
          </cell>
        </row>
        <row r="168">
          <cell r="A168" t="str">
            <v>Vitamina C</v>
          </cell>
        </row>
        <row r="169">
          <cell r="A169" t="str">
            <v>Tiamina (vitamina B1)</v>
          </cell>
        </row>
        <row r="170">
          <cell r="A170" t="str">
            <v>Niacina</v>
          </cell>
        </row>
        <row r="171">
          <cell r="A171" t="str">
            <v xml:space="preserve">Rivoflavina (vitamina B2) </v>
          </cell>
        </row>
        <row r="172">
          <cell r="A172" t="str">
            <v>Vitamina B12</v>
          </cell>
        </row>
        <row r="173">
          <cell r="A173" t="str">
            <v>Granulometria</v>
          </cell>
        </row>
        <row r="174">
          <cell r="A174" t="str">
            <v>Vitamina B6</v>
          </cell>
        </row>
        <row r="175">
          <cell r="A175" t="str">
            <v>Pollo, carne, pescado o huevo y verdura cocida</v>
          </cell>
        </row>
        <row r="176">
          <cell r="A176" t="str">
            <v>Ensalada Cruda (Cuando no haya verdura cocida)</v>
          </cell>
        </row>
        <row r="177">
          <cell r="A177" t="str">
            <v>Jugos de fruta</v>
          </cell>
        </row>
        <row r="178">
          <cell r="A178" t="str">
            <v>Leche servida (Cuando no haya jugo)</v>
          </cell>
        </row>
        <row r="179">
          <cell r="A179" t="str">
            <v>Agua Potable</v>
          </cell>
        </row>
        <row r="180">
          <cell r="A180" t="str">
            <v>Frotis de manos limpias</v>
          </cell>
        </row>
        <row r="181">
          <cell r="A181" t="str">
            <v>Frotis de superficie</v>
          </cell>
        </row>
        <row r="182">
          <cell r="A182" t="str">
            <v>Ambientes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reComunitariaFAMI"/>
      <sheetName val="BENEFICIARIOEXTRANJEROFAMI"/>
      <sheetName val="LISTAS"/>
    </sheetNames>
    <sheetDataSet>
      <sheetData sheetId="0" refreshError="1"/>
      <sheetData sheetId="1" refreshError="1"/>
      <sheetData sheetId="2">
        <row r="2">
          <cell r="E2" t="str">
            <v>ANALISIS Y DESARROLLO DE SISTEMAS DE INFORMACION</v>
          </cell>
          <cell r="F2">
            <v>0</v>
          </cell>
          <cell r="G2">
            <v>0</v>
          </cell>
          <cell r="J2" t="str">
            <v>CZ BARRIOS UNIDOS</v>
          </cell>
        </row>
        <row r="3">
          <cell r="E3" t="str">
            <v>APLICACION DE TECNOLOGIAS EN UNIDADES DE INFORMACION</v>
          </cell>
          <cell r="F3">
            <v>1</v>
          </cell>
          <cell r="G3">
            <v>1</v>
          </cell>
          <cell r="J3" t="str">
            <v>CZ BOSA</v>
          </cell>
        </row>
        <row r="4">
          <cell r="E4" t="str">
            <v>DISEÑO DE SITIOS DE WEB</v>
          </cell>
          <cell r="F4">
            <v>2</v>
          </cell>
          <cell r="G4">
            <v>2</v>
          </cell>
          <cell r="J4" t="str">
            <v>CZ CIUDAD BOLIVAR</v>
          </cell>
        </row>
        <row r="5">
          <cell r="E5" t="str">
            <v>SOPORTE / INSTALACION DE REDES</v>
          </cell>
          <cell r="F5">
            <v>3</v>
          </cell>
          <cell r="G5">
            <v>3</v>
          </cell>
          <cell r="J5" t="str">
            <v>CZ ENGATIVA</v>
          </cell>
        </row>
        <row r="6">
          <cell r="E6" t="str">
            <v>MANTENIMIENTO DE EQUIPOS PARA RADIO Y TELEVISION</v>
          </cell>
          <cell r="F6">
            <v>4</v>
          </cell>
          <cell r="G6">
            <v>4</v>
          </cell>
          <cell r="J6" t="str">
            <v>CZ FONTIBON</v>
          </cell>
        </row>
        <row r="7">
          <cell r="E7" t="str">
            <v>PROGRAMACION DE SOFTWARE</v>
          </cell>
          <cell r="F7">
            <v>5</v>
          </cell>
          <cell r="G7">
            <v>5</v>
          </cell>
          <cell r="J7" t="str">
            <v>CZ KENNEDY</v>
          </cell>
        </row>
        <row r="8">
          <cell r="E8" t="str">
            <v>RADIO Y TELEVISION</v>
          </cell>
          <cell r="F8">
            <v>6</v>
          </cell>
          <cell r="G8">
            <v>6</v>
          </cell>
          <cell r="H8" t="str">
            <v>TECNICO</v>
          </cell>
          <cell r="J8" t="str">
            <v>CZ MARTIRES</v>
          </cell>
        </row>
        <row r="9">
          <cell r="E9" t="str">
            <v>ENSAMBLE Y MANTENIMIENTO DE EQUIPO DE COMPUTO</v>
          </cell>
          <cell r="F9">
            <v>7</v>
          </cell>
          <cell r="G9">
            <v>7</v>
          </cell>
          <cell r="H9" t="str">
            <v>TECNOLOGO</v>
          </cell>
          <cell r="J9" t="str">
            <v>CZ POPAYAN</v>
          </cell>
        </row>
        <row r="10">
          <cell r="E10" t="str">
            <v xml:space="preserve">SISTEMAS </v>
          </cell>
          <cell r="F10">
            <v>8</v>
          </cell>
          <cell r="G10">
            <v>8</v>
          </cell>
          <cell r="H10" t="str">
            <v>PROFESIONAL</v>
          </cell>
          <cell r="J10" t="str">
            <v>CZ PUENTE ARANDA</v>
          </cell>
        </row>
        <row r="11">
          <cell r="E11" t="str">
            <v>INFORMATICA Y REDES</v>
          </cell>
          <cell r="F11">
            <v>9</v>
          </cell>
          <cell r="G11">
            <v>9</v>
          </cell>
          <cell r="H11" t="str">
            <v>NINGUNO</v>
          </cell>
          <cell r="J11" t="str">
            <v>CZ RAFAEL URIBE</v>
          </cell>
        </row>
        <row r="12">
          <cell r="E12" t="str">
            <v>PROFESIONAL EN SISTEMAS E INFORMATICA</v>
          </cell>
          <cell r="F12">
            <v>10</v>
          </cell>
          <cell r="G12">
            <v>10</v>
          </cell>
          <cell r="J12" t="str">
            <v>CZ REVIVIR</v>
          </cell>
        </row>
        <row r="13">
          <cell r="E13" t="str">
            <v>PROFESIONAL EN TELEINFORMATICA</v>
          </cell>
          <cell r="F13">
            <v>11</v>
          </cell>
          <cell r="G13">
            <v>11</v>
          </cell>
          <cell r="H13" t="str">
            <v>SI</v>
          </cell>
          <cell r="J13" t="str">
            <v>CZ SAN CRISTOBAL SUR</v>
          </cell>
        </row>
        <row r="14">
          <cell r="E14" t="str">
            <v>TELECOMUNICACIONES</v>
          </cell>
          <cell r="F14">
            <v>12</v>
          </cell>
          <cell r="G14">
            <v>12</v>
          </cell>
          <cell r="H14" t="str">
            <v>NO</v>
          </cell>
          <cell r="J14" t="str">
            <v>CZ SANTA FE</v>
          </cell>
        </row>
        <row r="15">
          <cell r="E15" t="str">
            <v>MANTENIMIENTO DE COMPUTADORES</v>
          </cell>
          <cell r="F15">
            <v>13</v>
          </cell>
          <cell r="G15">
            <v>13</v>
          </cell>
          <cell r="J15" t="str">
            <v>CZ SUBA</v>
          </cell>
        </row>
        <row r="16">
          <cell r="E16" t="str">
            <v>IMPRESION FLEXOGRAFICA</v>
          </cell>
          <cell r="F16">
            <v>14</v>
          </cell>
          <cell r="G16">
            <v>14</v>
          </cell>
          <cell r="J16" t="str">
            <v>CZ TUNJUELITO</v>
          </cell>
        </row>
        <row r="17">
          <cell r="E17" t="str">
            <v>DISEÑO ARQUITECTONICO CON AUTOCAD</v>
          </cell>
          <cell r="F17">
            <v>15</v>
          </cell>
          <cell r="G17">
            <v>15</v>
          </cell>
          <cell r="J17" t="str">
            <v>CZ USAQUEN</v>
          </cell>
        </row>
        <row r="18">
          <cell r="E18" t="str">
            <v>TALLA EN PIEDRA</v>
          </cell>
          <cell r="F18">
            <v>16</v>
          </cell>
          <cell r="J18" t="str">
            <v>CZ USME</v>
          </cell>
        </row>
        <row r="19">
          <cell r="E19" t="str">
            <v>DIBUJO ASISTIDO POR COMPUTADOR</v>
          </cell>
          <cell r="F19">
            <v>17</v>
          </cell>
        </row>
        <row r="20">
          <cell r="E20" t="str">
            <v>JOYERIA</v>
          </cell>
          <cell r="F20">
            <v>18</v>
          </cell>
        </row>
        <row r="21">
          <cell r="E21" t="str">
            <v>IMPRESION OFFSET</v>
          </cell>
          <cell r="F21">
            <v>19</v>
          </cell>
        </row>
        <row r="22">
          <cell r="E22" t="str">
            <v>DISEÑO DE MODAS</v>
          </cell>
          <cell r="F22">
            <v>20</v>
          </cell>
        </row>
        <row r="23">
          <cell r="E23" t="str">
            <v>DISEÑO GRAFICO</v>
          </cell>
          <cell r="F23">
            <v>21</v>
          </cell>
        </row>
        <row r="24">
          <cell r="E24" t="str">
            <v>DISEÑO Y FABRICACION DE  CALZADO</v>
          </cell>
          <cell r="F24">
            <v>22</v>
          </cell>
        </row>
        <row r="25">
          <cell r="E25" t="str">
            <v>ESTAMPACION TEXTIL</v>
          </cell>
          <cell r="F25">
            <v>23</v>
          </cell>
        </row>
        <row r="26">
          <cell r="E26" t="str">
            <v>SCREEN Y SERIGRAFIA</v>
          </cell>
          <cell r="F26">
            <v>24</v>
          </cell>
        </row>
        <row r="27">
          <cell r="E27" t="str">
            <v>COCINA</v>
          </cell>
          <cell r="F27">
            <v>25</v>
          </cell>
        </row>
        <row r="28">
          <cell r="E28" t="str">
            <v>CONFECCION</v>
          </cell>
          <cell r="F28">
            <v>26</v>
          </cell>
        </row>
        <row r="29">
          <cell r="E29" t="str">
            <v>PROCESAMIENTO DE CARNICOS</v>
          </cell>
          <cell r="F29">
            <v>27</v>
          </cell>
        </row>
        <row r="30">
          <cell r="E30" t="str">
            <v>PANADERIA Y PASTELERIA</v>
          </cell>
          <cell r="F30">
            <v>28</v>
          </cell>
        </row>
        <row r="31">
          <cell r="E31" t="str">
            <v>PROCESAMIENTO DE FRUTAS Y HORTALIZAS</v>
          </cell>
          <cell r="F31">
            <v>29</v>
          </cell>
        </row>
        <row r="32">
          <cell r="E32" t="str">
            <v>MARROQUINERIA</v>
          </cell>
          <cell r="F32">
            <v>30</v>
          </cell>
        </row>
        <row r="33">
          <cell r="E33" t="str">
            <v>TAPICERIA</v>
          </cell>
        </row>
        <row r="34">
          <cell r="E34" t="str">
            <v>EBANISTERIA / CARPINTERIA</v>
          </cell>
        </row>
        <row r="35">
          <cell r="E35" t="str">
            <v>PROCESAMIENTO DE  LACTEOS</v>
          </cell>
        </row>
        <row r="36">
          <cell r="E36" t="str">
            <v>MAQUINA PLANA</v>
          </cell>
        </row>
        <row r="37">
          <cell r="E37" t="str">
            <v>CULTIVO Y COSECHA</v>
          </cell>
        </row>
        <row r="38">
          <cell r="E38" t="str">
            <v>ARTESANIAS</v>
          </cell>
        </row>
        <row r="39">
          <cell r="E39" t="str">
            <v>INSTALACION Y MANTENIMIENTO DE EQUIPOS</v>
          </cell>
        </row>
        <row r="40">
          <cell r="E40" t="str">
            <v>OPERACION DE EQUIPOS PESADOS</v>
          </cell>
        </row>
        <row r="41">
          <cell r="E41" t="str">
            <v>ELECTRONICA</v>
          </cell>
        </row>
        <row r="42">
          <cell r="E42" t="str">
            <v>CARROCERIA Y PINTURA AUTOMOTRIZ</v>
          </cell>
        </row>
        <row r="43">
          <cell r="E43" t="str">
            <v>ELECTRICIDAD</v>
          </cell>
        </row>
        <row r="44">
          <cell r="E44" t="str">
            <v>MECANICA AUTOMOTRIZ</v>
          </cell>
        </row>
        <row r="45">
          <cell r="E45" t="str">
            <v>SOLDADURA</v>
          </cell>
        </row>
        <row r="46">
          <cell r="E46" t="str">
            <v>EXPLOTACIONES AGROPECUARIAS</v>
          </cell>
        </row>
        <row r="47">
          <cell r="E47" t="str">
            <v>TOPOGRAFIA</v>
          </cell>
        </row>
        <row r="48">
          <cell r="E48" t="str">
            <v>VIGILANCIA Y CONTROL DEL AMBIENTE</v>
          </cell>
        </row>
        <row r="49">
          <cell r="E49" t="str">
            <v>CONSTRUCCION</v>
          </cell>
        </row>
        <row r="50">
          <cell r="E50" t="str">
            <v>GUIANZA TURISTICA</v>
          </cell>
        </row>
        <row r="51">
          <cell r="E51" t="str">
            <v>MAYORDOMIA DE EMPRESAS GANADERAS</v>
          </cell>
        </row>
        <row r="52">
          <cell r="E52" t="str">
            <v>MESA Y BAR</v>
          </cell>
        </row>
        <row r="53">
          <cell r="E53" t="str">
            <v>RECREACION</v>
          </cell>
        </row>
        <row r="54">
          <cell r="E54" t="str">
            <v>ADMINISTRACION DE EMPRESAS</v>
          </cell>
        </row>
        <row r="55">
          <cell r="E55" t="str">
            <v>COMERCIO INTERNACIONAL</v>
          </cell>
        </row>
        <row r="56">
          <cell r="E56" t="str">
            <v>TRANSPORTE</v>
          </cell>
        </row>
        <row r="57">
          <cell r="E57" t="str">
            <v>ASEADORES ESPECIALIZADOS</v>
          </cell>
        </row>
        <row r="58">
          <cell r="E58" t="str">
            <v>LABORES ADMINISTRATIVAS</v>
          </cell>
        </row>
        <row r="59">
          <cell r="E59" t="str">
            <v>AUXILIAR DE ENFERMERIA</v>
          </cell>
        </row>
        <row r="60">
          <cell r="E60" t="str">
            <v>SECRETARIADO</v>
          </cell>
        </row>
        <row r="61">
          <cell r="E61" t="str">
            <v>VENTA  DE PRODUCTOS Y SERVICIOS</v>
          </cell>
        </row>
        <row r="62">
          <cell r="E62" t="str">
            <v>ESTETICA Y COSMETOLOGIA</v>
          </cell>
        </row>
        <row r="63">
          <cell r="E63" t="str">
            <v>HOTELERIA Y TURISMO</v>
          </cell>
        </row>
        <row r="64">
          <cell r="E64" t="str">
            <v>CONTABILIDAD</v>
          </cell>
        </row>
        <row r="65">
          <cell r="E65" t="str">
            <v>FORMACION Y ATENCION A LA PRIMERA INFANCIA (MADRES COMUNITARIAS ICBF)</v>
          </cell>
        </row>
        <row r="66">
          <cell r="E66" t="str">
            <v>MANIPULACION DE ALIMENTOS</v>
          </cell>
        </row>
        <row r="67">
          <cell r="E67" t="str">
            <v>PEDAGOGIA HUMANA-COMPLEMENTARIA</v>
          </cell>
        </row>
        <row r="68">
          <cell r="E68" t="str">
            <v>PEDAGOGIA INFANTIL-COMPLEMENTARIA</v>
          </cell>
        </row>
        <row r="69">
          <cell r="E69" t="str">
            <v>NO ESTA INTERESADO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rifa MT"/>
      <sheetName val="FP"/>
      <sheetName val="PERSONAL"/>
      <sheetName val="IMPUESTOS"/>
      <sheetName val="AIU"/>
      <sheetName val="TOTAL OBRA"/>
      <sheetName val="FM (2)"/>
      <sheetName val="COSTEO FM"/>
      <sheetName val="IPC"/>
      <sheetName val="Ensayos Laboratorio"/>
    </sheetNames>
    <sheetDataSet>
      <sheetData sheetId="0" refreshError="1"/>
      <sheetData sheetId="1" refreshError="1"/>
      <sheetData sheetId="2">
        <row r="12">
          <cell r="P12">
            <v>4245565.5348864151</v>
          </cell>
        </row>
        <row r="34">
          <cell r="P34">
            <v>105452.59802046463</v>
          </cell>
        </row>
        <row r="46">
          <cell r="P46">
            <v>0</v>
          </cell>
        </row>
        <row r="58">
          <cell r="P58">
            <v>0</v>
          </cell>
        </row>
        <row r="69">
          <cell r="P69">
            <v>473876.25</v>
          </cell>
        </row>
        <row r="88">
          <cell r="P88">
            <v>1000000</v>
          </cell>
        </row>
        <row r="93">
          <cell r="P93">
            <v>470000</v>
          </cell>
        </row>
        <row r="100">
          <cell r="P100">
            <v>0</v>
          </cell>
        </row>
        <row r="122">
          <cell r="P122">
            <v>0</v>
          </cell>
        </row>
      </sheetData>
      <sheetData sheetId="3">
        <row r="10">
          <cell r="F10">
            <v>47260486.611418962</v>
          </cell>
        </row>
        <row r="16">
          <cell r="E16">
            <v>6000000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Datos Generales"/>
      <sheetName val="PM1"/>
      <sheetName val="PM2"/>
      <sheetName val="PM3"/>
      <sheetName val="Resumen"/>
      <sheetName val="Estr.General"/>
      <sheetName val="Salarios FP"/>
      <sheetName val="Microbiologicos"/>
      <sheetName val="Costo Adminst."/>
      <sheetName val="Visitas"/>
      <sheetName val="Incumplimientos"/>
      <sheetName val="Patrimonio"/>
      <sheetName val="Municipios"/>
      <sheetName val="Clasif.munip"/>
      <sheetName val="Formato P.E"/>
      <sheetName val="F.M"/>
    </sheetNames>
    <sheetDataSet>
      <sheetData sheetId="0"/>
      <sheetData sheetId="1"/>
      <sheetData sheetId="2">
        <row r="10">
          <cell r="G10">
            <v>20</v>
          </cell>
        </row>
        <row r="24">
          <cell r="G24">
            <v>6</v>
          </cell>
        </row>
      </sheetData>
      <sheetData sheetId="3"/>
      <sheetData sheetId="4"/>
      <sheetData sheetId="5"/>
      <sheetData sheetId="6"/>
      <sheetData sheetId="7">
        <row r="5">
          <cell r="G5">
            <v>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3">
          <cell r="A3" t="str">
            <v>Nacional</v>
          </cell>
        </row>
        <row r="6">
          <cell r="A6" t="str">
            <v>Si</v>
          </cell>
        </row>
        <row r="7">
          <cell r="A7" t="str">
            <v>No</v>
          </cell>
        </row>
        <row r="11">
          <cell r="A11" t="str">
            <v>Estatal</v>
          </cell>
        </row>
        <row r="12">
          <cell r="A12" t="str">
            <v>Privada</v>
          </cell>
        </row>
        <row r="13">
          <cell r="A13" t="str">
            <v>Mixta</v>
          </cell>
        </row>
        <row r="15">
          <cell r="A15" t="str">
            <v>Unión Temporal</v>
          </cell>
        </row>
        <row r="16">
          <cell r="A16" t="str">
            <v>Consorcio</v>
          </cell>
        </row>
        <row r="17">
          <cell r="A17" t="str">
            <v>Individual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JS Seguimiento Evaluación"/>
      <sheetName val="Resumen de Costos"/>
      <sheetName val="tabla de Viaticos"/>
      <sheetName val="Cotización tiq Aereos"/>
    </sheetNames>
    <sheetDataSet>
      <sheetData sheetId="0"/>
      <sheetData sheetId="1">
        <row r="10">
          <cell r="B10" t="str">
            <v>Supervisores</v>
          </cell>
        </row>
      </sheetData>
      <sheetData sheetId="2"/>
      <sheetData sheetId="3">
        <row r="9">
          <cell r="H9">
            <v>178802722.29566669</v>
          </cell>
        </row>
      </sheetData>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ajustada"/>
      <sheetName val="Hoja3"/>
      <sheetName val="DIFERENCIAS SENA"/>
      <sheetName val="Tablas"/>
      <sheetName val="TD 1"/>
      <sheetName val="TD 2"/>
      <sheetName val="TD3"/>
      <sheetName val="Hoja2"/>
      <sheetName val="Pto Proyect Trabajo MPS"/>
      <sheetName val="Pto Proyect Salud MPS"/>
      <sheetName val="Cuadro Plan de Inversiones"/>
      <sheetName val="RESUMEN P.I. ENERO 17"/>
      <sheetName val="Hoja1"/>
      <sheetName val="Hoja4"/>
      <sheetName val="Pto Proyect Subdireccion Empleo"/>
      <sheetName val="Pto Proyect Subd Salud"/>
      <sheetName val="Aprob-Solicit"/>
    </sheetNames>
    <sheetDataSet>
      <sheetData sheetId="0"/>
      <sheetData sheetId="1"/>
      <sheetData sheetId="2"/>
      <sheetData sheetId="3">
        <row r="2">
          <cell r="B2" t="str">
            <v>Central</v>
          </cell>
          <cell r="D2" t="str">
            <v>Nación</v>
          </cell>
          <cell r="E2" t="str">
            <v>1.1 Innovación para la prosperidad</v>
          </cell>
          <cell r="F2" t="str">
            <v>1.1.1 Conocimiento e innovacion</v>
          </cell>
          <cell r="G2" t="str">
            <v>1. Crecimiento sostenible y competitividad</v>
          </cell>
        </row>
        <row r="3">
          <cell r="D3" t="str">
            <v>Propios</v>
          </cell>
          <cell r="E3" t="str">
            <v>1.2 Competitividad y crecimiento de la productividad</v>
          </cell>
          <cell r="F3" t="str">
            <v>1.1.2 Emprendimiento empresarial</v>
          </cell>
          <cell r="G3" t="str">
            <v>2. Igualdad de oportunidades para la prosperidad social</v>
          </cell>
        </row>
        <row r="4">
          <cell r="D4" t="str">
            <v>SGP</v>
          </cell>
          <cell r="E4" t="str">
            <v>1.3 Locomotoras para el crecimiento y la generación de empleo</v>
          </cell>
          <cell r="F4" t="str">
            <v>1.1.3 Propiedad intelectual, instrumento de innovación</v>
          </cell>
          <cell r="G4" t="str">
            <v>3. Consolidación de la Paz</v>
          </cell>
        </row>
        <row r="5">
          <cell r="D5" t="str">
            <v>Funcionamiento</v>
          </cell>
          <cell r="E5" t="str">
            <v>2.1 Política Integral de desarrollo y protección social</v>
          </cell>
          <cell r="F5" t="str">
            <v>1.1.4 Promoción y protección de la competencia en los mercados</v>
          </cell>
          <cell r="G5" t="str">
            <v>4. Sostenibilidad ambiental y prevención del riesgo</v>
          </cell>
        </row>
        <row r="6">
          <cell r="D6" t="str">
            <v>Cooperación internacional</v>
          </cell>
          <cell r="E6" t="str">
            <v>2.2 Promoción social</v>
          </cell>
          <cell r="F6" t="str">
            <v>1.2.1 Desarrollo de competencias y formalización para la prosperidad</v>
          </cell>
          <cell r="G6" t="str">
            <v>5. Soportes transversales de la prosperidad democrática</v>
          </cell>
        </row>
        <row r="7">
          <cell r="D7" t="str">
            <v>EICE</v>
          </cell>
          <cell r="E7" t="str">
            <v>2.3 Políticas diferenciadas para la inclusión social</v>
          </cell>
          <cell r="F7" t="str">
            <v>1.2.2 Infraestructura para la competitividad</v>
          </cell>
        </row>
        <row r="8">
          <cell r="D8" t="str">
            <v>E. Territoriales</v>
          </cell>
          <cell r="E8" t="str">
            <v>3.1 Seguridad – orden público y seguridad ciudadana</v>
          </cell>
          <cell r="F8" t="str">
            <v>1.2.3 Apoyos transversales a la competitividad</v>
          </cell>
        </row>
        <row r="9">
          <cell r="D9" t="str">
            <v>Privado</v>
          </cell>
          <cell r="E9" t="str">
            <v>3.2 Justicia</v>
          </cell>
          <cell r="F9" t="str">
            <v>1.3.1 Nuevos sectores basados en la innovación</v>
          </cell>
        </row>
        <row r="10">
          <cell r="D10" t="str">
            <v>Privado con capital público</v>
          </cell>
          <cell r="E10" t="str">
            <v>3.3 Derechos humanos, derecho internacional humanitario y justicia transicional</v>
          </cell>
          <cell r="F10" t="str">
            <v>1.3.2 Agropecuaria y desarrollo rural</v>
          </cell>
        </row>
        <row r="11">
          <cell r="E11" t="str">
            <v>4.1 Gestión ambiental para el desarrollo sostenible</v>
          </cell>
          <cell r="F11" t="str">
            <v>1.3.3 Infraestructura de transporte</v>
          </cell>
        </row>
        <row r="12">
          <cell r="E12" t="str">
            <v>4.2 Gestión del riesgo de desastres: Buen gobierno para comunidades seguras</v>
          </cell>
          <cell r="F12" t="str">
            <v>1.3.4 Desarrollo minero y expansión energética</v>
          </cell>
        </row>
        <row r="13">
          <cell r="E13" t="str">
            <v>4.3 Respuesta a la ola invernal</v>
          </cell>
          <cell r="F13" t="str">
            <v>1.3.5 Vivienda y ciudades amables</v>
          </cell>
        </row>
        <row r="14">
          <cell r="E14" t="str">
            <v>4.4 Canasta y eficiencia energética</v>
          </cell>
          <cell r="F14" t="str">
            <v>2.1.1 Primera infancia</v>
          </cell>
        </row>
        <row r="15">
          <cell r="E15" t="str">
            <v>5.1 Buen gobierno, lucha contra la corrupción y participación ciudadana</v>
          </cell>
          <cell r="F15" t="str">
            <v>2.1.2 Niñez, adolescencia y juventud</v>
          </cell>
        </row>
        <row r="16">
          <cell r="E16" t="str">
            <v xml:space="preserve">5.2 Relevancia internacional </v>
          </cell>
          <cell r="F16" t="str">
            <v>2.1.3 Formación de capital humano</v>
          </cell>
        </row>
        <row r="17">
          <cell r="E17" t="str">
            <v>5.3 Apoyos transversales al desarrollo regional</v>
          </cell>
          <cell r="F17" t="str">
            <v>2.1.4 Acceso y calidad en salud: universal y sostenible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superación de la pobreza extrema</v>
          </cell>
        </row>
        <row r="22">
          <cell r="F22" t="str">
            <v>2.2.2 Política para la población victima del desplazamiento forzado por la violencia</v>
          </cell>
        </row>
        <row r="23">
          <cell r="F23" t="str">
            <v>2.3.1 Grupos étnicos</v>
          </cell>
        </row>
        <row r="24">
          <cell r="F24" t="str">
            <v>2.3.2 Género</v>
          </cell>
        </row>
        <row r="25">
          <cell r="F25" t="str">
            <v>5.1.1 Buen gobierno</v>
          </cell>
        </row>
        <row r="26">
          <cell r="F26" t="str">
            <v>5.1.2 Estrategias contra la corrupción</v>
          </cell>
        </row>
        <row r="27">
          <cell r="F27" t="str">
            <v>5.1.3 Participación ciudadana y capital social</v>
          </cell>
        </row>
        <row r="28">
          <cell r="F28" t="str">
            <v>5.2.1 Inserción productiva a los mercados internacionales</v>
          </cell>
        </row>
        <row r="29">
          <cell r="F29" t="str">
            <v>5.2.2 Política internacional</v>
          </cell>
        </row>
        <row r="30">
          <cell r="F30" t="str">
            <v>5.2.3 Políticas de desarrollo fronterizo</v>
          </cell>
        </row>
        <row r="31">
          <cell r="F31" t="str">
            <v>5.3.1 Fortalecimiento institucional de los entes territoriales y relación Nación-Territorio</v>
          </cell>
        </row>
        <row r="32">
          <cell r="F32" t="str">
            <v>5.3.2 Consolidación del sistema de ciudades</v>
          </cell>
        </row>
        <row r="33">
          <cell r="F33" t="str">
            <v>5.3.3 Planes de consolidación</v>
          </cell>
        </row>
        <row r="34">
          <cell r="F34" t="str">
            <v>5.3.4 Turismo como motor del desarrollo regional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mFuncionario"/>
      <sheetName val="ActividadRE"/>
      <sheetName val="DeseanCapacitacionEn"/>
      <sheetName val="Empresa"/>
      <sheetName val="EstadoMadCabFamilia"/>
      <sheetName val="Funcionario"/>
      <sheetName val="GruporUPS"/>
      <sheetName val="Indemnizacion"/>
      <sheetName val="InfLaboral"/>
      <sheetName val="LimitacionAuditiva"/>
      <sheetName val="LimitacionFisicaOMental"/>
      <sheetName val="LimitacionVisual"/>
      <sheetName val="MadreCabezaFamilia"/>
      <sheetName val="NivelEducacionBasica"/>
      <sheetName val="NivelEducacionSuperior"/>
      <sheetName val="PagoRE"/>
      <sheetName val="PMCL"/>
      <sheetName val="ProximoPension"/>
      <sheetName val="RECapacitacion"/>
      <sheetName val="REContPrivada"/>
      <sheetName val="Seguimiento"/>
      <sheetName val="TipoEmpres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_Super"/>
      <sheetName val="Planta_Super (2)"/>
      <sheetName val="Costo_401-Final-Año"/>
      <sheetName val="Costo_Final-14-10-09"/>
      <sheetName val="Resm-22-10-09"/>
      <sheetName val="Hoja17"/>
      <sheetName val="11-08-2009"/>
      <sheetName val="Costo_Final-Fase V"/>
      <sheetName val="Costo_Final-Fase VI"/>
      <sheetName val="Costo_Final-Asap_3-GRA-2 Y 5"/>
      <sheetName val="RESM_Costo-Supern-26-05-09"/>
      <sheetName val="RESM_Costo-Supern (4)"/>
      <sheetName val="RESM_Costo-Supern"/>
      <sheetName val="RESM_Costo-Supern (2)"/>
      <sheetName val="RESM_Costo-Supern (3)"/>
      <sheetName val="Costo_Final-Año-714"/>
      <sheetName val="Fase V_VI-Grad-15"/>
      <sheetName val="Fase V_VI-Grad-13-5"/>
      <sheetName val="Vlr_traslado-4-05-09"/>
      <sheetName val="DATOS-ESC-2-VAC-295_05-09"/>
      <sheetName val="RESM_COSTOS_ESC-1"/>
      <sheetName val="RESM_COSTOS_ESC-2"/>
      <sheetName val="COSTO_ASAP"/>
      <sheetName val="Incrementos_Salarial"/>
      <sheetName val="Historico-Supern"/>
      <sheetName val="Costo_Final-Seis Meses"/>
      <sheetName val="Costo_Final-Mes"/>
      <sheetName val="Costo_Final-Año"/>
      <sheetName val="Hoja6"/>
      <sheetName val="Hoja3"/>
      <sheetName val="Resm Cupo"/>
      <sheetName val="Resm Cupo (2)"/>
      <sheetName val="Hoja4"/>
      <sheetName val="Hoja2"/>
      <sheetName val="Equi-Psico-Costos-23-10-09"/>
      <sheetName val="Hoja7"/>
      <sheetName val="Hoja1"/>
      <sheetName val="Hoja8"/>
      <sheetName val="Hoja12"/>
      <sheetName val="Datos-seis M"/>
      <sheetName val="Hoja13"/>
      <sheetName val="20-01-2010"/>
      <sheetName val="Hoja11"/>
      <sheetName val="Hoja10"/>
      <sheetName val="Hoja14"/>
      <sheetName val="Hoja15"/>
      <sheetName val="Hoja9"/>
      <sheetName val="Resm_Dtos-Just-Vig_Fut-2010"/>
      <sheetName val="Hoja16 (2)"/>
      <sheetName val="Hoja7 (2)"/>
      <sheetName val="D_FAMILIA-244-30-DIAS"/>
      <sheetName val="Costo_Final-7-12-09"/>
      <sheetName val="Hoja16"/>
      <sheetName val="Hoja5"/>
      <sheetName val="Hoja18"/>
      <sheetName val="Hoja18 (2)"/>
      <sheetName val="Costo-Super-Proy140-23-03-2010"/>
      <sheetName val="Costo-Super-Sede Nal-23-03-10"/>
      <sheetName val="Resm-23-03-10"/>
      <sheetName val="Hoja22"/>
      <sheetName val="2-07-2010"/>
      <sheetName val="Costo_Nomina_30-06-10-Super"/>
      <sheetName val="Hoja23"/>
      <sheetName val="Hoja21"/>
      <sheetName val="Costo_Nomina_30-09-10-Super"/>
      <sheetName val="Hoja9 (2)"/>
      <sheetName val="Hoja9 (3)"/>
      <sheetName val="Traslados-Super-2010"/>
      <sheetName val="Hoja19"/>
      <sheetName val="Hoja20"/>
      <sheetName val="Hoja24"/>
      <sheetName val="Costo_Nomina_31-12-10-Super"/>
      <sheetName val="PROGRA-PAC-NOV-10"/>
      <sheetName val="Traslados-Super-2010-10-19"/>
      <sheetName val="2011"/>
      <sheetName val="Costos-325-2011"/>
      <sheetName val="Hoja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Tal Humano"/>
      <sheetName val="Resumen de Costos"/>
      <sheetName val="tabla de Viaticos"/>
      <sheetName val="Cotización tiq Aereos"/>
    </sheetNames>
    <sheetDataSet>
      <sheetData sheetId="0"/>
      <sheetData sheetId="1"/>
      <sheetData sheetId="2">
        <row r="15">
          <cell r="J15">
            <v>4</v>
          </cell>
        </row>
      </sheetData>
      <sheetData sheetId="3"/>
      <sheetData sheetId="4">
        <row r="11">
          <cell r="G11">
            <v>479191</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 Total"/>
      <sheetName val="Salarios de Referencia"/>
      <sheetName val="Talento Humano"/>
      <sheetName val="Transporte y Viaticos"/>
      <sheetName val="Hoja2"/>
      <sheetName val="Hoja1"/>
      <sheetName val="Hoja3"/>
    </sheetNames>
    <sheetDataSet>
      <sheetData sheetId="0"/>
      <sheetData sheetId="1">
        <row r="7">
          <cell r="B7" t="str">
            <v>Directivo 1</v>
          </cell>
        </row>
        <row r="8">
          <cell r="B8" t="str">
            <v>Directivo 2</v>
          </cell>
        </row>
        <row r="9">
          <cell r="B9" t="str">
            <v>Directivo 3</v>
          </cell>
        </row>
        <row r="10">
          <cell r="B10" t="str">
            <v>Directivo 4</v>
          </cell>
        </row>
        <row r="11">
          <cell r="B11" t="str">
            <v>Directivo 5</v>
          </cell>
        </row>
        <row r="12">
          <cell r="B12" t="str">
            <v>Directivo 6</v>
          </cell>
        </row>
        <row r="13">
          <cell r="B13" t="str">
            <v>Directivo 7</v>
          </cell>
        </row>
        <row r="14">
          <cell r="B14" t="str">
            <v>Directivo 8</v>
          </cell>
        </row>
        <row r="15">
          <cell r="B15" t="str">
            <v>Directivo 9</v>
          </cell>
        </row>
        <row r="16">
          <cell r="B16" t="str">
            <v>Directivo 10</v>
          </cell>
        </row>
        <row r="17">
          <cell r="B17" t="str">
            <v>Directivo 11</v>
          </cell>
        </row>
        <row r="18">
          <cell r="B18" t="str">
            <v>Directivo 12</v>
          </cell>
        </row>
        <row r="19">
          <cell r="B19" t="str">
            <v>Directivo 13</v>
          </cell>
        </row>
        <row r="20">
          <cell r="B20" t="str">
            <v>Directivo 14</v>
          </cell>
        </row>
        <row r="21">
          <cell r="B21" t="str">
            <v>Directivo 15</v>
          </cell>
        </row>
        <row r="22">
          <cell r="B22" t="str">
            <v>Directivo 16</v>
          </cell>
        </row>
        <row r="23">
          <cell r="B23" t="str">
            <v>Directivo 17</v>
          </cell>
        </row>
        <row r="24">
          <cell r="B24" t="str">
            <v>Directivo 18</v>
          </cell>
        </row>
        <row r="25">
          <cell r="B25" t="str">
            <v>Directivo 19</v>
          </cell>
        </row>
        <row r="26">
          <cell r="B26" t="str">
            <v>Directivo 20</v>
          </cell>
        </row>
        <row r="27">
          <cell r="B27" t="str">
            <v>Directivo 21</v>
          </cell>
        </row>
        <row r="28">
          <cell r="B28" t="str">
            <v>Directivo 22</v>
          </cell>
        </row>
        <row r="29">
          <cell r="B29" t="str">
            <v>Directivo 23</v>
          </cell>
        </row>
        <row r="30">
          <cell r="B30" t="str">
            <v>Directivo 24</v>
          </cell>
        </row>
        <row r="31">
          <cell r="B31" t="str">
            <v>Directivo 25</v>
          </cell>
        </row>
        <row r="32">
          <cell r="B32" t="str">
            <v>Directivo 26</v>
          </cell>
        </row>
        <row r="33">
          <cell r="B33" t="str">
            <v>Directivo 27</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tecnico 1</v>
          </cell>
        </row>
        <row r="77">
          <cell r="B77" t="str">
            <v>tecnico  2</v>
          </cell>
        </row>
        <row r="78">
          <cell r="B78" t="str">
            <v>tecnico  3</v>
          </cell>
        </row>
        <row r="79">
          <cell r="B79" t="str">
            <v>tecnico  4</v>
          </cell>
        </row>
        <row r="80">
          <cell r="B80" t="str">
            <v>tecnico  5</v>
          </cell>
        </row>
        <row r="81">
          <cell r="B81" t="str">
            <v>tecnico  6</v>
          </cell>
        </row>
        <row r="82">
          <cell r="B82" t="str">
            <v>tecnico  7</v>
          </cell>
        </row>
        <row r="83">
          <cell r="B83" t="str">
            <v>tecnico  8</v>
          </cell>
        </row>
        <row r="84">
          <cell r="B84" t="str">
            <v>tecnico  9</v>
          </cell>
        </row>
        <row r="85">
          <cell r="B85" t="str">
            <v>tecnico  10</v>
          </cell>
        </row>
        <row r="86">
          <cell r="B86" t="str">
            <v>tecnico  11</v>
          </cell>
        </row>
        <row r="87">
          <cell r="B87" t="str">
            <v>tecnico  12</v>
          </cell>
        </row>
        <row r="88">
          <cell r="B88" t="str">
            <v>tecnico  13</v>
          </cell>
        </row>
        <row r="89">
          <cell r="B89" t="str">
            <v>tecnico  14</v>
          </cell>
        </row>
        <row r="90">
          <cell r="B90" t="str">
            <v>tecnico  15</v>
          </cell>
        </row>
        <row r="91">
          <cell r="B91" t="str">
            <v>tecnico  16</v>
          </cell>
        </row>
        <row r="92">
          <cell r="B92" t="str">
            <v>tecnico  17</v>
          </cell>
        </row>
        <row r="93">
          <cell r="B93" t="str">
            <v>tecnico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2"/>
      <sheetData sheetId="3"/>
      <sheetData sheetId="4"/>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os_Generales"/>
      <sheetName val="Dat_Entrada_TH_CDI"/>
      <sheetName val="Indicadores Proy Precios"/>
      <sheetName val="Salarios de Ref"/>
      <sheetName val="Dat Entrada_Elem_Vid_Precio_JS"/>
      <sheetName val="Calculos Proporc_JS"/>
      <sheetName val="JARDIN SOCIAL"/>
      <sheetName val="INDICE"/>
      <sheetName val="D.C. Modalidad Institucional"/>
      <sheetName val="Dat Ent_Elem_Vid_Precio_CDI´s"/>
      <sheetName val="Calculos Proporc_CDI´s"/>
      <sheetName val="CDI_INSTITUCIONAL"/>
      <sheetName val="Dat Entrada_Elem_Vid_Precio_HA"/>
      <sheetName val="Calculos Proporc_HA"/>
      <sheetName val="HOGAR AGRUPADO"/>
      <sheetName val="Dat Entrada_Elem_Vid_Precio_HM"/>
      <sheetName val="Calculos Proporc_HM"/>
      <sheetName val="HOGAR MULTIPLE"/>
      <sheetName val="Dat Entrada_Elem_Vid_Precio_HCB"/>
      <sheetName val="Calculos Proporc_HCB_y_FAMI"/>
      <sheetName val="HCB_FAMILIAR_TC"/>
      <sheetName val="HCB_FAMILIAR_MT"/>
      <sheetName val="HCB_FAMI"/>
      <sheetName val="______"/>
      <sheetName val="Cantid_minutas_y_raciones"/>
      <sheetName val="Hoja índice_Alimentos"/>
      <sheetName val="CUDRO RESUMEN para Canasta"/>
      <sheetName val="Resumen costos 100% "/>
      <sheetName val="PARA COSTOS 6 a 8 meses"/>
      <sheetName val="6  8 meses CON BIENESTARINA"/>
      <sheetName val="PARA COSTOS 9 a 11 meses"/>
      <sheetName val="9  11 meses CON BIENESTARINA"/>
      <sheetName val="PARA COSTOS 1 a 3 años"/>
      <sheetName val="1 a 3 años CON BIENESTARINA"/>
      <sheetName val="PARA COSTOS 4 a 5 años"/>
      <sheetName val="4 a 5 años CON BIENESTARINA"/>
      <sheetName val="Fuente precios SIPSA"/>
      <sheetName val="Fuente precios Otros productos"/>
      <sheetName val="HCB_Tradicional_6_a_11_meses"/>
      <sheetName val="HCB_Tradicional_1_a_3_años"/>
      <sheetName val="HCB_Tradicional_4_a_5_años"/>
    </sheetNames>
    <sheetDataSet>
      <sheetData sheetId="0">
        <row r="44">
          <cell r="C44">
            <v>616000</v>
          </cell>
        </row>
      </sheetData>
      <sheetData sheetId="1">
        <row r="7">
          <cell r="A7" t="str">
            <v>Coordinador(a)</v>
          </cell>
        </row>
      </sheetData>
      <sheetData sheetId="2"/>
      <sheetData sheetId="3">
        <row r="6">
          <cell r="B6" t="str">
            <v>Directivo 1</v>
          </cell>
        </row>
        <row r="7">
          <cell r="B7" t="str">
            <v>Directivo 2</v>
          </cell>
        </row>
        <row r="8">
          <cell r="B8" t="str">
            <v>Directivo 3</v>
          </cell>
        </row>
        <row r="9">
          <cell r="B9" t="str">
            <v>Directivo 4</v>
          </cell>
        </row>
        <row r="10">
          <cell r="B10" t="str">
            <v>Directivo 5</v>
          </cell>
        </row>
        <row r="11">
          <cell r="B11" t="str">
            <v>Directivo 6</v>
          </cell>
        </row>
        <row r="12">
          <cell r="B12" t="str">
            <v>Directivo 7</v>
          </cell>
        </row>
        <row r="13">
          <cell r="B13" t="str">
            <v>Directivo 8</v>
          </cell>
        </row>
        <row r="14">
          <cell r="B14" t="str">
            <v>Directivo 9</v>
          </cell>
        </row>
        <row r="15">
          <cell r="B15" t="str">
            <v>Directivo 10</v>
          </cell>
        </row>
        <row r="16">
          <cell r="B16" t="str">
            <v>Directivo 11</v>
          </cell>
        </row>
        <row r="17">
          <cell r="B17" t="str">
            <v>Directivo 12</v>
          </cell>
        </row>
        <row r="18">
          <cell r="B18" t="str">
            <v>Directivo 13</v>
          </cell>
        </row>
        <row r="19">
          <cell r="B19" t="str">
            <v>Directivo 14</v>
          </cell>
        </row>
        <row r="20">
          <cell r="B20" t="str">
            <v>Directivo 15</v>
          </cell>
        </row>
        <row r="21">
          <cell r="B21" t="str">
            <v>Directivo 16</v>
          </cell>
        </row>
        <row r="22">
          <cell r="B22" t="str">
            <v>Directivo 17</v>
          </cell>
        </row>
        <row r="23">
          <cell r="B23" t="str">
            <v>Directivo 18</v>
          </cell>
        </row>
        <row r="24">
          <cell r="B24" t="str">
            <v>Directivo 19</v>
          </cell>
        </row>
        <row r="25">
          <cell r="B25" t="str">
            <v>Directivo 20</v>
          </cell>
        </row>
        <row r="26">
          <cell r="B26" t="str">
            <v>Directivo 21</v>
          </cell>
        </row>
        <row r="27">
          <cell r="B27" t="str">
            <v>Directivo 22</v>
          </cell>
        </row>
        <row r="28">
          <cell r="B28" t="str">
            <v>Directivo 23</v>
          </cell>
        </row>
        <row r="29">
          <cell r="B29" t="str">
            <v>Directivo 24</v>
          </cell>
        </row>
        <row r="30">
          <cell r="B30" t="str">
            <v>Directivo 25</v>
          </cell>
        </row>
        <row r="31">
          <cell r="B31" t="str">
            <v>Directivo 26</v>
          </cell>
        </row>
        <row r="32">
          <cell r="B32" t="str">
            <v>Directivo 27</v>
          </cell>
        </row>
        <row r="33">
          <cell r="B33" t="str">
            <v>Directivo 28</v>
          </cell>
        </row>
        <row r="34">
          <cell r="B34" t="str">
            <v>Asesor 1</v>
          </cell>
        </row>
        <row r="35">
          <cell r="B35" t="str">
            <v>Asesor 2</v>
          </cell>
        </row>
        <row r="36">
          <cell r="B36" t="str">
            <v>Asesor 3</v>
          </cell>
        </row>
        <row r="37">
          <cell r="B37" t="str">
            <v>Asesor 4</v>
          </cell>
        </row>
        <row r="38">
          <cell r="B38" t="str">
            <v>Asesor 5</v>
          </cell>
        </row>
        <row r="39">
          <cell r="B39" t="str">
            <v>Asesor 6</v>
          </cell>
        </row>
        <row r="40">
          <cell r="B40" t="str">
            <v>Asesor 7</v>
          </cell>
        </row>
        <row r="41">
          <cell r="B41" t="str">
            <v>Asesor 8</v>
          </cell>
        </row>
        <row r="42">
          <cell r="B42" t="str">
            <v>Asesor 9</v>
          </cell>
        </row>
        <row r="43">
          <cell r="B43" t="str">
            <v>Asesor 10</v>
          </cell>
        </row>
        <row r="44">
          <cell r="B44" t="str">
            <v>Asesor 11</v>
          </cell>
        </row>
        <row r="45">
          <cell r="B45" t="str">
            <v>Asesor 12</v>
          </cell>
        </row>
        <row r="46">
          <cell r="B46" t="str">
            <v>Asesor 13</v>
          </cell>
        </row>
        <row r="47">
          <cell r="B47" t="str">
            <v>Asesor 14</v>
          </cell>
        </row>
        <row r="48">
          <cell r="B48" t="str">
            <v>Asesor 15</v>
          </cell>
        </row>
        <row r="49">
          <cell r="B49" t="str">
            <v>Asesor 16</v>
          </cell>
        </row>
        <row r="50">
          <cell r="B50" t="str">
            <v>Asesor 17</v>
          </cell>
        </row>
        <row r="51">
          <cell r="B51" t="str">
            <v>Asesor 18</v>
          </cell>
        </row>
        <row r="52">
          <cell r="B52" t="str">
            <v>Profesional  1</v>
          </cell>
        </row>
        <row r="53">
          <cell r="B53" t="str">
            <v>Profesional  2</v>
          </cell>
        </row>
        <row r="54">
          <cell r="B54" t="str">
            <v>Profesional  3</v>
          </cell>
        </row>
        <row r="55">
          <cell r="B55" t="str">
            <v>Profesional  4</v>
          </cell>
        </row>
        <row r="56">
          <cell r="B56" t="str">
            <v>Profesional  5</v>
          </cell>
        </row>
        <row r="57">
          <cell r="B57" t="str">
            <v>Profesional  6</v>
          </cell>
        </row>
        <row r="58">
          <cell r="B58" t="str">
            <v>Profesional  7</v>
          </cell>
        </row>
        <row r="59">
          <cell r="B59" t="str">
            <v>Profesional  8</v>
          </cell>
        </row>
        <row r="60">
          <cell r="B60" t="str">
            <v>Profesional  9</v>
          </cell>
        </row>
        <row r="61">
          <cell r="B61" t="str">
            <v>Profesional  10</v>
          </cell>
        </row>
        <row r="62">
          <cell r="B62" t="str">
            <v>Profesional  11</v>
          </cell>
        </row>
        <row r="63">
          <cell r="B63" t="str">
            <v>Profesional  12</v>
          </cell>
        </row>
        <row r="64">
          <cell r="B64" t="str">
            <v>Profesional  13</v>
          </cell>
        </row>
        <row r="65">
          <cell r="B65" t="str">
            <v>Profesional  14</v>
          </cell>
        </row>
        <row r="66">
          <cell r="B66" t="str">
            <v>Profesional  15</v>
          </cell>
        </row>
        <row r="67">
          <cell r="B67" t="str">
            <v>Profesional  16</v>
          </cell>
        </row>
        <row r="68">
          <cell r="B68" t="str">
            <v>Profesional  17</v>
          </cell>
        </row>
        <row r="69">
          <cell r="B69" t="str">
            <v>Profesional  18</v>
          </cell>
        </row>
        <row r="70">
          <cell r="B70" t="str">
            <v>Profesional  19</v>
          </cell>
        </row>
        <row r="71">
          <cell r="B71" t="str">
            <v>Profesional  20</v>
          </cell>
        </row>
        <row r="72">
          <cell r="B72" t="str">
            <v>Profesional  21</v>
          </cell>
        </row>
        <row r="73">
          <cell r="B73" t="str">
            <v>Profesional  22</v>
          </cell>
        </row>
        <row r="74">
          <cell r="B74" t="str">
            <v>Profesional  23</v>
          </cell>
        </row>
        <row r="75">
          <cell r="B75" t="str">
            <v>Profesional  24</v>
          </cell>
        </row>
        <row r="76">
          <cell r="B76" t="str">
            <v>Técnico 1</v>
          </cell>
        </row>
        <row r="77">
          <cell r="B77" t="str">
            <v>Técnico 2</v>
          </cell>
        </row>
        <row r="78">
          <cell r="B78" t="str">
            <v>Técnico 3</v>
          </cell>
        </row>
        <row r="79">
          <cell r="B79" t="str">
            <v>Técnico 4</v>
          </cell>
        </row>
        <row r="80">
          <cell r="B80" t="str">
            <v>Técnico 5</v>
          </cell>
        </row>
        <row r="81">
          <cell r="B81" t="str">
            <v>Técnico 6</v>
          </cell>
        </row>
        <row r="82">
          <cell r="B82" t="str">
            <v>Técnico 7</v>
          </cell>
        </row>
        <row r="83">
          <cell r="B83" t="str">
            <v>Técnico 8</v>
          </cell>
        </row>
        <row r="84">
          <cell r="B84" t="str">
            <v>Técnico 9</v>
          </cell>
        </row>
        <row r="85">
          <cell r="B85" t="str">
            <v>Técnico 10</v>
          </cell>
        </row>
        <row r="86">
          <cell r="B86" t="str">
            <v>Técnico 11</v>
          </cell>
        </row>
        <row r="87">
          <cell r="B87" t="str">
            <v>Técnico 12</v>
          </cell>
        </row>
        <row r="88">
          <cell r="B88" t="str">
            <v>Técnico 13</v>
          </cell>
        </row>
        <row r="89">
          <cell r="B89" t="str">
            <v>Técnico 14</v>
          </cell>
        </row>
        <row r="90">
          <cell r="B90" t="str">
            <v>Técnico 15</v>
          </cell>
        </row>
        <row r="91">
          <cell r="B91" t="str">
            <v>Técnico 16</v>
          </cell>
        </row>
        <row r="92">
          <cell r="B92" t="str">
            <v>Técnico 17</v>
          </cell>
        </row>
        <row r="93">
          <cell r="B93" t="str">
            <v>Técnico 18</v>
          </cell>
        </row>
        <row r="94">
          <cell r="B94" t="str">
            <v>Asistencial  1</v>
          </cell>
        </row>
        <row r="95">
          <cell r="B95" t="str">
            <v>Asistencial  2</v>
          </cell>
        </row>
        <row r="96">
          <cell r="B96" t="str">
            <v>Asistencial  3</v>
          </cell>
        </row>
        <row r="97">
          <cell r="B97" t="str">
            <v>Asistencial  4</v>
          </cell>
        </row>
        <row r="98">
          <cell r="B98" t="str">
            <v>Asistencial  5</v>
          </cell>
        </row>
        <row r="99">
          <cell r="B99" t="str">
            <v>Asistencial  6</v>
          </cell>
        </row>
        <row r="100">
          <cell r="B100" t="str">
            <v>Asistencial  7</v>
          </cell>
        </row>
        <row r="101">
          <cell r="B101" t="str">
            <v>Asistencial  8</v>
          </cell>
        </row>
        <row r="102">
          <cell r="B102" t="str">
            <v>Asistencial  9</v>
          </cell>
        </row>
        <row r="103">
          <cell r="B103" t="str">
            <v>Asistencial  10</v>
          </cell>
        </row>
        <row r="104">
          <cell r="B104" t="str">
            <v>Asistencial  11</v>
          </cell>
        </row>
        <row r="105">
          <cell r="B105" t="str">
            <v>Asistencial  12</v>
          </cell>
        </row>
        <row r="106">
          <cell r="B106" t="str">
            <v>Asistencial  13</v>
          </cell>
        </row>
        <row r="107">
          <cell r="B107" t="str">
            <v>Asistencial  14</v>
          </cell>
        </row>
        <row r="108">
          <cell r="B108" t="str">
            <v>Asistencial  15</v>
          </cell>
        </row>
        <row r="109">
          <cell r="B109" t="str">
            <v>Asistencial  16</v>
          </cell>
        </row>
        <row r="110">
          <cell r="B110" t="str">
            <v>Asistencial  17</v>
          </cell>
        </row>
        <row r="111">
          <cell r="B111" t="str">
            <v>Asistencial  18</v>
          </cell>
        </row>
        <row r="112">
          <cell r="B112" t="str">
            <v>Asistencial  19</v>
          </cell>
        </row>
        <row r="113">
          <cell r="B113" t="str">
            <v>Asistencial  20</v>
          </cell>
        </row>
        <row r="114">
          <cell r="B114" t="str">
            <v>Asistencial  21</v>
          </cell>
        </row>
        <row r="115">
          <cell r="B115" t="str">
            <v>Asistencial  22</v>
          </cell>
        </row>
        <row r="116">
          <cell r="B116" t="str">
            <v>Asistencial  23</v>
          </cell>
        </row>
        <row r="117">
          <cell r="B117" t="str">
            <v>Asistencial  24</v>
          </cell>
        </row>
        <row r="118">
          <cell r="B118" t="str">
            <v>Asistencial  25</v>
          </cell>
        </row>
        <row r="119">
          <cell r="B119" t="str">
            <v>Asistencial  26</v>
          </cell>
        </row>
        <row r="120">
          <cell r="B120" t="str">
            <v>SMMLV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 índice"/>
      <sheetName val="Indices empleados y Parametros"/>
      <sheetName val="RESUMEN "/>
      <sheetName val="Logistica Integral"/>
      <sheetName val="Logistica No Integral"/>
      <sheetName val="Impuestos y comisiones"/>
      <sheetName val="Cantidades y Ctos Prod Totales"/>
      <sheetName val="Tot_Frecuencias x Ciclo-Leche "/>
      <sheetName val="Total lacteo_galletas_bienest_A"/>
      <sheetName val="Calculo und regionalizado_A"/>
      <sheetName val="Frecuencia Lacteos "/>
      <sheetName val="Tot_Frecuencias x Ciclo-Acompañ"/>
      <sheetName val="Frecuencia Acompañante"/>
      <sheetName val="Costos Unitarios Acompañante"/>
      <sheetName val="Materiales_Acompañantes"/>
      <sheetName val="Formulacion_Prod_Acompañan"/>
      <sheetName val="Costos Unitarios Lacteos"/>
      <sheetName val="Materiales Productos Lacteos"/>
      <sheetName val="Formulacion_Productos_Lacteos"/>
      <sheetName val="Macros y Cobertura"/>
      <sheetName val="Cobertura"/>
      <sheetName val="FT_26_Nov_2012"/>
      <sheetName val="Los precios Leche --&gt;"/>
      <sheetName val="Precios historicos Leche-MADR"/>
      <sheetName val="Proyección valor Lacteo MADR"/>
      <sheetName val="Fuente negociac. y new prod--&gt;"/>
      <sheetName val="NEGO 1er SEM 2012"/>
      <sheetName val="NEGO 1ro y 2do Sem x Dpto"/>
      <sheetName val="Formulacion New productos"/>
      <sheetName val="COSTO COMISIÓN "/>
      <sheetName val="Con BMC--&gt;"/>
      <sheetName val="Logistica CON_BMC"/>
      <sheetName val="Productos CON_BMC "/>
      <sheetName val="Con 650 benef --&gt;"/>
      <sheetName val="Total lacteo_galletas_bienest_B"/>
      <sheetName val="Calculo und regionalizado_B"/>
      <sheetName val="Estados financieros --&gt;"/>
      <sheetName val="An Financ E.S."/>
      <sheetName val="Cotizaciones_Logistica"/>
      <sheetName val="Proyecto plie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Capitales"/>
      <sheetName val="Hoja1"/>
      <sheetName val="Todo"/>
      <sheetName val="TODO_PARA_INVERSION"/>
      <sheetName val="PILOTO"/>
      <sheetName val="Resumen Programa"/>
      <sheetName val="Participantes Pais"/>
      <sheetName val="Participantes menor de 100"/>
      <sheetName val="Amazonas"/>
      <sheetName val="Antioquia"/>
      <sheetName val="Arauca"/>
      <sheetName val="Atlantico"/>
      <sheetName val="Bogota"/>
      <sheetName val="Bolivar"/>
      <sheetName val="Boyaca"/>
      <sheetName val="Caldas"/>
      <sheetName val="Caqueta"/>
      <sheetName val="Casanare"/>
      <sheetName val="Cauca"/>
      <sheetName val="Cesar"/>
      <sheetName val="Choco"/>
      <sheetName val="Cordoba"/>
      <sheetName val="Cundinamarca"/>
      <sheetName val="Guainia"/>
      <sheetName val="Guaviare"/>
      <sheetName val="Huila"/>
      <sheetName val="La Guajira"/>
      <sheetName val="Magdalena"/>
      <sheetName val="Meta"/>
      <sheetName val="Nariño"/>
      <sheetName val="Nte de Sder"/>
      <sheetName val="Putumayo"/>
      <sheetName val="Quindio"/>
      <sheetName val="Risaralda"/>
      <sheetName val="San Andres"/>
      <sheetName val="Santander"/>
      <sheetName val="Sucre"/>
      <sheetName val="Tolima"/>
      <sheetName val="Valle"/>
      <sheetName val="Vaupes"/>
      <sheetName val="Vichada"/>
      <sheetName val="Participantes Capital Operador"/>
      <sheetName val="Resumen Capitales por Operador"/>
      <sheetName val="Participantes Capitales"/>
      <sheetName val="Participantes_Operador"/>
      <sheetName val="Participantes_Depto"/>
      <sheetName val="Resumen por Depto"/>
      <sheetName val="Participantes_Operador_Dpto"/>
    </sheetNames>
    <sheetDataSet>
      <sheetData sheetId="0"/>
      <sheetData sheetId="1"/>
      <sheetData sheetId="2"/>
      <sheetData sheetId="3"/>
      <sheetData sheetId="4" refreshError="1">
        <row r="2">
          <cell r="A2" t="str">
            <v>05045</v>
          </cell>
          <cell r="B2" t="str">
            <v>ANTIOQUIA</v>
          </cell>
          <cell r="C2" t="str">
            <v>APARTADÓ</v>
          </cell>
          <cell r="D2">
            <v>764</v>
          </cell>
          <cell r="E2">
            <v>469</v>
          </cell>
          <cell r="F2">
            <v>295</v>
          </cell>
          <cell r="G2">
            <v>290</v>
          </cell>
          <cell r="H2">
            <v>304</v>
          </cell>
        </row>
        <row r="3">
          <cell r="A3" t="str">
            <v>05475</v>
          </cell>
          <cell r="B3" t="str">
            <v>ANTIOQUIA</v>
          </cell>
          <cell r="C3" t="str">
            <v>MURINDÓ</v>
          </cell>
          <cell r="D3">
            <v>30</v>
          </cell>
          <cell r="E3">
            <v>0</v>
          </cell>
          <cell r="F3">
            <v>30</v>
          </cell>
          <cell r="G3">
            <v>77</v>
          </cell>
          <cell r="H3">
            <v>10</v>
          </cell>
        </row>
        <row r="4">
          <cell r="A4">
            <v>81065</v>
          </cell>
          <cell r="B4" t="str">
            <v>ARAUCA</v>
          </cell>
          <cell r="C4" t="str">
            <v>ARAUQUITA</v>
          </cell>
          <cell r="D4">
            <v>647</v>
          </cell>
          <cell r="E4">
            <v>215</v>
          </cell>
          <cell r="F4">
            <v>432</v>
          </cell>
          <cell r="G4">
            <v>141</v>
          </cell>
          <cell r="H4">
            <v>171</v>
          </cell>
        </row>
        <row r="5">
          <cell r="A5">
            <v>81300</v>
          </cell>
          <cell r="B5" t="str">
            <v>ARAUCA</v>
          </cell>
          <cell r="C5" t="str">
            <v>FORTUL</v>
          </cell>
          <cell r="D5">
            <v>267</v>
          </cell>
          <cell r="E5">
            <v>120</v>
          </cell>
          <cell r="F5">
            <v>147</v>
          </cell>
          <cell r="G5">
            <v>108</v>
          </cell>
          <cell r="H5">
            <v>59</v>
          </cell>
        </row>
        <row r="6">
          <cell r="A6">
            <v>81736</v>
          </cell>
          <cell r="B6" t="str">
            <v>ARAUCA</v>
          </cell>
          <cell r="C6" t="str">
            <v>SARAVENA</v>
          </cell>
          <cell r="D6">
            <v>543</v>
          </cell>
          <cell r="E6">
            <v>477</v>
          </cell>
          <cell r="F6">
            <v>66</v>
          </cell>
          <cell r="G6">
            <v>176</v>
          </cell>
          <cell r="H6">
            <v>224</v>
          </cell>
        </row>
        <row r="7">
          <cell r="A7">
            <v>81794</v>
          </cell>
          <cell r="B7" t="str">
            <v>ARAUCA</v>
          </cell>
          <cell r="C7" t="str">
            <v>TAME</v>
          </cell>
          <cell r="D7">
            <v>374</v>
          </cell>
          <cell r="E7">
            <v>213</v>
          </cell>
          <cell r="F7">
            <v>161</v>
          </cell>
          <cell r="G7">
            <v>328</v>
          </cell>
          <cell r="H7">
            <v>155</v>
          </cell>
        </row>
        <row r="8">
          <cell r="A8">
            <v>18150</v>
          </cell>
          <cell r="B8" t="str">
            <v>CAQUETÁ</v>
          </cell>
          <cell r="C8" t="str">
            <v>CARTAGENA DEL CHAIRÁ</v>
          </cell>
          <cell r="D8">
            <v>158</v>
          </cell>
          <cell r="E8">
            <v>100</v>
          </cell>
          <cell r="F8">
            <v>58</v>
          </cell>
          <cell r="G8">
            <v>199</v>
          </cell>
          <cell r="H8">
            <v>65</v>
          </cell>
        </row>
        <row r="9">
          <cell r="A9">
            <v>18753</v>
          </cell>
          <cell r="B9" t="str">
            <v>CAQUETÁ</v>
          </cell>
          <cell r="C9" t="str">
            <v>SAN VICENTE DEL CAGUÁN</v>
          </cell>
          <cell r="D9">
            <v>574</v>
          </cell>
          <cell r="E9">
            <v>150</v>
          </cell>
          <cell r="F9">
            <v>424</v>
          </cell>
          <cell r="G9">
            <v>182</v>
          </cell>
          <cell r="H9">
            <v>155</v>
          </cell>
        </row>
        <row r="10">
          <cell r="A10">
            <v>19142</v>
          </cell>
          <cell r="B10" t="str">
            <v>CAUCA</v>
          </cell>
          <cell r="C10" t="str">
            <v>CALOTO</v>
          </cell>
          <cell r="D10">
            <v>643</v>
          </cell>
          <cell r="E10">
            <v>423</v>
          </cell>
          <cell r="F10">
            <v>220</v>
          </cell>
          <cell r="G10">
            <v>193</v>
          </cell>
          <cell r="H10">
            <v>189</v>
          </cell>
        </row>
        <row r="11">
          <cell r="A11">
            <v>19212</v>
          </cell>
          <cell r="B11" t="str">
            <v>CAUCA</v>
          </cell>
          <cell r="C11" t="str">
            <v>CORINTO</v>
          </cell>
          <cell r="D11">
            <v>220</v>
          </cell>
          <cell r="E11">
            <v>133</v>
          </cell>
          <cell r="F11">
            <v>87</v>
          </cell>
          <cell r="G11">
            <v>124</v>
          </cell>
          <cell r="H11">
            <v>96</v>
          </cell>
        </row>
        <row r="12">
          <cell r="A12">
            <v>19364</v>
          </cell>
          <cell r="B12" t="str">
            <v>CAUCA</v>
          </cell>
          <cell r="C12" t="str">
            <v>JAMBALÓ</v>
          </cell>
          <cell r="D12">
            <v>7</v>
          </cell>
          <cell r="E12">
            <v>0</v>
          </cell>
          <cell r="F12">
            <v>7</v>
          </cell>
          <cell r="G12">
            <v>65</v>
          </cell>
          <cell r="H12">
            <v>10</v>
          </cell>
        </row>
        <row r="13">
          <cell r="A13">
            <v>19573</v>
          </cell>
          <cell r="B13" t="str">
            <v>CAUCA</v>
          </cell>
          <cell r="C13" t="str">
            <v>PUERTO TEJADA</v>
          </cell>
          <cell r="D13">
            <v>359</v>
          </cell>
          <cell r="E13">
            <v>300</v>
          </cell>
          <cell r="F13">
            <v>59</v>
          </cell>
          <cell r="G13">
            <v>129</v>
          </cell>
          <cell r="H13">
            <v>226</v>
          </cell>
        </row>
        <row r="14">
          <cell r="A14">
            <v>19821</v>
          </cell>
          <cell r="B14" t="str">
            <v>CAUCA</v>
          </cell>
          <cell r="C14" t="str">
            <v>TORIBIO</v>
          </cell>
          <cell r="D14">
            <v>0</v>
          </cell>
          <cell r="E14">
            <v>0</v>
          </cell>
          <cell r="F14">
            <v>0</v>
          </cell>
          <cell r="G14">
            <v>151</v>
          </cell>
          <cell r="H14">
            <v>10</v>
          </cell>
        </row>
        <row r="15">
          <cell r="A15">
            <v>20238</v>
          </cell>
          <cell r="B15" t="str">
            <v>CESAR</v>
          </cell>
          <cell r="C15" t="str">
            <v>EL COPEY</v>
          </cell>
          <cell r="D15">
            <v>371</v>
          </cell>
          <cell r="E15">
            <v>250</v>
          </cell>
          <cell r="F15">
            <v>121</v>
          </cell>
          <cell r="G15">
            <v>122</v>
          </cell>
          <cell r="H15">
            <v>123</v>
          </cell>
        </row>
        <row r="16">
          <cell r="A16">
            <v>20570</v>
          </cell>
          <cell r="B16" t="str">
            <v>CESAR</v>
          </cell>
          <cell r="C16" t="str">
            <v>PUEBLO BELLO</v>
          </cell>
          <cell r="D16">
            <v>301</v>
          </cell>
          <cell r="E16">
            <v>191</v>
          </cell>
          <cell r="F16">
            <v>110</v>
          </cell>
          <cell r="G16">
            <v>105</v>
          </cell>
          <cell r="H16">
            <v>57</v>
          </cell>
        </row>
        <row r="17">
          <cell r="A17">
            <v>20001</v>
          </cell>
          <cell r="B17" t="str">
            <v>CESAR</v>
          </cell>
          <cell r="C17" t="str">
            <v>VALLEDUPAR</v>
          </cell>
          <cell r="D17">
            <v>3018</v>
          </cell>
          <cell r="E17">
            <v>2070</v>
          </cell>
          <cell r="F17">
            <v>948</v>
          </cell>
          <cell r="G17">
            <v>1043</v>
          </cell>
          <cell r="H17">
            <v>1372</v>
          </cell>
        </row>
        <row r="18">
          <cell r="A18">
            <v>27006</v>
          </cell>
          <cell r="B18" t="str">
            <v>CHOCÓ</v>
          </cell>
          <cell r="C18" t="str">
            <v>ACANDÍ</v>
          </cell>
          <cell r="D18">
            <v>184</v>
          </cell>
          <cell r="E18">
            <v>120</v>
          </cell>
          <cell r="F18">
            <v>64</v>
          </cell>
          <cell r="G18">
            <v>227</v>
          </cell>
          <cell r="H18">
            <v>17</v>
          </cell>
        </row>
        <row r="19">
          <cell r="A19">
            <v>27086</v>
          </cell>
          <cell r="B19" t="str">
            <v>CHOCÓ</v>
          </cell>
          <cell r="C19" t="str">
            <v>BELÉN DE BAJIRÁ</v>
          </cell>
          <cell r="D19">
            <v>59</v>
          </cell>
          <cell r="E19">
            <v>59</v>
          </cell>
          <cell r="F19">
            <v>0</v>
          </cell>
          <cell r="G19">
            <v>0</v>
          </cell>
          <cell r="H19">
            <v>10</v>
          </cell>
        </row>
        <row r="20">
          <cell r="A20">
            <v>27099</v>
          </cell>
          <cell r="B20" t="str">
            <v>CHOCÓ</v>
          </cell>
          <cell r="C20" t="str">
            <v>BOJAYÁ (BELLAVISTA)</v>
          </cell>
          <cell r="D20">
            <v>132</v>
          </cell>
          <cell r="E20">
            <v>0</v>
          </cell>
          <cell r="F20">
            <v>132</v>
          </cell>
          <cell r="G20">
            <v>196</v>
          </cell>
          <cell r="H20">
            <v>10</v>
          </cell>
        </row>
        <row r="21">
          <cell r="A21">
            <v>27150</v>
          </cell>
          <cell r="B21" t="str">
            <v>CHOCÓ</v>
          </cell>
          <cell r="C21" t="str">
            <v>CARMEN DEL DARIÉN</v>
          </cell>
          <cell r="D21">
            <v>67</v>
          </cell>
          <cell r="E21">
            <v>0</v>
          </cell>
          <cell r="F21">
            <v>67</v>
          </cell>
          <cell r="G21">
            <v>53</v>
          </cell>
          <cell r="H21">
            <v>16</v>
          </cell>
        </row>
        <row r="22">
          <cell r="A22">
            <v>27245</v>
          </cell>
          <cell r="B22" t="str">
            <v>CHOCÓ</v>
          </cell>
          <cell r="C22" t="str">
            <v>EL CARMEN DE ATRATO</v>
          </cell>
          <cell r="D22">
            <v>99</v>
          </cell>
          <cell r="E22">
            <v>54</v>
          </cell>
          <cell r="F22">
            <v>45</v>
          </cell>
          <cell r="G22">
            <v>119</v>
          </cell>
          <cell r="H22">
            <v>26</v>
          </cell>
        </row>
        <row r="23">
          <cell r="A23">
            <v>27615</v>
          </cell>
          <cell r="B23" t="str">
            <v>CHOCÓ</v>
          </cell>
          <cell r="C23" t="str">
            <v>RIOSUCIO</v>
          </cell>
          <cell r="D23">
            <v>198</v>
          </cell>
          <cell r="E23">
            <v>0</v>
          </cell>
          <cell r="F23">
            <v>198</v>
          </cell>
          <cell r="G23">
            <v>44</v>
          </cell>
          <cell r="H23">
            <v>44</v>
          </cell>
        </row>
        <row r="24">
          <cell r="A24">
            <v>27800</v>
          </cell>
          <cell r="B24" t="str">
            <v>CHOCÓ</v>
          </cell>
          <cell r="C24" t="str">
            <v>UNGUÍA</v>
          </cell>
          <cell r="D24">
            <v>206</v>
          </cell>
          <cell r="E24">
            <v>130</v>
          </cell>
          <cell r="F24">
            <v>76</v>
          </cell>
          <cell r="G24">
            <v>54</v>
          </cell>
          <cell r="H24">
            <v>27</v>
          </cell>
        </row>
        <row r="25">
          <cell r="A25">
            <v>23807</v>
          </cell>
          <cell r="B25" t="str">
            <v>CÓRDOBA</v>
          </cell>
          <cell r="C25" t="str">
            <v>TIERRALTA</v>
          </cell>
          <cell r="D25">
            <v>1190</v>
          </cell>
          <cell r="E25">
            <v>780</v>
          </cell>
          <cell r="F25">
            <v>410</v>
          </cell>
          <cell r="G25">
            <v>583</v>
          </cell>
          <cell r="H25">
            <v>372</v>
          </cell>
        </row>
        <row r="26">
          <cell r="A26">
            <v>23855</v>
          </cell>
          <cell r="B26" t="str">
            <v>CÓRDOBA</v>
          </cell>
          <cell r="C26" t="str">
            <v>VALENCIA</v>
          </cell>
          <cell r="D26">
            <v>686</v>
          </cell>
          <cell r="E26">
            <v>84</v>
          </cell>
          <cell r="F26">
            <v>602</v>
          </cell>
          <cell r="G26">
            <v>252</v>
          </cell>
          <cell r="H26">
            <v>151</v>
          </cell>
        </row>
        <row r="27">
          <cell r="A27">
            <v>95015</v>
          </cell>
          <cell r="B27" t="str">
            <v>GUAVIARE</v>
          </cell>
          <cell r="C27" t="str">
            <v>CALAMAR</v>
          </cell>
          <cell r="D27">
            <v>104</v>
          </cell>
          <cell r="E27">
            <v>25</v>
          </cell>
          <cell r="F27">
            <v>79</v>
          </cell>
          <cell r="G27">
            <v>65</v>
          </cell>
          <cell r="H27">
            <v>14</v>
          </cell>
        </row>
        <row r="28">
          <cell r="A28">
            <v>95200</v>
          </cell>
          <cell r="B28" t="str">
            <v>GUAVIARE</v>
          </cell>
          <cell r="C28" t="str">
            <v>MIRAFLORES</v>
          </cell>
          <cell r="D28">
            <v>106</v>
          </cell>
          <cell r="E28">
            <v>0</v>
          </cell>
          <cell r="F28">
            <v>106</v>
          </cell>
          <cell r="G28">
            <v>73</v>
          </cell>
          <cell r="H28">
            <v>21</v>
          </cell>
        </row>
        <row r="29">
          <cell r="A29">
            <v>44090</v>
          </cell>
          <cell r="B29" t="str">
            <v>LA GUAJIRA</v>
          </cell>
          <cell r="C29" t="str">
            <v>DIBULLA</v>
          </cell>
          <cell r="D29">
            <v>81</v>
          </cell>
          <cell r="E29">
            <v>0</v>
          </cell>
          <cell r="F29">
            <v>81</v>
          </cell>
          <cell r="G29">
            <v>130</v>
          </cell>
          <cell r="H29">
            <v>81</v>
          </cell>
        </row>
        <row r="30">
          <cell r="A30">
            <v>44650</v>
          </cell>
          <cell r="B30" t="str">
            <v>LA GUAJIRA</v>
          </cell>
          <cell r="C30" t="str">
            <v>SAN JUAN DEL CESAR</v>
          </cell>
          <cell r="D30">
            <v>573</v>
          </cell>
          <cell r="E30">
            <v>362</v>
          </cell>
          <cell r="F30">
            <v>211</v>
          </cell>
          <cell r="G30">
            <v>193</v>
          </cell>
          <cell r="H30">
            <v>198</v>
          </cell>
        </row>
        <row r="31">
          <cell r="A31">
            <v>47053</v>
          </cell>
          <cell r="B31" t="str">
            <v>MAGDALENA</v>
          </cell>
          <cell r="C31" t="str">
            <v>ARACATACA</v>
          </cell>
          <cell r="D31">
            <v>599</v>
          </cell>
          <cell r="E31">
            <v>550</v>
          </cell>
          <cell r="F31">
            <v>49</v>
          </cell>
          <cell r="G31">
            <v>111</v>
          </cell>
          <cell r="H31">
            <v>149</v>
          </cell>
        </row>
        <row r="32">
          <cell r="A32">
            <v>47189</v>
          </cell>
          <cell r="B32" t="str">
            <v>MAGDALENA</v>
          </cell>
          <cell r="C32" t="str">
            <v>CIÉNAGA</v>
          </cell>
          <cell r="D32">
            <v>1945</v>
          </cell>
          <cell r="E32">
            <v>1050</v>
          </cell>
          <cell r="F32">
            <v>895</v>
          </cell>
          <cell r="G32">
            <v>571</v>
          </cell>
          <cell r="H32">
            <v>588</v>
          </cell>
        </row>
        <row r="33">
          <cell r="A33">
            <v>47288</v>
          </cell>
          <cell r="B33" t="str">
            <v>MAGDALENA</v>
          </cell>
          <cell r="C33" t="str">
            <v>FUNDACIÓN</v>
          </cell>
          <cell r="D33">
            <v>875</v>
          </cell>
          <cell r="E33">
            <v>500</v>
          </cell>
          <cell r="F33">
            <v>375</v>
          </cell>
          <cell r="G33">
            <v>195</v>
          </cell>
          <cell r="H33">
            <v>142</v>
          </cell>
        </row>
        <row r="34">
          <cell r="A34">
            <v>50350</v>
          </cell>
          <cell r="B34" t="str">
            <v>META</v>
          </cell>
          <cell r="C34" t="str">
            <v>LA MACARENA</v>
          </cell>
          <cell r="D34">
            <v>132</v>
          </cell>
          <cell r="E34">
            <v>43</v>
          </cell>
          <cell r="F34">
            <v>89</v>
          </cell>
          <cell r="G34">
            <v>83</v>
          </cell>
          <cell r="H34">
            <v>26</v>
          </cell>
        </row>
        <row r="35">
          <cell r="A35">
            <v>50370</v>
          </cell>
          <cell r="B35" t="str">
            <v>META</v>
          </cell>
          <cell r="C35" t="str">
            <v>LA URIBE</v>
          </cell>
          <cell r="D35">
            <v>178</v>
          </cell>
          <cell r="E35">
            <v>23</v>
          </cell>
          <cell r="F35">
            <v>155</v>
          </cell>
          <cell r="G35">
            <v>36</v>
          </cell>
          <cell r="H35">
            <v>27</v>
          </cell>
        </row>
        <row r="36">
          <cell r="A36">
            <v>50590</v>
          </cell>
          <cell r="B36" t="str">
            <v>META</v>
          </cell>
          <cell r="C36" t="str">
            <v>PUERTO RICO</v>
          </cell>
          <cell r="D36">
            <v>164</v>
          </cell>
          <cell r="E36">
            <v>100</v>
          </cell>
          <cell r="F36">
            <v>64</v>
          </cell>
          <cell r="G36">
            <v>76</v>
          </cell>
          <cell r="H36">
            <v>40</v>
          </cell>
        </row>
        <row r="37">
          <cell r="A37">
            <v>50711</v>
          </cell>
          <cell r="B37" t="str">
            <v>META</v>
          </cell>
          <cell r="C37" t="str">
            <v>VISTAHERMOSA</v>
          </cell>
          <cell r="D37">
            <v>284</v>
          </cell>
          <cell r="E37">
            <v>200</v>
          </cell>
          <cell r="F37">
            <v>84</v>
          </cell>
          <cell r="G37">
            <v>104</v>
          </cell>
          <cell r="H37">
            <v>72</v>
          </cell>
        </row>
        <row r="38">
          <cell r="A38">
            <v>52835</v>
          </cell>
          <cell r="B38" t="str">
            <v>NARIÑO</v>
          </cell>
          <cell r="C38" t="str">
            <v>TUMACO</v>
          </cell>
          <cell r="D38">
            <v>1940</v>
          </cell>
          <cell r="E38">
            <v>989</v>
          </cell>
          <cell r="F38">
            <v>951</v>
          </cell>
          <cell r="G38">
            <v>404</v>
          </cell>
          <cell r="H38">
            <v>516</v>
          </cell>
        </row>
        <row r="39">
          <cell r="A39">
            <v>54003</v>
          </cell>
          <cell r="B39" t="str">
            <v>NORTE DE SANTANDER</v>
          </cell>
          <cell r="C39" t="str">
            <v>ABREGO</v>
          </cell>
          <cell r="D39">
            <v>484</v>
          </cell>
          <cell r="E39">
            <v>147</v>
          </cell>
          <cell r="F39">
            <v>337</v>
          </cell>
          <cell r="G39">
            <v>306</v>
          </cell>
          <cell r="H39">
            <v>142</v>
          </cell>
        </row>
        <row r="40">
          <cell r="A40">
            <v>54206</v>
          </cell>
          <cell r="B40" t="str">
            <v>NORTE DE SANTANDER</v>
          </cell>
          <cell r="C40" t="str">
            <v>CONVENCIÓN</v>
          </cell>
          <cell r="D40">
            <v>276</v>
          </cell>
          <cell r="E40">
            <v>50</v>
          </cell>
          <cell r="F40">
            <v>226</v>
          </cell>
          <cell r="G40">
            <v>142</v>
          </cell>
          <cell r="H40">
            <v>104</v>
          </cell>
        </row>
        <row r="41">
          <cell r="A41">
            <v>54245</v>
          </cell>
          <cell r="B41" t="str">
            <v>NORTE DE SANTANDER</v>
          </cell>
          <cell r="C41" t="str">
            <v>EL CARMEN</v>
          </cell>
          <cell r="D41">
            <v>337</v>
          </cell>
          <cell r="E41">
            <v>98</v>
          </cell>
          <cell r="F41">
            <v>239</v>
          </cell>
          <cell r="G41">
            <v>73</v>
          </cell>
          <cell r="H41">
            <v>81</v>
          </cell>
        </row>
        <row r="42">
          <cell r="A42">
            <v>54250</v>
          </cell>
          <cell r="B42" t="str">
            <v>NORTE DE SANTANDER</v>
          </cell>
          <cell r="C42" t="str">
            <v>EL TARRA</v>
          </cell>
          <cell r="D42">
            <v>152</v>
          </cell>
          <cell r="E42">
            <v>128</v>
          </cell>
          <cell r="F42">
            <v>24</v>
          </cell>
          <cell r="G42">
            <v>126</v>
          </cell>
          <cell r="H42">
            <v>35</v>
          </cell>
        </row>
        <row r="43">
          <cell r="A43">
            <v>54344</v>
          </cell>
          <cell r="B43" t="str">
            <v>NORTE DE SANTANDER</v>
          </cell>
          <cell r="C43" t="str">
            <v>HACARÍ</v>
          </cell>
          <cell r="D43">
            <v>164</v>
          </cell>
          <cell r="E43">
            <v>21</v>
          </cell>
          <cell r="F43">
            <v>143</v>
          </cell>
          <cell r="G43">
            <v>58</v>
          </cell>
          <cell r="H43">
            <v>33</v>
          </cell>
        </row>
        <row r="44">
          <cell r="A44">
            <v>54398</v>
          </cell>
          <cell r="B44" t="str">
            <v>NORTE DE SANTANDER</v>
          </cell>
          <cell r="C44" t="str">
            <v>LA PLAYA</v>
          </cell>
          <cell r="D44">
            <v>112</v>
          </cell>
          <cell r="E44">
            <v>0</v>
          </cell>
          <cell r="F44">
            <v>112</v>
          </cell>
          <cell r="G44">
            <v>143</v>
          </cell>
          <cell r="H44">
            <v>43</v>
          </cell>
        </row>
        <row r="45">
          <cell r="A45">
            <v>54498</v>
          </cell>
          <cell r="B45" t="str">
            <v>NORTE DE SANTANDER</v>
          </cell>
          <cell r="C45" t="str">
            <v>OCAÑA</v>
          </cell>
          <cell r="D45">
            <v>1368</v>
          </cell>
          <cell r="E45">
            <v>1251</v>
          </cell>
          <cell r="F45">
            <v>117</v>
          </cell>
          <cell r="G45">
            <v>541</v>
          </cell>
          <cell r="H45">
            <v>579</v>
          </cell>
        </row>
        <row r="46">
          <cell r="A46">
            <v>54670</v>
          </cell>
          <cell r="B46" t="str">
            <v>NORTE DE SANTANDER</v>
          </cell>
          <cell r="C46" t="str">
            <v>SAN CALIXTO</v>
          </cell>
          <cell r="D46">
            <v>180</v>
          </cell>
          <cell r="E46">
            <v>0</v>
          </cell>
          <cell r="F46">
            <v>180</v>
          </cell>
          <cell r="G46">
            <v>130</v>
          </cell>
          <cell r="H46">
            <v>28</v>
          </cell>
        </row>
        <row r="47">
          <cell r="A47">
            <v>54800</v>
          </cell>
          <cell r="B47" t="str">
            <v>NORTE DE SANTANDER</v>
          </cell>
          <cell r="C47" t="str">
            <v>TEORAMA</v>
          </cell>
          <cell r="D47">
            <v>224</v>
          </cell>
          <cell r="E47">
            <v>71</v>
          </cell>
          <cell r="F47">
            <v>153</v>
          </cell>
          <cell r="G47">
            <v>78</v>
          </cell>
          <cell r="H47">
            <v>55</v>
          </cell>
        </row>
        <row r="48">
          <cell r="A48">
            <v>54810</v>
          </cell>
          <cell r="B48" t="str">
            <v>NORTE DE SANTANDER</v>
          </cell>
          <cell r="C48" t="str">
            <v>TIBÚ</v>
          </cell>
          <cell r="D48">
            <v>593</v>
          </cell>
          <cell r="E48">
            <v>420</v>
          </cell>
          <cell r="F48">
            <v>173</v>
          </cell>
          <cell r="G48">
            <v>183</v>
          </cell>
          <cell r="H48">
            <v>152</v>
          </cell>
        </row>
        <row r="49">
          <cell r="A49">
            <v>86320</v>
          </cell>
          <cell r="B49" t="str">
            <v>PUTUMAYO</v>
          </cell>
          <cell r="C49" t="str">
            <v>ORITO</v>
          </cell>
          <cell r="D49">
            <v>444</v>
          </cell>
          <cell r="E49">
            <v>150</v>
          </cell>
          <cell r="F49">
            <v>294</v>
          </cell>
          <cell r="G49">
            <v>134</v>
          </cell>
          <cell r="H49">
            <v>112</v>
          </cell>
        </row>
        <row r="50">
          <cell r="A50">
            <v>86568</v>
          </cell>
          <cell r="B50" t="str">
            <v>PUTUMAYO</v>
          </cell>
          <cell r="C50" t="str">
            <v>PUERTO ASÍS</v>
          </cell>
          <cell r="D50">
            <v>698</v>
          </cell>
          <cell r="E50">
            <v>400</v>
          </cell>
          <cell r="F50">
            <v>298</v>
          </cell>
          <cell r="G50">
            <v>137</v>
          </cell>
          <cell r="H50">
            <v>169</v>
          </cell>
        </row>
        <row r="51">
          <cell r="A51">
            <v>86571</v>
          </cell>
          <cell r="B51" t="str">
            <v>PUTUMAYO</v>
          </cell>
          <cell r="C51" t="str">
            <v>PUERTO GUZMÁN</v>
          </cell>
          <cell r="D51">
            <v>374</v>
          </cell>
          <cell r="E51">
            <v>0</v>
          </cell>
          <cell r="F51">
            <v>374</v>
          </cell>
          <cell r="G51">
            <v>161</v>
          </cell>
          <cell r="H51">
            <v>44</v>
          </cell>
        </row>
        <row r="52">
          <cell r="A52">
            <v>86573</v>
          </cell>
          <cell r="B52" t="str">
            <v>PUTUMAYO</v>
          </cell>
          <cell r="C52" t="str">
            <v>PUERTO LEGUÍZAMO</v>
          </cell>
          <cell r="D52">
            <v>54</v>
          </cell>
          <cell r="E52">
            <v>38</v>
          </cell>
          <cell r="F52">
            <v>16</v>
          </cell>
          <cell r="G52">
            <v>332</v>
          </cell>
          <cell r="H52">
            <v>41</v>
          </cell>
        </row>
        <row r="53">
          <cell r="A53">
            <v>86757</v>
          </cell>
          <cell r="B53" t="str">
            <v>PUTUMAYO</v>
          </cell>
          <cell r="C53" t="str">
            <v>SAN MIGUEL</v>
          </cell>
          <cell r="D53">
            <v>230</v>
          </cell>
          <cell r="E53">
            <v>103</v>
          </cell>
          <cell r="F53">
            <v>127</v>
          </cell>
          <cell r="G53">
            <v>50</v>
          </cell>
          <cell r="H53">
            <v>49</v>
          </cell>
        </row>
        <row r="54">
          <cell r="A54">
            <v>86865</v>
          </cell>
          <cell r="B54" t="str">
            <v>PUTUMAYO</v>
          </cell>
          <cell r="C54" t="str">
            <v>VALLE DEL GUAMUEZ (LA HORMIGA)</v>
          </cell>
          <cell r="D54">
            <v>451</v>
          </cell>
          <cell r="E54">
            <v>59</v>
          </cell>
          <cell r="F54">
            <v>392</v>
          </cell>
          <cell r="G54">
            <v>101</v>
          </cell>
          <cell r="H54">
            <v>85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GENERAL Y FINANCIERA"/>
      <sheetName val="INFO EXPERIENCIA"/>
      <sheetName val="INFO DE PRODUCTOS"/>
      <sheetName val="lista"/>
    </sheetNames>
    <sheetDataSet>
      <sheetData sheetId="0"/>
      <sheetData sheetId="1"/>
      <sheetData sheetId="2"/>
      <sheetData sheetId="3">
        <row r="2">
          <cell r="A2" t="str">
            <v>Importado</v>
          </cell>
        </row>
        <row r="11">
          <cell r="A11" t="str">
            <v>Estatal</v>
          </cell>
        </row>
        <row r="12">
          <cell r="A12" t="str">
            <v>Privada</v>
          </cell>
        </row>
        <row r="13">
          <cell r="A13" t="str">
            <v>Mixta</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DES PAE 2010"/>
      <sheetName val="Departamentos"/>
      <sheetName val="Regionales"/>
      <sheetName val="Listas"/>
      <sheetName val="Hoja3"/>
      <sheetName val="DepMunicipio"/>
    </sheetNames>
    <sheetDataSet>
      <sheetData sheetId="0"/>
      <sheetData sheetId="1" refreshError="1"/>
      <sheetData sheetId="2" refreshError="1"/>
      <sheetData sheetId="3">
        <row r="2">
          <cell r="B2" t="str">
            <v>AMAZONAS</v>
          </cell>
        </row>
        <row r="3">
          <cell r="B3" t="str">
            <v>ANTIOQUIA</v>
          </cell>
        </row>
        <row r="4">
          <cell r="B4" t="str">
            <v>ARAUCA</v>
          </cell>
        </row>
        <row r="5">
          <cell r="B5" t="str">
            <v>ATLANTICO</v>
          </cell>
        </row>
        <row r="6">
          <cell r="B6" t="str">
            <v>BOGOTA DC</v>
          </cell>
        </row>
        <row r="7">
          <cell r="B7" t="str">
            <v>BOLIVAR</v>
          </cell>
        </row>
        <row r="8">
          <cell r="B8" t="str">
            <v>BOYACA</v>
          </cell>
        </row>
        <row r="9">
          <cell r="B9" t="str">
            <v>CALDAS</v>
          </cell>
        </row>
        <row r="10">
          <cell r="B10" t="str">
            <v>CAQUETA</v>
          </cell>
        </row>
        <row r="11">
          <cell r="B11" t="str">
            <v>CASANARE</v>
          </cell>
        </row>
        <row r="12">
          <cell r="B12" t="str">
            <v>CAUCA</v>
          </cell>
        </row>
        <row r="13">
          <cell r="B13" t="str">
            <v>CESAR</v>
          </cell>
        </row>
        <row r="14">
          <cell r="B14" t="str">
            <v>CHOCO</v>
          </cell>
        </row>
        <row r="15">
          <cell r="B15" t="str">
            <v>CORDOBA</v>
          </cell>
        </row>
        <row r="16">
          <cell r="B16" t="str">
            <v>CUNDINAMARCA</v>
          </cell>
        </row>
        <row r="17">
          <cell r="B17" t="str">
            <v>GUAINIA</v>
          </cell>
        </row>
        <row r="18">
          <cell r="B18" t="str">
            <v>GUAVIARE</v>
          </cell>
        </row>
        <row r="19">
          <cell r="B19" t="str">
            <v>HUILA</v>
          </cell>
        </row>
        <row r="20">
          <cell r="B20" t="str">
            <v>LA GUAJIRA</v>
          </cell>
        </row>
        <row r="21">
          <cell r="B21" t="str">
            <v>MAGDALENA</v>
          </cell>
        </row>
        <row r="22">
          <cell r="B22" t="str">
            <v>META</v>
          </cell>
        </row>
        <row r="23">
          <cell r="B23" t="str">
            <v>NARINO</v>
          </cell>
        </row>
        <row r="24">
          <cell r="B24" t="str">
            <v>NORTE DE SANTANDER</v>
          </cell>
        </row>
        <row r="25">
          <cell r="B25" t="str">
            <v>PUTUMAYO</v>
          </cell>
        </row>
        <row r="26">
          <cell r="B26" t="str">
            <v>QUINDIO</v>
          </cell>
        </row>
        <row r="27">
          <cell r="B27" t="str">
            <v>RISARALDA</v>
          </cell>
        </row>
        <row r="28">
          <cell r="B28" t="str">
            <v>SAN ANDRES</v>
          </cell>
        </row>
        <row r="29">
          <cell r="B29" t="str">
            <v>SANTANDER</v>
          </cell>
        </row>
        <row r="30">
          <cell r="B30" t="str">
            <v>SUCRE</v>
          </cell>
        </row>
        <row r="31">
          <cell r="B31" t="str">
            <v>TOLIMA</v>
          </cell>
        </row>
        <row r="32">
          <cell r="B32" t="str">
            <v>VALLE DEL CAUCA</v>
          </cell>
        </row>
        <row r="33">
          <cell r="B33" t="str">
            <v>VAUPES</v>
          </cell>
        </row>
        <row r="34">
          <cell r="B34" t="str">
            <v>VICHADA</v>
          </cell>
        </row>
      </sheetData>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6"/>
  <sheetViews>
    <sheetView workbookViewId="0">
      <selection activeCell="A11" sqref="A11"/>
    </sheetView>
  </sheetViews>
  <sheetFormatPr baseColWidth="10" defaultRowHeight="15"/>
  <cols>
    <col min="1" max="1" width="25" customWidth="1"/>
    <col min="2" max="2" width="20.625" style="17" hidden="1" customWidth="1"/>
    <col min="3" max="3" width="19.25" style="14" hidden="1" customWidth="1"/>
    <col min="4" max="4" width="16.625" style="14" hidden="1" customWidth="1"/>
    <col min="5" max="6" width="15.625" hidden="1" customWidth="1"/>
    <col min="7" max="7" width="15.875" hidden="1" customWidth="1"/>
    <col min="8" max="8" width="43" customWidth="1"/>
    <col min="9" max="9" width="15.625" hidden="1" customWidth="1"/>
    <col min="10" max="10" width="18.875" hidden="1" customWidth="1"/>
    <col min="11" max="11" width="17.625" hidden="1" customWidth="1"/>
    <col min="12" max="12" width="17" hidden="1" customWidth="1"/>
    <col min="13" max="13" width="10.25" hidden="1" customWidth="1"/>
    <col min="14" max="14" width="41.25" customWidth="1"/>
    <col min="15" max="15" width="16" hidden="1" customWidth="1"/>
    <col min="16" max="16" width="18.375" hidden="1" customWidth="1"/>
    <col min="17" max="17" width="29.25" customWidth="1"/>
  </cols>
  <sheetData>
    <row r="1" spans="1:18" ht="71.25" customHeight="1">
      <c r="A1" s="68" t="s">
        <v>44</v>
      </c>
      <c r="B1" s="70" t="s">
        <v>85</v>
      </c>
      <c r="C1" s="71"/>
      <c r="D1" s="71"/>
      <c r="E1" s="71"/>
      <c r="F1" s="71"/>
      <c r="G1" s="71"/>
      <c r="H1" s="72"/>
      <c r="I1" s="73" t="s">
        <v>86</v>
      </c>
      <c r="J1" s="73"/>
      <c r="K1" s="73"/>
      <c r="L1" s="73"/>
      <c r="M1" s="73"/>
      <c r="N1" s="73"/>
      <c r="O1" s="74" t="s">
        <v>79</v>
      </c>
      <c r="P1" s="75"/>
      <c r="Q1" s="75"/>
      <c r="R1" s="68" t="s">
        <v>87</v>
      </c>
    </row>
    <row r="2" spans="1:18" s="35" customFormat="1" ht="75">
      <c r="A2" s="69"/>
      <c r="B2" s="37" t="s">
        <v>5</v>
      </c>
      <c r="C2" s="37" t="s">
        <v>1</v>
      </c>
      <c r="D2" s="37" t="s">
        <v>2</v>
      </c>
      <c r="E2" s="37" t="s">
        <v>9</v>
      </c>
      <c r="F2" s="37" t="s">
        <v>10</v>
      </c>
      <c r="G2" s="37" t="s">
        <v>81</v>
      </c>
      <c r="H2" s="38" t="s">
        <v>82</v>
      </c>
      <c r="I2" s="41" t="s">
        <v>14</v>
      </c>
      <c r="J2" s="41" t="s">
        <v>11</v>
      </c>
      <c r="K2" s="41" t="s">
        <v>6</v>
      </c>
      <c r="L2" s="41" t="s">
        <v>8</v>
      </c>
      <c r="M2" s="41" t="s">
        <v>7</v>
      </c>
      <c r="N2" s="38" t="s">
        <v>82</v>
      </c>
      <c r="O2" s="47" t="s">
        <v>80</v>
      </c>
      <c r="P2" s="48" t="s">
        <v>3</v>
      </c>
      <c r="Q2" s="38" t="s">
        <v>82</v>
      </c>
      <c r="R2" s="69"/>
    </row>
    <row r="3" spans="1:18">
      <c r="A3" s="49" t="s">
        <v>0</v>
      </c>
      <c r="B3" s="50"/>
      <c r="C3" s="16">
        <v>47</v>
      </c>
      <c r="D3" s="16">
        <v>2</v>
      </c>
      <c r="E3" s="16"/>
      <c r="F3" s="16"/>
      <c r="G3" s="16"/>
      <c r="H3" s="54">
        <f>+SUM(B3:G3)*20%</f>
        <v>9.8000000000000007</v>
      </c>
      <c r="I3" s="16"/>
      <c r="J3" s="16"/>
      <c r="K3" s="36"/>
      <c r="L3" s="16"/>
      <c r="M3" s="16"/>
      <c r="N3" s="54">
        <f>+SUM(I3:M3)*20%</f>
        <v>0</v>
      </c>
      <c r="O3" s="16">
        <v>38</v>
      </c>
      <c r="P3" s="16"/>
      <c r="Q3" s="54">
        <f>+SUM(O3:P3)*50%</f>
        <v>19</v>
      </c>
      <c r="R3" s="51">
        <f>+Q3+N3+H3</f>
        <v>28.8</v>
      </c>
    </row>
    <row r="4" spans="1:18">
      <c r="A4" s="49" t="s">
        <v>4</v>
      </c>
      <c r="B4" s="50">
        <v>1</v>
      </c>
      <c r="C4" s="16">
        <v>73</v>
      </c>
      <c r="D4" s="16">
        <v>121</v>
      </c>
      <c r="E4" s="16">
        <v>1</v>
      </c>
      <c r="F4" s="16">
        <v>117</v>
      </c>
      <c r="G4" s="16">
        <v>2</v>
      </c>
      <c r="H4" s="54">
        <f t="shared" ref="H4:H33" si="0">+SUM(B4:G4)*20%</f>
        <v>63</v>
      </c>
      <c r="I4" s="16"/>
      <c r="J4" s="16">
        <v>18</v>
      </c>
      <c r="K4" s="36">
        <v>1</v>
      </c>
      <c r="L4" s="16">
        <v>4683</v>
      </c>
      <c r="M4" s="16">
        <v>702</v>
      </c>
      <c r="N4" s="54">
        <f t="shared" ref="N4:N33" si="1">+SUM(I4:M4)*20%</f>
        <v>1080.8</v>
      </c>
      <c r="O4" s="16">
        <v>9</v>
      </c>
      <c r="P4" s="16"/>
      <c r="Q4" s="54">
        <f>+SUM(O4:P4)*50%</f>
        <v>4.5</v>
      </c>
      <c r="R4" s="51">
        <f t="shared" ref="R4:R35" si="2">+Q4+N4+H4</f>
        <v>1148.3</v>
      </c>
    </row>
    <row r="5" spans="1:18">
      <c r="A5" s="49" t="s">
        <v>12</v>
      </c>
      <c r="B5" s="50"/>
      <c r="C5" s="16">
        <v>7</v>
      </c>
      <c r="D5" s="16">
        <v>17</v>
      </c>
      <c r="E5" s="16"/>
      <c r="F5" s="16">
        <v>6</v>
      </c>
      <c r="G5" s="16"/>
      <c r="H5" s="54">
        <f>+SUM(B5:G5)*50%</f>
        <v>15</v>
      </c>
      <c r="I5" s="16"/>
      <c r="J5" s="16"/>
      <c r="K5" s="36"/>
      <c r="L5" s="16">
        <v>62</v>
      </c>
      <c r="M5" s="16">
        <v>13</v>
      </c>
      <c r="N5" s="54">
        <f t="shared" si="1"/>
        <v>15</v>
      </c>
      <c r="O5" s="16">
        <v>135</v>
      </c>
      <c r="P5" s="16">
        <v>30</v>
      </c>
      <c r="Q5" s="54">
        <f t="shared" ref="Q5:Q33" si="3">+SUM(O5:P5)*20%</f>
        <v>33</v>
      </c>
      <c r="R5" s="51">
        <f t="shared" si="2"/>
        <v>63</v>
      </c>
    </row>
    <row r="6" spans="1:18">
      <c r="A6" s="49" t="s">
        <v>13</v>
      </c>
      <c r="B6" s="50"/>
      <c r="C6" s="16">
        <v>35</v>
      </c>
      <c r="D6" s="16">
        <v>36</v>
      </c>
      <c r="E6" s="16"/>
      <c r="F6" s="16">
        <v>48</v>
      </c>
      <c r="G6" s="16"/>
      <c r="H6" s="54">
        <f t="shared" si="0"/>
        <v>23.8</v>
      </c>
      <c r="I6" s="16">
        <v>1</v>
      </c>
      <c r="J6" s="16">
        <v>3</v>
      </c>
      <c r="K6" s="36"/>
      <c r="L6" s="16">
        <v>2304</v>
      </c>
      <c r="M6" s="16">
        <v>1042</v>
      </c>
      <c r="N6" s="54">
        <f t="shared" si="1"/>
        <v>670</v>
      </c>
      <c r="O6" s="16">
        <v>7</v>
      </c>
      <c r="P6" s="16">
        <v>56</v>
      </c>
      <c r="Q6" s="54">
        <f t="shared" si="3"/>
        <v>12.600000000000001</v>
      </c>
      <c r="R6" s="51">
        <f t="shared" si="2"/>
        <v>706.4</v>
      </c>
    </row>
    <row r="7" spans="1:18">
      <c r="A7" s="49" t="s">
        <v>15</v>
      </c>
      <c r="B7" s="50">
        <v>3</v>
      </c>
      <c r="C7" s="16">
        <v>43</v>
      </c>
      <c r="D7" s="16">
        <v>26</v>
      </c>
      <c r="E7" s="16">
        <v>5</v>
      </c>
      <c r="F7" s="16">
        <v>100</v>
      </c>
      <c r="G7" s="16">
        <v>1</v>
      </c>
      <c r="H7" s="54">
        <f t="shared" si="0"/>
        <v>35.6</v>
      </c>
      <c r="I7" s="16"/>
      <c r="J7" s="16"/>
      <c r="K7" s="36">
        <v>308</v>
      </c>
      <c r="L7" s="16">
        <v>4757</v>
      </c>
      <c r="M7" s="16">
        <v>50</v>
      </c>
      <c r="N7" s="54">
        <f t="shared" si="1"/>
        <v>1023</v>
      </c>
      <c r="O7" s="16">
        <v>550</v>
      </c>
      <c r="P7" s="16"/>
      <c r="Q7" s="54">
        <f t="shared" si="3"/>
        <v>110</v>
      </c>
      <c r="R7" s="51">
        <f t="shared" si="2"/>
        <v>1168.5999999999999</v>
      </c>
    </row>
    <row r="8" spans="1:18">
      <c r="A8" s="49" t="s">
        <v>16</v>
      </c>
      <c r="B8" s="50"/>
      <c r="C8" s="16">
        <v>35</v>
      </c>
      <c r="D8" s="16">
        <v>58</v>
      </c>
      <c r="E8" s="16"/>
      <c r="F8" s="16">
        <v>34</v>
      </c>
      <c r="G8" s="16"/>
      <c r="H8" s="54">
        <f t="shared" si="0"/>
        <v>25.400000000000002</v>
      </c>
      <c r="I8" s="16"/>
      <c r="J8" s="16"/>
      <c r="K8" s="36">
        <v>5</v>
      </c>
      <c r="L8" s="16">
        <v>3162</v>
      </c>
      <c r="M8" s="16">
        <v>657</v>
      </c>
      <c r="N8" s="54">
        <f t="shared" si="1"/>
        <v>764.80000000000007</v>
      </c>
      <c r="O8" s="16">
        <v>40</v>
      </c>
      <c r="P8" s="16">
        <v>59</v>
      </c>
      <c r="Q8" s="54">
        <f t="shared" si="3"/>
        <v>19.8</v>
      </c>
      <c r="R8" s="51">
        <f t="shared" si="2"/>
        <v>810</v>
      </c>
    </row>
    <row r="9" spans="1:18">
      <c r="A9" s="49" t="s">
        <v>17</v>
      </c>
      <c r="B9" s="50"/>
      <c r="C9" s="16">
        <v>8</v>
      </c>
      <c r="D9" s="16">
        <v>28</v>
      </c>
      <c r="E9" s="16"/>
      <c r="F9" s="16">
        <v>28</v>
      </c>
      <c r="G9" s="16"/>
      <c r="H9" s="54">
        <f t="shared" si="0"/>
        <v>12.8</v>
      </c>
      <c r="I9" s="16">
        <v>1</v>
      </c>
      <c r="J9" s="16"/>
      <c r="K9" s="36">
        <v>42</v>
      </c>
      <c r="L9" s="16">
        <v>1459</v>
      </c>
      <c r="M9" s="16">
        <v>432</v>
      </c>
      <c r="N9" s="54">
        <f t="shared" si="1"/>
        <v>386.8</v>
      </c>
      <c r="O9" s="16">
        <v>82</v>
      </c>
      <c r="P9" s="16">
        <v>36</v>
      </c>
      <c r="Q9" s="54">
        <f t="shared" si="3"/>
        <v>23.6</v>
      </c>
      <c r="R9" s="51">
        <f t="shared" si="2"/>
        <v>423.20000000000005</v>
      </c>
    </row>
    <row r="10" spans="1:18">
      <c r="A10" s="49" t="s">
        <v>18</v>
      </c>
      <c r="B10" s="50"/>
      <c r="C10" s="16">
        <v>59</v>
      </c>
      <c r="D10" s="16">
        <v>63</v>
      </c>
      <c r="E10" s="16"/>
      <c r="F10" s="16">
        <v>6</v>
      </c>
      <c r="G10" s="16"/>
      <c r="H10" s="54">
        <f t="shared" si="0"/>
        <v>25.6</v>
      </c>
      <c r="I10" s="16"/>
      <c r="J10" s="16"/>
      <c r="K10" s="36"/>
      <c r="L10" s="16">
        <v>422</v>
      </c>
      <c r="M10" s="16">
        <v>24</v>
      </c>
      <c r="N10" s="54">
        <f t="shared" si="1"/>
        <v>89.2</v>
      </c>
      <c r="O10" s="16">
        <v>200</v>
      </c>
      <c r="P10" s="16">
        <v>164</v>
      </c>
      <c r="Q10" s="54">
        <f t="shared" si="3"/>
        <v>72.8</v>
      </c>
      <c r="R10" s="51">
        <f t="shared" si="2"/>
        <v>187.6</v>
      </c>
    </row>
    <row r="11" spans="1:18">
      <c r="A11" s="49" t="s">
        <v>19</v>
      </c>
      <c r="B11" s="50"/>
      <c r="C11" s="16">
        <v>8</v>
      </c>
      <c r="D11" s="16">
        <v>23</v>
      </c>
      <c r="E11" s="16"/>
      <c r="F11" s="16">
        <v>15</v>
      </c>
      <c r="G11" s="16"/>
      <c r="H11" s="54">
        <f>+SUM(B11:G11)*50%</f>
        <v>23</v>
      </c>
      <c r="I11" s="16"/>
      <c r="J11" s="16"/>
      <c r="K11" s="36"/>
      <c r="L11" s="16">
        <v>323</v>
      </c>
      <c r="M11" s="16">
        <v>1</v>
      </c>
      <c r="N11" s="54">
        <f t="shared" si="1"/>
        <v>64.8</v>
      </c>
      <c r="O11" s="16"/>
      <c r="P11" s="16">
        <v>164</v>
      </c>
      <c r="Q11" s="54">
        <f t="shared" si="3"/>
        <v>32.800000000000004</v>
      </c>
      <c r="R11" s="51">
        <f t="shared" si="2"/>
        <v>120.6</v>
      </c>
    </row>
    <row r="12" spans="1:18">
      <c r="A12" s="49" t="s">
        <v>20</v>
      </c>
      <c r="B12" s="50"/>
      <c r="C12" s="16">
        <v>19</v>
      </c>
      <c r="D12" s="16">
        <v>19</v>
      </c>
      <c r="E12" s="16"/>
      <c r="F12" s="16">
        <v>3</v>
      </c>
      <c r="G12" s="16"/>
      <c r="H12" s="54">
        <f>+SUM(B12:G12)*50%</f>
        <v>20.5</v>
      </c>
      <c r="I12" s="16"/>
      <c r="J12" s="16"/>
      <c r="K12" s="36">
        <v>2</v>
      </c>
      <c r="L12" s="16">
        <v>14</v>
      </c>
      <c r="M12" s="16"/>
      <c r="N12" s="54">
        <f>+SUM(I12:M12)*50%</f>
        <v>8</v>
      </c>
      <c r="O12" s="16">
        <v>1</v>
      </c>
      <c r="P12" s="16">
        <v>121</v>
      </c>
      <c r="Q12" s="54">
        <f t="shared" si="3"/>
        <v>24.400000000000002</v>
      </c>
      <c r="R12" s="51">
        <f t="shared" si="2"/>
        <v>52.900000000000006</v>
      </c>
    </row>
    <row r="13" spans="1:18">
      <c r="A13" s="49" t="s">
        <v>21</v>
      </c>
      <c r="B13" s="50">
        <v>1</v>
      </c>
      <c r="C13" s="16">
        <v>1</v>
      </c>
      <c r="D13" s="16">
        <v>36</v>
      </c>
      <c r="E13" s="16"/>
      <c r="F13" s="16">
        <v>30</v>
      </c>
      <c r="G13" s="16"/>
      <c r="H13" s="54">
        <f t="shared" si="0"/>
        <v>13.600000000000001</v>
      </c>
      <c r="I13" s="16"/>
      <c r="J13" s="16"/>
      <c r="K13" s="36">
        <v>63</v>
      </c>
      <c r="L13" s="16">
        <v>2697</v>
      </c>
      <c r="M13" s="16">
        <v>141</v>
      </c>
      <c r="N13" s="54">
        <f t="shared" si="1"/>
        <v>580.20000000000005</v>
      </c>
      <c r="O13" s="16">
        <v>299</v>
      </c>
      <c r="P13" s="16">
        <v>404</v>
      </c>
      <c r="Q13" s="54">
        <f t="shared" si="3"/>
        <v>140.6</v>
      </c>
      <c r="R13" s="51">
        <f t="shared" si="2"/>
        <v>734.40000000000009</v>
      </c>
    </row>
    <row r="14" spans="1:18">
      <c r="A14" s="49" t="s">
        <v>22</v>
      </c>
      <c r="B14" s="50"/>
      <c r="C14" s="16">
        <v>32</v>
      </c>
      <c r="D14" s="16">
        <v>55</v>
      </c>
      <c r="E14" s="16"/>
      <c r="F14" s="16">
        <v>10</v>
      </c>
      <c r="G14" s="16"/>
      <c r="H14" s="54">
        <f t="shared" si="0"/>
        <v>19.400000000000002</v>
      </c>
      <c r="I14" s="16"/>
      <c r="J14" s="16"/>
      <c r="K14" s="36"/>
      <c r="L14" s="16">
        <v>1558</v>
      </c>
      <c r="M14" s="16">
        <v>465</v>
      </c>
      <c r="N14" s="54">
        <f t="shared" si="1"/>
        <v>404.6</v>
      </c>
      <c r="O14" s="16">
        <v>3</v>
      </c>
      <c r="P14" s="16">
        <v>53</v>
      </c>
      <c r="Q14" s="54">
        <f t="shared" si="3"/>
        <v>11.200000000000001</v>
      </c>
      <c r="R14" s="51">
        <f t="shared" si="2"/>
        <v>435.2</v>
      </c>
    </row>
    <row r="15" spans="1:18">
      <c r="A15" s="49" t="s">
        <v>23</v>
      </c>
      <c r="B15" s="50"/>
      <c r="C15" s="16">
        <v>6</v>
      </c>
      <c r="D15" s="16">
        <v>31</v>
      </c>
      <c r="E15" s="16"/>
      <c r="F15" s="16">
        <v>37</v>
      </c>
      <c r="G15" s="16"/>
      <c r="H15" s="54">
        <f t="shared" si="0"/>
        <v>14.8</v>
      </c>
      <c r="I15" s="16">
        <v>1</v>
      </c>
      <c r="J15" s="16"/>
      <c r="K15" s="36">
        <v>4</v>
      </c>
      <c r="L15" s="16">
        <v>991</v>
      </c>
      <c r="M15" s="16">
        <v>196</v>
      </c>
      <c r="N15" s="54">
        <f t="shared" si="1"/>
        <v>238.4</v>
      </c>
      <c r="O15" s="16">
        <v>519</v>
      </c>
      <c r="P15" s="16"/>
      <c r="Q15" s="54">
        <f t="shared" si="3"/>
        <v>103.80000000000001</v>
      </c>
      <c r="R15" s="51">
        <f t="shared" si="2"/>
        <v>357.00000000000006</v>
      </c>
    </row>
    <row r="16" spans="1:18">
      <c r="A16" s="49" t="s">
        <v>24</v>
      </c>
      <c r="B16" s="50"/>
      <c r="C16" s="16">
        <v>43</v>
      </c>
      <c r="D16" s="16">
        <v>58</v>
      </c>
      <c r="E16" s="16"/>
      <c r="F16" s="16">
        <v>1</v>
      </c>
      <c r="G16" s="16"/>
      <c r="H16" s="54">
        <f t="shared" si="0"/>
        <v>20.400000000000002</v>
      </c>
      <c r="I16" s="16"/>
      <c r="J16" s="16"/>
      <c r="K16" s="36"/>
      <c r="L16" s="16">
        <v>2461</v>
      </c>
      <c r="M16" s="16">
        <v>1253</v>
      </c>
      <c r="N16" s="54">
        <f t="shared" si="1"/>
        <v>742.80000000000007</v>
      </c>
      <c r="O16" s="16">
        <v>30</v>
      </c>
      <c r="P16" s="16">
        <v>68</v>
      </c>
      <c r="Q16" s="54">
        <f t="shared" si="3"/>
        <v>19.600000000000001</v>
      </c>
      <c r="R16" s="51">
        <f t="shared" si="2"/>
        <v>782.80000000000007</v>
      </c>
    </row>
    <row r="17" spans="1:18">
      <c r="A17" s="49" t="s">
        <v>25</v>
      </c>
      <c r="B17" s="50"/>
      <c r="C17" s="16">
        <v>50</v>
      </c>
      <c r="D17" s="16">
        <v>101</v>
      </c>
      <c r="E17" s="16">
        <v>8</v>
      </c>
      <c r="F17" s="16">
        <v>27</v>
      </c>
      <c r="G17" s="16"/>
      <c r="H17" s="54">
        <f t="shared" si="0"/>
        <v>37.200000000000003</v>
      </c>
      <c r="I17" s="16">
        <v>1</v>
      </c>
      <c r="J17" s="16">
        <v>1</v>
      </c>
      <c r="K17" s="36">
        <v>157</v>
      </c>
      <c r="L17" s="16">
        <v>836</v>
      </c>
      <c r="M17" s="16">
        <v>170</v>
      </c>
      <c r="N17" s="54">
        <f t="shared" si="1"/>
        <v>233</v>
      </c>
      <c r="O17" s="16">
        <v>965</v>
      </c>
      <c r="P17" s="16"/>
      <c r="Q17" s="54">
        <f t="shared" si="3"/>
        <v>193</v>
      </c>
      <c r="R17" s="51">
        <f t="shared" si="2"/>
        <v>463.2</v>
      </c>
    </row>
    <row r="18" spans="1:18">
      <c r="A18" s="49" t="s">
        <v>26</v>
      </c>
      <c r="B18" s="50"/>
      <c r="C18" s="16">
        <v>2</v>
      </c>
      <c r="D18" s="16">
        <v>2</v>
      </c>
      <c r="E18" s="16"/>
      <c r="F18" s="16">
        <v>1</v>
      </c>
      <c r="G18" s="16"/>
      <c r="H18" s="54">
        <f>+SUM(B18:G18)*50%</f>
        <v>2.5</v>
      </c>
      <c r="I18" s="16"/>
      <c r="J18" s="16"/>
      <c r="K18" s="36"/>
      <c r="L18" s="16"/>
      <c r="M18" s="16"/>
      <c r="N18" s="54">
        <f t="shared" si="1"/>
        <v>0</v>
      </c>
      <c r="O18" s="16">
        <v>1</v>
      </c>
      <c r="P18" s="16"/>
      <c r="Q18" s="54">
        <f>+SUM(O18:P18)*50%</f>
        <v>0.5</v>
      </c>
      <c r="R18" s="51">
        <f t="shared" si="2"/>
        <v>3</v>
      </c>
    </row>
    <row r="19" spans="1:18">
      <c r="A19" s="49" t="s">
        <v>27</v>
      </c>
      <c r="B19" s="50"/>
      <c r="C19" s="16"/>
      <c r="D19" s="16">
        <v>5</v>
      </c>
      <c r="E19" s="16"/>
      <c r="F19" s="16">
        <v>2</v>
      </c>
      <c r="G19" s="16"/>
      <c r="H19" s="54">
        <f>+SUM(B19:G19)*50%</f>
        <v>3.5</v>
      </c>
      <c r="I19" s="16"/>
      <c r="J19" s="16"/>
      <c r="K19" s="36"/>
      <c r="L19" s="16">
        <v>31</v>
      </c>
      <c r="M19" s="16"/>
      <c r="N19" s="54">
        <f>+SUM(I19:M19)*50%</f>
        <v>15.5</v>
      </c>
      <c r="O19" s="16">
        <v>14</v>
      </c>
      <c r="P19" s="16"/>
      <c r="Q19" s="54">
        <f>+SUM(O19:P19)*50%</f>
        <v>7</v>
      </c>
      <c r="R19" s="51">
        <f t="shared" si="2"/>
        <v>26</v>
      </c>
    </row>
    <row r="20" spans="1:18">
      <c r="A20" s="49" t="s">
        <v>28</v>
      </c>
      <c r="B20" s="50"/>
      <c r="C20" s="16">
        <v>11</v>
      </c>
      <c r="D20" s="16">
        <v>43</v>
      </c>
      <c r="E20" s="16"/>
      <c r="F20" s="16">
        <v>43</v>
      </c>
      <c r="G20" s="16"/>
      <c r="H20" s="54">
        <f t="shared" si="0"/>
        <v>19.400000000000002</v>
      </c>
      <c r="I20" s="16"/>
      <c r="J20" s="16"/>
      <c r="K20" s="36">
        <v>1</v>
      </c>
      <c r="L20" s="16">
        <v>1677</v>
      </c>
      <c r="M20" s="16">
        <v>199</v>
      </c>
      <c r="N20" s="54">
        <f t="shared" si="1"/>
        <v>375.40000000000003</v>
      </c>
      <c r="O20" s="16">
        <v>8</v>
      </c>
      <c r="P20" s="16">
        <v>72</v>
      </c>
      <c r="Q20" s="54">
        <f t="shared" si="3"/>
        <v>16</v>
      </c>
      <c r="R20" s="51">
        <f t="shared" si="2"/>
        <v>410.8</v>
      </c>
    </row>
    <row r="21" spans="1:18">
      <c r="A21" s="49" t="s">
        <v>29</v>
      </c>
      <c r="B21" s="50"/>
      <c r="C21" s="16">
        <v>48</v>
      </c>
      <c r="D21" s="16">
        <v>58</v>
      </c>
      <c r="E21" s="16"/>
      <c r="F21" s="16">
        <v>14</v>
      </c>
      <c r="G21" s="16"/>
      <c r="H21" s="54">
        <f t="shared" si="0"/>
        <v>24</v>
      </c>
      <c r="I21" s="16"/>
      <c r="J21" s="16"/>
      <c r="K21" s="36">
        <v>38</v>
      </c>
      <c r="L21" s="16">
        <v>2</v>
      </c>
      <c r="M21" s="16">
        <v>102</v>
      </c>
      <c r="N21" s="54">
        <f t="shared" si="1"/>
        <v>28.400000000000002</v>
      </c>
      <c r="O21" s="16">
        <v>211</v>
      </c>
      <c r="P21" s="16">
        <v>3</v>
      </c>
      <c r="Q21" s="54">
        <f t="shared" si="3"/>
        <v>42.800000000000004</v>
      </c>
      <c r="R21" s="51">
        <f t="shared" si="2"/>
        <v>95.2</v>
      </c>
    </row>
    <row r="22" spans="1:18">
      <c r="A22" s="49" t="s">
        <v>30</v>
      </c>
      <c r="B22" s="50"/>
      <c r="C22" s="16">
        <v>4</v>
      </c>
      <c r="D22" s="16">
        <v>38</v>
      </c>
      <c r="E22" s="16"/>
      <c r="F22" s="16">
        <v>19</v>
      </c>
      <c r="G22" s="16"/>
      <c r="H22" s="54">
        <f t="shared" si="0"/>
        <v>12.200000000000001</v>
      </c>
      <c r="I22" s="16"/>
      <c r="J22" s="16"/>
      <c r="K22" s="36">
        <v>5</v>
      </c>
      <c r="L22" s="16">
        <v>2554</v>
      </c>
      <c r="M22" s="16">
        <v>686</v>
      </c>
      <c r="N22" s="54">
        <f t="shared" si="1"/>
        <v>649</v>
      </c>
      <c r="O22" s="16">
        <v>610</v>
      </c>
      <c r="P22" s="16"/>
      <c r="Q22" s="54">
        <f t="shared" si="3"/>
        <v>122</v>
      </c>
      <c r="R22" s="51">
        <f t="shared" si="2"/>
        <v>783.2</v>
      </c>
    </row>
    <row r="23" spans="1:18">
      <c r="A23" s="49" t="s">
        <v>31</v>
      </c>
      <c r="B23" s="50"/>
      <c r="C23" s="16">
        <v>4</v>
      </c>
      <c r="D23" s="16">
        <v>11</v>
      </c>
      <c r="E23" s="16"/>
      <c r="F23" s="16">
        <v>23</v>
      </c>
      <c r="G23" s="16"/>
      <c r="H23" s="54">
        <f>+SUM(B23:G23)*50%</f>
        <v>19</v>
      </c>
      <c r="I23" s="16"/>
      <c r="J23" s="16"/>
      <c r="K23" s="36">
        <v>15</v>
      </c>
      <c r="L23" s="16">
        <v>600</v>
      </c>
      <c r="M23" s="16">
        <v>204</v>
      </c>
      <c r="N23" s="54">
        <f t="shared" si="1"/>
        <v>163.80000000000001</v>
      </c>
      <c r="O23" s="16">
        <v>15</v>
      </c>
      <c r="P23" s="16">
        <v>218</v>
      </c>
      <c r="Q23" s="54">
        <f t="shared" si="3"/>
        <v>46.6</v>
      </c>
      <c r="R23" s="51">
        <f t="shared" si="2"/>
        <v>229.4</v>
      </c>
    </row>
    <row r="24" spans="1:18">
      <c r="A24" s="49" t="s">
        <v>32</v>
      </c>
      <c r="B24" s="50"/>
      <c r="C24" s="16">
        <v>71</v>
      </c>
      <c r="D24" s="16">
        <v>98</v>
      </c>
      <c r="E24" s="16">
        <v>2</v>
      </c>
      <c r="F24" s="16">
        <v>17</v>
      </c>
      <c r="G24" s="16"/>
      <c r="H24" s="54">
        <f t="shared" si="0"/>
        <v>37.6</v>
      </c>
      <c r="I24" s="16"/>
      <c r="J24" s="16">
        <v>2</v>
      </c>
      <c r="K24" s="36">
        <v>6</v>
      </c>
      <c r="L24" s="16">
        <v>2464</v>
      </c>
      <c r="M24" s="16">
        <v>1147</v>
      </c>
      <c r="N24" s="54">
        <f t="shared" si="1"/>
        <v>723.80000000000007</v>
      </c>
      <c r="O24" s="16">
        <v>171</v>
      </c>
      <c r="P24" s="16"/>
      <c r="Q24" s="54">
        <f t="shared" si="3"/>
        <v>34.200000000000003</v>
      </c>
      <c r="R24" s="51">
        <f t="shared" si="2"/>
        <v>795.60000000000014</v>
      </c>
    </row>
    <row r="25" spans="1:18">
      <c r="A25" s="49" t="s">
        <v>33</v>
      </c>
      <c r="B25" s="50">
        <v>1</v>
      </c>
      <c r="C25" s="16">
        <v>24</v>
      </c>
      <c r="D25" s="16">
        <v>43</v>
      </c>
      <c r="E25" s="16"/>
      <c r="F25" s="16">
        <v>34</v>
      </c>
      <c r="G25" s="16"/>
      <c r="H25" s="54">
        <f t="shared" si="0"/>
        <v>20.400000000000002</v>
      </c>
      <c r="I25" s="16"/>
      <c r="J25" s="16"/>
      <c r="K25" s="36">
        <v>11</v>
      </c>
      <c r="L25" s="16">
        <v>1312</v>
      </c>
      <c r="M25" s="16">
        <v>724</v>
      </c>
      <c r="N25" s="54">
        <f t="shared" si="1"/>
        <v>409.40000000000003</v>
      </c>
      <c r="O25" s="16">
        <v>304</v>
      </c>
      <c r="P25" s="16"/>
      <c r="Q25" s="54">
        <f t="shared" si="3"/>
        <v>60.800000000000004</v>
      </c>
      <c r="R25" s="51">
        <f t="shared" si="2"/>
        <v>490.6</v>
      </c>
    </row>
    <row r="26" spans="1:18">
      <c r="A26" s="49" t="s">
        <v>34</v>
      </c>
      <c r="B26" s="50"/>
      <c r="C26" s="16">
        <v>14</v>
      </c>
      <c r="D26" s="16">
        <v>36</v>
      </c>
      <c r="E26" s="16"/>
      <c r="F26" s="16">
        <v>5</v>
      </c>
      <c r="G26" s="16"/>
      <c r="H26" s="54">
        <f t="shared" si="0"/>
        <v>11</v>
      </c>
      <c r="I26" s="16"/>
      <c r="J26" s="16"/>
      <c r="K26" s="36"/>
      <c r="L26" s="16">
        <v>67</v>
      </c>
      <c r="M26" s="16">
        <v>2</v>
      </c>
      <c r="N26" s="54">
        <f t="shared" si="1"/>
        <v>13.8</v>
      </c>
      <c r="O26" s="16">
        <v>142</v>
      </c>
      <c r="P26" s="16">
        <v>51</v>
      </c>
      <c r="Q26" s="54">
        <f t="shared" si="3"/>
        <v>38.6</v>
      </c>
      <c r="R26" s="51">
        <f t="shared" si="2"/>
        <v>63.400000000000006</v>
      </c>
    </row>
    <row r="27" spans="1:18">
      <c r="A27" s="49" t="s">
        <v>35</v>
      </c>
      <c r="B27" s="50"/>
      <c r="C27" s="16">
        <v>3</v>
      </c>
      <c r="D27" s="16">
        <v>14</v>
      </c>
      <c r="E27" s="16"/>
      <c r="F27" s="16">
        <v>19</v>
      </c>
      <c r="G27" s="16"/>
      <c r="H27" s="54">
        <f>+SUM(B27:G27)*50%</f>
        <v>18</v>
      </c>
      <c r="I27" s="16"/>
      <c r="J27" s="16">
        <v>1</v>
      </c>
      <c r="K27" s="36">
        <v>22</v>
      </c>
      <c r="L27" s="16">
        <v>450</v>
      </c>
      <c r="M27" s="16">
        <v>180</v>
      </c>
      <c r="N27" s="54">
        <f t="shared" si="1"/>
        <v>130.6</v>
      </c>
      <c r="O27" s="16">
        <v>62</v>
      </c>
      <c r="P27" s="16"/>
      <c r="Q27" s="54">
        <f t="shared" si="3"/>
        <v>12.4</v>
      </c>
      <c r="R27" s="51">
        <f t="shared" si="2"/>
        <v>161</v>
      </c>
    </row>
    <row r="28" spans="1:18">
      <c r="A28" s="49" t="s">
        <v>36</v>
      </c>
      <c r="B28" s="50">
        <v>1</v>
      </c>
      <c r="C28" s="16">
        <v>4</v>
      </c>
      <c r="D28" s="16">
        <v>18</v>
      </c>
      <c r="E28" s="16">
        <v>1</v>
      </c>
      <c r="F28" s="16">
        <v>17</v>
      </c>
      <c r="G28" s="16"/>
      <c r="H28" s="54">
        <f>+SUM(B28:G28)*50%</f>
        <v>20.5</v>
      </c>
      <c r="I28" s="16"/>
      <c r="J28" s="16"/>
      <c r="K28" s="36">
        <v>2</v>
      </c>
      <c r="L28" s="16">
        <v>750</v>
      </c>
      <c r="M28" s="16">
        <v>8</v>
      </c>
      <c r="N28" s="54">
        <f t="shared" si="1"/>
        <v>152</v>
      </c>
      <c r="O28" s="16">
        <v>28</v>
      </c>
      <c r="P28" s="16">
        <v>206</v>
      </c>
      <c r="Q28" s="54">
        <f t="shared" si="3"/>
        <v>46.800000000000004</v>
      </c>
      <c r="R28" s="51">
        <f t="shared" si="2"/>
        <v>219.3</v>
      </c>
    </row>
    <row r="29" spans="1:18">
      <c r="A29" s="49" t="s">
        <v>37</v>
      </c>
      <c r="B29" s="50"/>
      <c r="C29" s="16">
        <v>5</v>
      </c>
      <c r="D29" s="16">
        <v>6</v>
      </c>
      <c r="E29" s="16"/>
      <c r="F29" s="16"/>
      <c r="G29" s="16"/>
      <c r="H29" s="54">
        <f>+SUM(B29:G29)*50%</f>
        <v>5.5</v>
      </c>
      <c r="I29" s="16"/>
      <c r="J29" s="16"/>
      <c r="K29" s="36"/>
      <c r="L29" s="16">
        <v>34</v>
      </c>
      <c r="M29" s="16"/>
      <c r="N29" s="54">
        <f>+SUM(I29:M29)*50%</f>
        <v>17</v>
      </c>
      <c r="O29" s="16">
        <v>2</v>
      </c>
      <c r="P29" s="16">
        <v>1</v>
      </c>
      <c r="Q29" s="54">
        <f>+SUM(O29:P29)*50%</f>
        <v>1.5</v>
      </c>
      <c r="R29" s="51">
        <f t="shared" si="2"/>
        <v>24</v>
      </c>
    </row>
    <row r="30" spans="1:18">
      <c r="A30" s="49" t="s">
        <v>38</v>
      </c>
      <c r="B30" s="50">
        <v>1</v>
      </c>
      <c r="C30" s="16">
        <v>5</v>
      </c>
      <c r="D30" s="16">
        <v>27</v>
      </c>
      <c r="E30" s="16"/>
      <c r="F30" s="16">
        <v>38</v>
      </c>
      <c r="G30" s="16"/>
      <c r="H30" s="54">
        <f t="shared" si="0"/>
        <v>14.200000000000001</v>
      </c>
      <c r="I30" s="16"/>
      <c r="J30" s="16">
        <v>1</v>
      </c>
      <c r="K30" s="36">
        <v>57</v>
      </c>
      <c r="L30" s="16">
        <v>1804</v>
      </c>
      <c r="M30" s="16">
        <v>406</v>
      </c>
      <c r="N30" s="54">
        <f t="shared" si="1"/>
        <v>453.6</v>
      </c>
      <c r="O30" s="16">
        <v>109</v>
      </c>
      <c r="P30" s="16"/>
      <c r="Q30" s="54">
        <f t="shared" si="3"/>
        <v>21.8</v>
      </c>
      <c r="R30" s="51">
        <f t="shared" si="2"/>
        <v>489.6</v>
      </c>
    </row>
    <row r="31" spans="1:18">
      <c r="A31" s="49" t="s">
        <v>39</v>
      </c>
      <c r="B31" s="50"/>
      <c r="C31" s="16">
        <v>18</v>
      </c>
      <c r="D31" s="16">
        <v>28</v>
      </c>
      <c r="E31" s="16"/>
      <c r="F31" s="16">
        <v>12</v>
      </c>
      <c r="G31" s="16"/>
      <c r="H31" s="54">
        <f t="shared" si="0"/>
        <v>11.600000000000001</v>
      </c>
      <c r="I31" s="16"/>
      <c r="J31" s="16"/>
      <c r="K31" s="36">
        <v>8</v>
      </c>
      <c r="L31" s="16">
        <v>1831</v>
      </c>
      <c r="M31" s="16">
        <v>516</v>
      </c>
      <c r="N31" s="54">
        <f t="shared" si="1"/>
        <v>471</v>
      </c>
      <c r="O31" s="16">
        <v>209</v>
      </c>
      <c r="P31" s="16"/>
      <c r="Q31" s="54">
        <f t="shared" si="3"/>
        <v>41.800000000000004</v>
      </c>
      <c r="R31" s="51">
        <f t="shared" si="2"/>
        <v>524.4</v>
      </c>
    </row>
    <row r="32" spans="1:18">
      <c r="A32" s="49" t="s">
        <v>40</v>
      </c>
      <c r="B32" s="50">
        <v>1</v>
      </c>
      <c r="C32" s="16">
        <v>58</v>
      </c>
      <c r="D32" s="16">
        <v>70</v>
      </c>
      <c r="E32" s="16">
        <v>1</v>
      </c>
      <c r="F32" s="16">
        <v>30</v>
      </c>
      <c r="G32" s="16"/>
      <c r="H32" s="54">
        <f t="shared" si="0"/>
        <v>32</v>
      </c>
      <c r="I32" s="16"/>
      <c r="J32" s="16"/>
      <c r="K32" s="36">
        <v>51</v>
      </c>
      <c r="L32" s="16">
        <v>156</v>
      </c>
      <c r="M32" s="16">
        <v>63</v>
      </c>
      <c r="N32" s="54">
        <f t="shared" si="1"/>
        <v>54</v>
      </c>
      <c r="O32" s="16">
        <v>346</v>
      </c>
      <c r="P32" s="16">
        <v>33</v>
      </c>
      <c r="Q32" s="54">
        <f t="shared" si="3"/>
        <v>75.8</v>
      </c>
      <c r="R32" s="51">
        <f t="shared" si="2"/>
        <v>161.80000000000001</v>
      </c>
    </row>
    <row r="33" spans="1:18">
      <c r="A33" s="49" t="s">
        <v>41</v>
      </c>
      <c r="B33" s="50">
        <v>2</v>
      </c>
      <c r="C33" s="16">
        <v>48</v>
      </c>
      <c r="D33" s="16">
        <v>78</v>
      </c>
      <c r="E33" s="16">
        <v>3</v>
      </c>
      <c r="F33" s="16">
        <v>85</v>
      </c>
      <c r="G33" s="16"/>
      <c r="H33" s="54">
        <f t="shared" si="0"/>
        <v>43.2</v>
      </c>
      <c r="I33" s="16"/>
      <c r="J33" s="16"/>
      <c r="K33" s="36">
        <v>100</v>
      </c>
      <c r="L33" s="16">
        <v>3535</v>
      </c>
      <c r="M33" s="16">
        <v>737</v>
      </c>
      <c r="N33" s="54">
        <f t="shared" si="1"/>
        <v>874.40000000000009</v>
      </c>
      <c r="O33" s="16">
        <v>95</v>
      </c>
      <c r="P33" s="16"/>
      <c r="Q33" s="54">
        <f t="shared" si="3"/>
        <v>19</v>
      </c>
      <c r="R33" s="51">
        <f t="shared" si="2"/>
        <v>936.60000000000014</v>
      </c>
    </row>
    <row r="34" spans="1:18">
      <c r="A34" s="49" t="s">
        <v>42</v>
      </c>
      <c r="B34" s="50"/>
      <c r="C34" s="16"/>
      <c r="D34" s="16">
        <v>1</v>
      </c>
      <c r="E34" s="16"/>
      <c r="F34" s="16"/>
      <c r="G34" s="16"/>
      <c r="H34" s="54">
        <f>+SUM(B34:G34)*50%</f>
        <v>0.5</v>
      </c>
      <c r="I34" s="16"/>
      <c r="J34" s="16"/>
      <c r="K34" s="36">
        <v>2</v>
      </c>
      <c r="L34" s="16">
        <v>34</v>
      </c>
      <c r="M34" s="16"/>
      <c r="N34" s="54">
        <f>+SUM(I34:M34)*50%</f>
        <v>18</v>
      </c>
      <c r="O34" s="16">
        <v>11</v>
      </c>
      <c r="P34" s="16"/>
      <c r="Q34" s="54">
        <f>+SUM(O34:P34)*50%</f>
        <v>5.5</v>
      </c>
      <c r="R34" s="51">
        <f t="shared" si="2"/>
        <v>24</v>
      </c>
    </row>
    <row r="35" spans="1:18">
      <c r="A35" s="49" t="s">
        <v>43</v>
      </c>
      <c r="B35" s="50"/>
      <c r="C35" s="16"/>
      <c r="D35" s="16">
        <v>2</v>
      </c>
      <c r="E35" s="16"/>
      <c r="F35" s="16">
        <v>1</v>
      </c>
      <c r="G35" s="16"/>
      <c r="H35" s="54">
        <f>+SUM(B35:G35)*50%</f>
        <v>1.5</v>
      </c>
      <c r="I35" s="16"/>
      <c r="J35" s="16"/>
      <c r="K35" s="36"/>
      <c r="L35" s="16">
        <v>12</v>
      </c>
      <c r="M35" s="16">
        <v>10</v>
      </c>
      <c r="N35" s="54">
        <f>+SUM(I35:M35)*50%</f>
        <v>11</v>
      </c>
      <c r="O35" s="16">
        <v>21</v>
      </c>
      <c r="P35" s="16"/>
      <c r="Q35" s="54">
        <f>+SUM(O35:P35)*50%</f>
        <v>10.5</v>
      </c>
      <c r="R35" s="51">
        <f t="shared" si="2"/>
        <v>23</v>
      </c>
    </row>
    <row r="36" spans="1:18">
      <c r="A36" s="52" t="s">
        <v>87</v>
      </c>
      <c r="B36" s="53">
        <f>SUM(B3:B35)</f>
        <v>11</v>
      </c>
      <c r="C36" s="53">
        <f t="shared" ref="C36:R36" si="4">SUM(C3:C35)</f>
        <v>785</v>
      </c>
      <c r="D36" s="53">
        <f t="shared" si="4"/>
        <v>1252</v>
      </c>
      <c r="E36" s="53">
        <f t="shared" si="4"/>
        <v>21</v>
      </c>
      <c r="F36" s="53">
        <f t="shared" si="4"/>
        <v>822</v>
      </c>
      <c r="G36" s="53">
        <f t="shared" si="4"/>
        <v>3</v>
      </c>
      <c r="H36" s="55">
        <f>SUM(H3:H35)</f>
        <v>656.50000000000011</v>
      </c>
      <c r="I36" s="53">
        <f t="shared" si="4"/>
        <v>4</v>
      </c>
      <c r="J36" s="53">
        <f t="shared" si="4"/>
        <v>26</v>
      </c>
      <c r="K36" s="53">
        <f t="shared" si="4"/>
        <v>900</v>
      </c>
      <c r="L36" s="53">
        <f t="shared" si="4"/>
        <v>43042</v>
      </c>
      <c r="M36" s="53">
        <f t="shared" si="4"/>
        <v>10130</v>
      </c>
      <c r="N36" s="55">
        <f t="shared" si="4"/>
        <v>10862.099999999999</v>
      </c>
      <c r="O36" s="53">
        <f t="shared" si="4"/>
        <v>5237</v>
      </c>
      <c r="P36" s="53">
        <f t="shared" si="4"/>
        <v>1739</v>
      </c>
      <c r="Q36" s="55">
        <f t="shared" si="4"/>
        <v>1424.2999999999997</v>
      </c>
      <c r="R36" s="53">
        <f t="shared" si="4"/>
        <v>12942.9</v>
      </c>
    </row>
  </sheetData>
  <autoFilter ref="A2:Q36"/>
  <mergeCells count="5">
    <mergeCell ref="R1:R2"/>
    <mergeCell ref="A1:A2"/>
    <mergeCell ref="B1:H1"/>
    <mergeCell ref="I1:N1"/>
    <mergeCell ref="O1:Q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outlinePr summaryBelow="0"/>
  </sheetPr>
  <dimension ref="A1:AO130"/>
  <sheetViews>
    <sheetView showGridLines="0" zoomScale="85" zoomScaleNormal="85" zoomScaleSheetLayoutView="82" zoomScalePageLayoutView="85" workbookViewId="0">
      <selection activeCell="D2" sqref="D2:G2"/>
    </sheetView>
  </sheetViews>
  <sheetFormatPr baseColWidth="10" defaultColWidth="11.375" defaultRowHeight="15"/>
  <cols>
    <col min="1" max="1" width="4.375" style="1" customWidth="1"/>
    <col min="2" max="2" width="9.75" style="3" customWidth="1"/>
    <col min="3" max="3" width="35.75" style="3" customWidth="1"/>
    <col min="4" max="4" width="8.125" style="3" customWidth="1"/>
    <col min="5" max="5" width="10.625" style="3" customWidth="1"/>
    <col min="6" max="6" width="5.625" style="3" bestFit="1" customWidth="1"/>
    <col min="7" max="7" width="60"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3.5" customHeight="1">
      <c r="B2" s="34"/>
      <c r="C2" s="39" t="s">
        <v>83</v>
      </c>
      <c r="D2" s="80" t="s">
        <v>164</v>
      </c>
      <c r="E2" s="81"/>
      <c r="F2" s="81"/>
      <c r="G2" s="82"/>
      <c r="H2" s="40" t="s">
        <v>84</v>
      </c>
      <c r="AM2" s="23">
        <v>4</v>
      </c>
      <c r="AN2" s="15" t="s">
        <v>58</v>
      </c>
      <c r="AO2" s="25">
        <v>12</v>
      </c>
    </row>
    <row r="3" spans="1:41" ht="44.25" customHeight="1">
      <c r="B3" s="19">
        <v>1</v>
      </c>
      <c r="C3" s="6">
        <v>14</v>
      </c>
      <c r="D3" s="13" t="s">
        <v>88</v>
      </c>
      <c r="E3" s="13" t="s">
        <v>56</v>
      </c>
      <c r="F3" s="13" t="s">
        <v>75</v>
      </c>
      <c r="G3" s="13" t="s">
        <v>156</v>
      </c>
      <c r="H3" s="11" t="s">
        <v>55</v>
      </c>
      <c r="AM3" s="23">
        <v>5</v>
      </c>
      <c r="AN3" s="15" t="s">
        <v>59</v>
      </c>
      <c r="AO3" s="25">
        <f>12/2</f>
        <v>6</v>
      </c>
    </row>
    <row r="4" spans="1:41" s="8" customFormat="1" ht="12.75" customHeight="1">
      <c r="A4" s="8">
        <v>1</v>
      </c>
      <c r="B4" s="83" t="s">
        <v>46</v>
      </c>
      <c r="C4" s="9" t="s">
        <v>47</v>
      </c>
      <c r="D4" s="9"/>
      <c r="E4" s="31" t="s">
        <v>58</v>
      </c>
      <c r="F4" s="32">
        <f t="shared" ref="F4:F9" si="0">VLOOKUP(E4,$AN$1:$AO$22,2,FALSE)</f>
        <v>12</v>
      </c>
      <c r="G4" s="12"/>
      <c r="H4" s="20">
        <v>534505</v>
      </c>
      <c r="AM4" s="23">
        <v>6</v>
      </c>
      <c r="AN4" s="15" t="s">
        <v>60</v>
      </c>
      <c r="AO4" s="25">
        <f>12/3</f>
        <v>4</v>
      </c>
    </row>
    <row r="5" spans="1:41" s="8" customFormat="1">
      <c r="A5" s="8">
        <f>A4+1</f>
        <v>2</v>
      </c>
      <c r="B5" s="84"/>
      <c r="C5" s="9" t="s">
        <v>48</v>
      </c>
      <c r="D5" s="9"/>
      <c r="E5" s="31" t="s">
        <v>58</v>
      </c>
      <c r="F5" s="32">
        <f t="shared" si="0"/>
        <v>12</v>
      </c>
      <c r="G5" s="12"/>
      <c r="H5" s="20">
        <v>290993</v>
      </c>
      <c r="AM5" s="23">
        <v>7</v>
      </c>
      <c r="AN5" s="15" t="s">
        <v>61</v>
      </c>
      <c r="AO5" s="26">
        <f>12/4</f>
        <v>3</v>
      </c>
    </row>
    <row r="6" spans="1:41" s="8" customFormat="1">
      <c r="A6" s="8">
        <f t="shared" ref="A6:A9" si="1">A5+1</f>
        <v>3</v>
      </c>
      <c r="B6" s="84"/>
      <c r="C6" s="9" t="s">
        <v>49</v>
      </c>
      <c r="D6" s="9"/>
      <c r="E6" s="31" t="s">
        <v>58</v>
      </c>
      <c r="F6" s="32">
        <f t="shared" si="0"/>
        <v>12</v>
      </c>
      <c r="G6" s="12"/>
      <c r="H6" s="20">
        <v>120203</v>
      </c>
      <c r="AM6" s="23">
        <v>8</v>
      </c>
      <c r="AN6" s="15" t="s">
        <v>62</v>
      </c>
      <c r="AO6" s="25">
        <f>12/6</f>
        <v>2</v>
      </c>
    </row>
    <row r="7" spans="1:41" s="8" customFormat="1">
      <c r="A7" s="8">
        <f t="shared" si="1"/>
        <v>4</v>
      </c>
      <c r="B7" s="84"/>
      <c r="C7" s="9" t="s">
        <v>50</v>
      </c>
      <c r="D7" s="9"/>
      <c r="E7" s="31" t="s">
        <v>58</v>
      </c>
      <c r="F7" s="32">
        <f t="shared" si="0"/>
        <v>12</v>
      </c>
      <c r="G7" s="12"/>
      <c r="H7" s="20">
        <v>40000</v>
      </c>
      <c r="AM7" s="23">
        <v>9</v>
      </c>
      <c r="AN7" s="15" t="s">
        <v>63</v>
      </c>
      <c r="AO7" s="24">
        <f>12/7</f>
        <v>1.7142857142857142</v>
      </c>
    </row>
    <row r="8" spans="1:41" s="8" customFormat="1">
      <c r="A8" s="8">
        <f t="shared" si="1"/>
        <v>5</v>
      </c>
      <c r="B8" s="84"/>
      <c r="C8" s="9" t="s">
        <v>51</v>
      </c>
      <c r="D8" s="9"/>
      <c r="E8" s="31" t="s">
        <v>58</v>
      </c>
      <c r="F8" s="32">
        <f t="shared" si="0"/>
        <v>12</v>
      </c>
      <c r="G8" s="12"/>
      <c r="H8" s="20">
        <v>366000</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8.25">
      <c r="B10" s="19">
        <v>2</v>
      </c>
      <c r="C10" s="6">
        <v>0</v>
      </c>
      <c r="D10" s="13" t="s">
        <v>88</v>
      </c>
      <c r="E10" s="13" t="s">
        <v>56</v>
      </c>
      <c r="F10" s="13"/>
      <c r="G10" s="13" t="s">
        <v>45</v>
      </c>
      <c r="H10" s="11" t="s">
        <v>55</v>
      </c>
      <c r="AM10" s="23">
        <v>12</v>
      </c>
      <c r="AN10" s="15" t="s">
        <v>66</v>
      </c>
      <c r="AO10" s="24">
        <f>12/10</f>
        <v>1.2</v>
      </c>
    </row>
    <row r="11" spans="1:41" ht="12.75" customHeight="1">
      <c r="A11" s="8">
        <v>1</v>
      </c>
      <c r="B11" s="76" t="s">
        <v>76</v>
      </c>
      <c r="C11" s="56" t="s">
        <v>92</v>
      </c>
      <c r="D11" s="9"/>
      <c r="E11" s="31" t="s">
        <v>58</v>
      </c>
      <c r="F11" s="32">
        <f t="shared" ref="F11:F33" si="2">VLOOKUP(E11,$AN$1:$AO$22,2,FALSE)</f>
        <v>12</v>
      </c>
      <c r="G11" s="12" t="s">
        <v>104</v>
      </c>
      <c r="H11" s="20">
        <f>(125/5)*1500</f>
        <v>37500</v>
      </c>
      <c r="AM11" s="23">
        <v>13</v>
      </c>
      <c r="AN11" s="15" t="s">
        <v>67</v>
      </c>
      <c r="AO11" s="24">
        <f>12/11</f>
        <v>1.0909090909090908</v>
      </c>
    </row>
    <row r="12" spans="1:41">
      <c r="A12" s="8">
        <f>A11+1</f>
        <v>2</v>
      </c>
      <c r="B12" s="77"/>
      <c r="C12" s="56" t="s">
        <v>93</v>
      </c>
      <c r="D12" s="9"/>
      <c r="E12" s="31" t="s">
        <v>58</v>
      </c>
      <c r="F12" s="32">
        <f t="shared" si="2"/>
        <v>12</v>
      </c>
      <c r="G12" s="12" t="s">
        <v>105</v>
      </c>
      <c r="H12" s="20">
        <f>(125/5)*1300</f>
        <v>32500</v>
      </c>
      <c r="AM12" s="23">
        <v>14</v>
      </c>
      <c r="AN12" s="15" t="s">
        <v>68</v>
      </c>
      <c r="AO12" s="25">
        <f>12/12</f>
        <v>1</v>
      </c>
    </row>
    <row r="13" spans="1:41">
      <c r="A13" s="8">
        <f t="shared" ref="A13:A29" si="3">A12+1</f>
        <v>3</v>
      </c>
      <c r="B13" s="77"/>
      <c r="C13" s="56" t="s">
        <v>94</v>
      </c>
      <c r="D13" s="9"/>
      <c r="E13" s="31" t="s">
        <v>58</v>
      </c>
      <c r="F13" s="32">
        <f t="shared" si="2"/>
        <v>12</v>
      </c>
      <c r="G13" s="12" t="s">
        <v>106</v>
      </c>
      <c r="H13" s="20">
        <f>(125/5)*1300</f>
        <v>32500</v>
      </c>
      <c r="AM13" s="23">
        <v>15</v>
      </c>
      <c r="AN13" s="15" t="s">
        <v>69</v>
      </c>
      <c r="AO13" s="24">
        <f>1/2</f>
        <v>0.5</v>
      </c>
    </row>
    <row r="14" spans="1:41">
      <c r="A14" s="8">
        <f t="shared" si="3"/>
        <v>4</v>
      </c>
      <c r="B14" s="77"/>
      <c r="C14" s="56" t="s">
        <v>95</v>
      </c>
      <c r="D14" s="9"/>
      <c r="E14" s="31" t="s">
        <v>58</v>
      </c>
      <c r="F14" s="32">
        <f t="shared" si="2"/>
        <v>12</v>
      </c>
      <c r="G14" s="12" t="s">
        <v>107</v>
      </c>
      <c r="H14" s="20">
        <f>(125/4)*1500</f>
        <v>46875</v>
      </c>
      <c r="AM14" s="23">
        <v>16</v>
      </c>
      <c r="AN14" s="15" t="s">
        <v>70</v>
      </c>
      <c r="AO14" s="24">
        <f>1/3</f>
        <v>0.33333333333333331</v>
      </c>
    </row>
    <row r="15" spans="1:41">
      <c r="A15" s="8">
        <f t="shared" si="3"/>
        <v>5</v>
      </c>
      <c r="B15" s="77"/>
      <c r="C15" s="56" t="s">
        <v>96</v>
      </c>
      <c r="D15" s="9"/>
      <c r="E15" s="31" t="s">
        <v>58</v>
      </c>
      <c r="F15" s="32">
        <f t="shared" si="2"/>
        <v>12</v>
      </c>
      <c r="G15" s="12" t="s">
        <v>108</v>
      </c>
      <c r="H15" s="20">
        <f>(125/15)*2800</f>
        <v>23333.333333333336</v>
      </c>
      <c r="AM15" s="23">
        <v>17</v>
      </c>
      <c r="AN15" s="15" t="s">
        <v>71</v>
      </c>
      <c r="AO15" s="24">
        <f>1/4</f>
        <v>0.25</v>
      </c>
    </row>
    <row r="16" spans="1:41">
      <c r="A16" s="8">
        <f t="shared" si="3"/>
        <v>6</v>
      </c>
      <c r="B16" s="77"/>
      <c r="C16" s="56" t="s">
        <v>97</v>
      </c>
      <c r="D16" s="9"/>
      <c r="E16" s="31" t="s">
        <v>58</v>
      </c>
      <c r="F16" s="32">
        <f t="shared" si="2"/>
        <v>12</v>
      </c>
      <c r="G16" s="12" t="s">
        <v>109</v>
      </c>
      <c r="H16" s="20">
        <f>(12*300)</f>
        <v>3600</v>
      </c>
      <c r="AM16" s="23">
        <v>18</v>
      </c>
      <c r="AN16" s="15" t="s">
        <v>72</v>
      </c>
      <c r="AO16" s="24">
        <f>1/5</f>
        <v>0.2</v>
      </c>
    </row>
    <row r="17" spans="1:41">
      <c r="A17" s="8">
        <f t="shared" si="3"/>
        <v>7</v>
      </c>
      <c r="B17" s="77"/>
      <c r="C17" s="56" t="s">
        <v>98</v>
      </c>
      <c r="D17" s="9"/>
      <c r="E17" s="31" t="s">
        <v>58</v>
      </c>
      <c r="F17" s="32">
        <f t="shared" si="2"/>
        <v>12</v>
      </c>
      <c r="G17" s="12" t="s">
        <v>110</v>
      </c>
      <c r="H17" s="20">
        <f t="shared" ref="H17:H22" si="4">(125/5)*1500</f>
        <v>37500</v>
      </c>
      <c r="AM17" s="23">
        <v>19</v>
      </c>
      <c r="AN17" s="15" t="s">
        <v>73</v>
      </c>
      <c r="AO17" s="24">
        <f>1/10</f>
        <v>0.1</v>
      </c>
    </row>
    <row r="18" spans="1:41">
      <c r="A18" s="8">
        <f t="shared" si="3"/>
        <v>8</v>
      </c>
      <c r="B18" s="77"/>
      <c r="C18" s="56" t="s">
        <v>99</v>
      </c>
      <c r="D18" s="9"/>
      <c r="E18" s="31" t="s">
        <v>58</v>
      </c>
      <c r="F18" s="32">
        <f t="shared" si="2"/>
        <v>12</v>
      </c>
      <c r="G18" s="12" t="s">
        <v>119</v>
      </c>
      <c r="H18" s="20">
        <f>(125*20)/80*2500</f>
        <v>78125</v>
      </c>
      <c r="AM18" s="23">
        <v>20</v>
      </c>
      <c r="AN18" s="15" t="s">
        <v>74</v>
      </c>
      <c r="AO18" s="25">
        <f>1/20</f>
        <v>0.05</v>
      </c>
    </row>
    <row r="19" spans="1:41">
      <c r="A19" s="8">
        <f t="shared" si="3"/>
        <v>9</v>
      </c>
      <c r="B19" s="77"/>
      <c r="C19" s="56" t="s">
        <v>100</v>
      </c>
      <c r="D19" s="9"/>
      <c r="E19" s="31" t="s">
        <v>58</v>
      </c>
      <c r="F19" s="32">
        <f t="shared" si="2"/>
        <v>12</v>
      </c>
      <c r="G19" s="12" t="s">
        <v>120</v>
      </c>
      <c r="H19" s="20">
        <f>(125/15)*1500</f>
        <v>12500</v>
      </c>
      <c r="AM19" s="23">
        <v>21</v>
      </c>
      <c r="AN19" s="15" t="s">
        <v>52</v>
      </c>
      <c r="AO19" s="25">
        <v>0</v>
      </c>
    </row>
    <row r="20" spans="1:41">
      <c r="A20" s="8">
        <f t="shared" si="3"/>
        <v>10</v>
      </c>
      <c r="B20" s="77"/>
      <c r="C20" s="56" t="s">
        <v>101</v>
      </c>
      <c r="D20" s="9"/>
      <c r="E20" s="31" t="s">
        <v>58</v>
      </c>
      <c r="F20" s="32">
        <f t="shared" si="2"/>
        <v>12</v>
      </c>
      <c r="G20" s="12" t="s">
        <v>121</v>
      </c>
      <c r="H20" s="20">
        <v>25000</v>
      </c>
      <c r="AM20" s="23">
        <v>22</v>
      </c>
      <c r="AN20" s="15"/>
      <c r="AO20" s="25"/>
    </row>
    <row r="21" spans="1:41">
      <c r="A21" s="8">
        <f t="shared" si="3"/>
        <v>11</v>
      </c>
      <c r="B21" s="77"/>
      <c r="C21" s="56" t="s">
        <v>102</v>
      </c>
      <c r="D21" s="9"/>
      <c r="E21" s="31" t="s">
        <v>58</v>
      </c>
      <c r="F21" s="32">
        <f t="shared" si="2"/>
        <v>12</v>
      </c>
      <c r="G21" s="12" t="s">
        <v>122</v>
      </c>
      <c r="H21" s="20">
        <f>(125/10)*2250</f>
        <v>28125</v>
      </c>
      <c r="AM21" s="23">
        <v>23</v>
      </c>
      <c r="AN21" s="15"/>
      <c r="AO21" s="25"/>
    </row>
    <row r="22" spans="1:41" ht="15.75" thickBot="1">
      <c r="A22" s="8">
        <f t="shared" si="3"/>
        <v>12</v>
      </c>
      <c r="B22" s="77"/>
      <c r="C22" s="56" t="s">
        <v>103</v>
      </c>
      <c r="D22" s="9"/>
      <c r="E22" s="31" t="s">
        <v>58</v>
      </c>
      <c r="F22" s="32">
        <f t="shared" si="2"/>
        <v>12</v>
      </c>
      <c r="G22" s="12" t="s">
        <v>122</v>
      </c>
      <c r="H22" s="20">
        <f t="shared" si="4"/>
        <v>37500</v>
      </c>
      <c r="AM22" s="27">
        <v>24</v>
      </c>
      <c r="AN22" s="28"/>
      <c r="AO22" s="29">
        <v>0</v>
      </c>
    </row>
    <row r="23" spans="1:41">
      <c r="A23" s="8">
        <f t="shared" si="3"/>
        <v>13</v>
      </c>
      <c r="B23" s="77"/>
      <c r="C23" s="56" t="s">
        <v>123</v>
      </c>
      <c r="D23" s="9"/>
      <c r="E23" s="31" t="s">
        <v>58</v>
      </c>
      <c r="F23" s="32">
        <f t="shared" si="2"/>
        <v>12</v>
      </c>
      <c r="G23" s="12" t="s">
        <v>124</v>
      </c>
      <c r="H23" s="20">
        <v>77000</v>
      </c>
    </row>
    <row r="24" spans="1:41">
      <c r="A24" s="8">
        <f t="shared" si="3"/>
        <v>14</v>
      </c>
      <c r="B24" s="77"/>
      <c r="C24" s="56" t="s">
        <v>145</v>
      </c>
      <c r="D24" s="9"/>
      <c r="E24" s="31" t="s">
        <v>58</v>
      </c>
      <c r="F24" s="32">
        <f t="shared" si="2"/>
        <v>12</v>
      </c>
      <c r="G24" s="12"/>
      <c r="H24" s="20">
        <v>31500</v>
      </c>
    </row>
    <row r="25" spans="1:41">
      <c r="A25" s="8">
        <f t="shared" si="3"/>
        <v>15</v>
      </c>
      <c r="B25" s="77"/>
      <c r="C25" s="56" t="s">
        <v>146</v>
      </c>
      <c r="D25" s="9"/>
      <c r="E25" s="31" t="s">
        <v>58</v>
      </c>
      <c r="F25" s="32">
        <f t="shared" si="2"/>
        <v>12</v>
      </c>
      <c r="G25" s="12"/>
      <c r="H25" s="20">
        <v>160000</v>
      </c>
    </row>
    <row r="26" spans="1:41">
      <c r="A26" s="8">
        <f t="shared" si="3"/>
        <v>16</v>
      </c>
      <c r="B26" s="77"/>
      <c r="C26" s="56" t="s">
        <v>147</v>
      </c>
      <c r="D26" s="9"/>
      <c r="E26" s="31" t="s">
        <v>58</v>
      </c>
      <c r="F26" s="32">
        <f t="shared" si="2"/>
        <v>12</v>
      </c>
      <c r="G26" s="12"/>
      <c r="H26" s="20">
        <v>12000</v>
      </c>
    </row>
    <row r="27" spans="1:41">
      <c r="A27" s="8">
        <f t="shared" si="3"/>
        <v>17</v>
      </c>
      <c r="B27" s="77"/>
      <c r="C27" s="56" t="s">
        <v>148</v>
      </c>
      <c r="D27" s="9"/>
      <c r="E27" s="31" t="s">
        <v>58</v>
      </c>
      <c r="F27" s="32">
        <f t="shared" si="2"/>
        <v>12</v>
      </c>
      <c r="G27" s="12"/>
      <c r="H27" s="20">
        <v>12000</v>
      </c>
    </row>
    <row r="28" spans="1:41">
      <c r="A28" s="8">
        <f t="shared" si="3"/>
        <v>18</v>
      </c>
      <c r="B28" s="77"/>
      <c r="C28" s="56" t="s">
        <v>149</v>
      </c>
      <c r="D28" s="9"/>
      <c r="E28" s="31" t="s">
        <v>58</v>
      </c>
      <c r="F28" s="32">
        <f t="shared" si="2"/>
        <v>12</v>
      </c>
      <c r="G28" s="12"/>
      <c r="H28" s="20">
        <v>38000</v>
      </c>
    </row>
    <row r="29" spans="1:41">
      <c r="A29" s="8">
        <f t="shared" si="3"/>
        <v>19</v>
      </c>
      <c r="B29" s="77"/>
      <c r="C29" s="56" t="s">
        <v>150</v>
      </c>
      <c r="D29" s="9"/>
      <c r="E29" s="31" t="s">
        <v>58</v>
      </c>
      <c r="F29" s="32">
        <f t="shared" si="2"/>
        <v>12</v>
      </c>
      <c r="G29" s="12"/>
      <c r="H29" s="20">
        <v>19800</v>
      </c>
    </row>
    <row r="30" spans="1:41">
      <c r="A30" s="8"/>
      <c r="B30" s="77"/>
      <c r="C30" s="56" t="s">
        <v>151</v>
      </c>
      <c r="D30" s="9"/>
      <c r="E30" s="31" t="s">
        <v>58</v>
      </c>
      <c r="F30" s="32">
        <f t="shared" si="2"/>
        <v>12</v>
      </c>
      <c r="G30" s="12"/>
      <c r="H30" s="20">
        <v>25000</v>
      </c>
    </row>
    <row r="31" spans="1:41">
      <c r="A31" s="8"/>
      <c r="B31" s="77"/>
      <c r="C31" s="56" t="s">
        <v>152</v>
      </c>
      <c r="D31" s="9"/>
      <c r="E31" s="31" t="s">
        <v>58</v>
      </c>
      <c r="F31" s="32">
        <f t="shared" si="2"/>
        <v>12</v>
      </c>
      <c r="G31" s="12"/>
      <c r="H31" s="20">
        <v>30400</v>
      </c>
    </row>
    <row r="32" spans="1:41">
      <c r="A32" s="8"/>
      <c r="B32" s="77"/>
      <c r="C32" s="56" t="s">
        <v>153</v>
      </c>
      <c r="D32" s="9"/>
      <c r="E32" s="31" t="s">
        <v>58</v>
      </c>
      <c r="F32" s="32">
        <f t="shared" si="2"/>
        <v>12</v>
      </c>
      <c r="G32" s="12"/>
      <c r="H32" s="20">
        <v>19000</v>
      </c>
    </row>
    <row r="33" spans="1:41" s="8" customFormat="1" ht="27" customHeight="1">
      <c r="A33" s="8">
        <f>A29+1</f>
        <v>20</v>
      </c>
      <c r="B33" s="78"/>
      <c r="C33" s="67" t="s">
        <v>163</v>
      </c>
      <c r="D33" s="9"/>
      <c r="E33" s="31" t="s">
        <v>58</v>
      </c>
      <c r="F33" s="32">
        <f t="shared" si="2"/>
        <v>12</v>
      </c>
      <c r="G33" s="66" t="s">
        <v>161</v>
      </c>
      <c r="H33" s="20">
        <v>75000</v>
      </c>
      <c r="AM33"/>
      <c r="AN33"/>
      <c r="AO33"/>
    </row>
    <row r="34" spans="1:41" ht="38.25">
      <c r="B34" s="19">
        <v>3</v>
      </c>
      <c r="C34" s="6">
        <v>0</v>
      </c>
      <c r="D34" s="13" t="s">
        <v>88</v>
      </c>
      <c r="E34" s="13" t="s">
        <v>56</v>
      </c>
      <c r="F34" s="13"/>
      <c r="G34" s="13" t="s">
        <v>45</v>
      </c>
      <c r="H34" s="21" t="s">
        <v>55</v>
      </c>
    </row>
    <row r="35" spans="1:41" ht="12.75" customHeight="1">
      <c r="A35" s="8">
        <v>1</v>
      </c>
      <c r="B35" s="76" t="s">
        <v>54</v>
      </c>
      <c r="C35" s="56" t="s">
        <v>89</v>
      </c>
      <c r="D35" s="9"/>
      <c r="E35" s="31" t="s">
        <v>58</v>
      </c>
      <c r="F35" s="32">
        <f t="shared" ref="F35:F54" si="5">VLOOKUP(E35,$AN$1:$AO$22,2,FALSE)</f>
        <v>12</v>
      </c>
      <c r="G35" s="12" t="s">
        <v>154</v>
      </c>
      <c r="H35" s="20">
        <v>198399</v>
      </c>
    </row>
    <row r="36" spans="1:41">
      <c r="A36" s="8">
        <f>A35+1</f>
        <v>2</v>
      </c>
      <c r="B36" s="77"/>
      <c r="C36" s="56" t="s">
        <v>90</v>
      </c>
      <c r="D36" s="9"/>
      <c r="E36" s="31" t="s">
        <v>58</v>
      </c>
      <c r="F36" s="32">
        <f t="shared" si="5"/>
        <v>12</v>
      </c>
      <c r="G36" s="12" t="s">
        <v>131</v>
      </c>
      <c r="H36" s="20">
        <v>36036</v>
      </c>
    </row>
    <row r="37" spans="1:41">
      <c r="A37" s="8">
        <f t="shared" ref="A37:A54" si="6">A36+1</f>
        <v>3</v>
      </c>
      <c r="B37" s="77"/>
      <c r="C37" s="56" t="s">
        <v>111</v>
      </c>
      <c r="D37" s="9"/>
      <c r="E37" s="31" t="s">
        <v>58</v>
      </c>
      <c r="F37" s="32">
        <f t="shared" si="5"/>
        <v>12</v>
      </c>
      <c r="G37" s="12" t="s">
        <v>132</v>
      </c>
      <c r="H37" s="20">
        <v>28525</v>
      </c>
    </row>
    <row r="38" spans="1:41">
      <c r="A38" s="8">
        <f t="shared" si="6"/>
        <v>4</v>
      </c>
      <c r="B38" s="77"/>
      <c r="C38" s="56" t="s">
        <v>112</v>
      </c>
      <c r="D38" s="9"/>
      <c r="E38" s="31" t="s">
        <v>58</v>
      </c>
      <c r="F38" s="32">
        <f t="shared" si="5"/>
        <v>12</v>
      </c>
      <c r="G38" s="12" t="s">
        <v>133</v>
      </c>
      <c r="H38" s="20">
        <v>30750</v>
      </c>
    </row>
    <row r="39" spans="1:41">
      <c r="A39" s="8">
        <f t="shared" si="6"/>
        <v>5</v>
      </c>
      <c r="B39" s="77"/>
      <c r="C39" s="56" t="s">
        <v>91</v>
      </c>
      <c r="D39" s="9"/>
      <c r="E39" s="31" t="s">
        <v>58</v>
      </c>
      <c r="F39" s="32">
        <f t="shared" si="5"/>
        <v>12</v>
      </c>
      <c r="G39" s="12" t="s">
        <v>134</v>
      </c>
      <c r="H39" s="20">
        <v>6600</v>
      </c>
    </row>
    <row r="40" spans="1:41">
      <c r="A40" s="8">
        <f t="shared" si="6"/>
        <v>6</v>
      </c>
      <c r="B40" s="77"/>
      <c r="C40" s="56" t="s">
        <v>113</v>
      </c>
      <c r="D40" s="9"/>
      <c r="E40" s="31" t="s">
        <v>58</v>
      </c>
      <c r="F40" s="32">
        <f t="shared" si="5"/>
        <v>12</v>
      </c>
      <c r="G40" s="12"/>
      <c r="H40" s="20">
        <v>35000</v>
      </c>
    </row>
    <row r="41" spans="1:41">
      <c r="A41" s="8">
        <f t="shared" si="6"/>
        <v>7</v>
      </c>
      <c r="B41" s="77"/>
      <c r="C41" s="56" t="s">
        <v>114</v>
      </c>
      <c r="D41" s="9"/>
      <c r="E41" s="31" t="s">
        <v>58</v>
      </c>
      <c r="F41" s="32">
        <f t="shared" si="5"/>
        <v>12</v>
      </c>
      <c r="G41" s="12" t="s">
        <v>135</v>
      </c>
      <c r="H41" s="20">
        <v>60000</v>
      </c>
    </row>
    <row r="42" spans="1:41">
      <c r="A42" s="8">
        <f t="shared" si="6"/>
        <v>8</v>
      </c>
      <c r="B42" s="77"/>
      <c r="C42" s="56" t="s">
        <v>115</v>
      </c>
      <c r="D42" s="9"/>
      <c r="E42" s="31" t="s">
        <v>58</v>
      </c>
      <c r="F42" s="32">
        <f t="shared" si="5"/>
        <v>12</v>
      </c>
      <c r="G42" s="12"/>
      <c r="H42" s="20">
        <v>27500</v>
      </c>
    </row>
    <row r="43" spans="1:41">
      <c r="A43" s="8">
        <f t="shared" si="6"/>
        <v>9</v>
      </c>
      <c r="B43" s="77"/>
      <c r="C43" s="56" t="s">
        <v>116</v>
      </c>
      <c r="D43" s="9"/>
      <c r="E43" s="31" t="s">
        <v>58</v>
      </c>
      <c r="F43" s="32">
        <f t="shared" si="5"/>
        <v>12</v>
      </c>
      <c r="G43" s="12"/>
      <c r="H43" s="20">
        <v>52865</v>
      </c>
    </row>
    <row r="44" spans="1:41">
      <c r="A44" s="8">
        <f t="shared" si="6"/>
        <v>10</v>
      </c>
      <c r="B44" s="77"/>
      <c r="C44" s="56" t="s">
        <v>117</v>
      </c>
      <c r="D44" s="9"/>
      <c r="E44" s="31" t="s">
        <v>58</v>
      </c>
      <c r="F44" s="32">
        <f t="shared" si="5"/>
        <v>12</v>
      </c>
      <c r="G44" s="12"/>
      <c r="H44" s="20">
        <v>6400</v>
      </c>
    </row>
    <row r="45" spans="1:41">
      <c r="A45" s="8">
        <f t="shared" si="6"/>
        <v>11</v>
      </c>
      <c r="B45" s="77"/>
      <c r="C45" s="56" t="s">
        <v>118</v>
      </c>
      <c r="D45" s="9"/>
      <c r="E45" s="31" t="s">
        <v>58</v>
      </c>
      <c r="F45" s="32">
        <f t="shared" si="5"/>
        <v>12</v>
      </c>
      <c r="G45" s="12"/>
      <c r="H45" s="20">
        <v>25100</v>
      </c>
    </row>
    <row r="46" spans="1:41">
      <c r="A46" s="8">
        <f t="shared" si="6"/>
        <v>12</v>
      </c>
      <c r="B46" s="77"/>
      <c r="C46" s="56" t="s">
        <v>125</v>
      </c>
      <c r="D46" s="9"/>
      <c r="E46" s="31" t="s">
        <v>58</v>
      </c>
      <c r="F46" s="32">
        <f t="shared" si="5"/>
        <v>12</v>
      </c>
      <c r="G46" s="12"/>
      <c r="H46" s="20">
        <v>39200</v>
      </c>
    </row>
    <row r="47" spans="1:41">
      <c r="A47" s="8">
        <f t="shared" si="6"/>
        <v>13</v>
      </c>
      <c r="B47" s="77"/>
      <c r="C47" s="56" t="s">
        <v>126</v>
      </c>
      <c r="D47" s="9"/>
      <c r="E47" s="31" t="s">
        <v>62</v>
      </c>
      <c r="F47" s="32">
        <f t="shared" si="5"/>
        <v>2</v>
      </c>
      <c r="G47" s="12"/>
      <c r="H47" s="20">
        <v>35000</v>
      </c>
    </row>
    <row r="48" spans="1:41">
      <c r="A48" s="8">
        <f t="shared" si="6"/>
        <v>14</v>
      </c>
      <c r="B48" s="77"/>
      <c r="C48" s="56" t="s">
        <v>127</v>
      </c>
      <c r="D48" s="9"/>
      <c r="E48" s="31" t="s">
        <v>60</v>
      </c>
      <c r="F48" s="32">
        <f t="shared" si="5"/>
        <v>4</v>
      </c>
      <c r="G48" s="12"/>
      <c r="H48" s="20">
        <v>36000</v>
      </c>
    </row>
    <row r="49" spans="1:41">
      <c r="A49" s="8">
        <f t="shared" si="6"/>
        <v>15</v>
      </c>
      <c r="B49" s="77"/>
      <c r="C49" s="56" t="s">
        <v>128</v>
      </c>
      <c r="D49" s="9"/>
      <c r="E49" s="31" t="s">
        <v>58</v>
      </c>
      <c r="F49" s="32">
        <f t="shared" si="5"/>
        <v>12</v>
      </c>
      <c r="G49" s="12" t="s">
        <v>136</v>
      </c>
      <c r="H49" s="20">
        <v>80000</v>
      </c>
    </row>
    <row r="50" spans="1:41">
      <c r="A50" s="8">
        <f t="shared" si="6"/>
        <v>16</v>
      </c>
      <c r="B50" s="77"/>
      <c r="C50" s="56" t="s">
        <v>129</v>
      </c>
      <c r="D50" s="9"/>
      <c r="E50" s="31" t="s">
        <v>58</v>
      </c>
      <c r="F50" s="32">
        <f t="shared" si="5"/>
        <v>12</v>
      </c>
      <c r="G50" s="12" t="s">
        <v>162</v>
      </c>
      <c r="H50" s="20">
        <v>45600</v>
      </c>
    </row>
    <row r="51" spans="1:41">
      <c r="A51" s="8">
        <f t="shared" si="6"/>
        <v>17</v>
      </c>
      <c r="B51" s="77"/>
      <c r="C51" s="56" t="s">
        <v>130</v>
      </c>
      <c r="D51" s="9"/>
      <c r="E51" s="31" t="s">
        <v>58</v>
      </c>
      <c r="F51" s="32">
        <f t="shared" si="5"/>
        <v>12</v>
      </c>
      <c r="G51" s="12"/>
      <c r="H51" s="20">
        <v>12000</v>
      </c>
    </row>
    <row r="52" spans="1:41">
      <c r="A52" s="8">
        <f t="shared" si="6"/>
        <v>18</v>
      </c>
      <c r="B52" s="77"/>
      <c r="C52" s="56" t="s">
        <v>137</v>
      </c>
      <c r="D52" s="9"/>
      <c r="E52" s="31" t="s">
        <v>58</v>
      </c>
      <c r="F52" s="32">
        <f t="shared" si="5"/>
        <v>12</v>
      </c>
      <c r="G52" s="12"/>
      <c r="H52" s="20">
        <v>3600</v>
      </c>
    </row>
    <row r="53" spans="1:41">
      <c r="A53" s="8">
        <f t="shared" si="6"/>
        <v>19</v>
      </c>
      <c r="B53" s="77"/>
      <c r="C53" s="56" t="s">
        <v>123</v>
      </c>
      <c r="D53" s="9"/>
      <c r="E53" s="31" t="s">
        <v>58</v>
      </c>
      <c r="F53" s="32">
        <f t="shared" si="5"/>
        <v>12</v>
      </c>
      <c r="G53" s="59" t="s">
        <v>155</v>
      </c>
      <c r="H53" s="20">
        <v>86000</v>
      </c>
    </row>
    <row r="54" spans="1:41" s="8" customFormat="1">
      <c r="A54" s="8">
        <f t="shared" si="6"/>
        <v>20</v>
      </c>
      <c r="B54" s="78"/>
      <c r="C54" s="9"/>
      <c r="D54" s="9"/>
      <c r="E54" s="31" t="s">
        <v>58</v>
      </c>
      <c r="F54" s="32">
        <f t="shared" si="5"/>
        <v>12</v>
      </c>
      <c r="G54" s="12"/>
      <c r="H54" s="20"/>
      <c r="AM54"/>
      <c r="AN54"/>
      <c r="AO54"/>
    </row>
    <row r="55" spans="1:41" ht="38.25">
      <c r="B55" s="7">
        <v>4</v>
      </c>
      <c r="C55" s="6">
        <v>0</v>
      </c>
      <c r="D55" s="13" t="s">
        <v>88</v>
      </c>
      <c r="E55" s="13" t="s">
        <v>56</v>
      </c>
      <c r="F55" s="13"/>
      <c r="G55" s="13" t="s">
        <v>45</v>
      </c>
      <c r="H55" s="21" t="s">
        <v>55</v>
      </c>
    </row>
    <row r="56" spans="1:41" ht="12.75" customHeight="1">
      <c r="A56" s="8">
        <v>1</v>
      </c>
      <c r="B56" s="79" t="s">
        <v>77</v>
      </c>
      <c r="C56" s="56" t="s">
        <v>138</v>
      </c>
      <c r="D56" s="9"/>
      <c r="E56" s="31" t="s">
        <v>58</v>
      </c>
      <c r="F56" s="65">
        <f t="shared" ref="F56:F74" si="7">VLOOKUP(E56,$AN$1:$AO$22,2,FALSE)</f>
        <v>12</v>
      </c>
      <c r="G56" s="12"/>
      <c r="H56" s="20">
        <v>55000</v>
      </c>
    </row>
    <row r="57" spans="1:41">
      <c r="A57" s="8">
        <f>A56+1</f>
        <v>2</v>
      </c>
      <c r="B57" s="79"/>
      <c r="C57" s="56" t="s">
        <v>139</v>
      </c>
      <c r="D57" s="9"/>
      <c r="E57" s="31" t="s">
        <v>60</v>
      </c>
      <c r="F57" s="65">
        <f t="shared" si="7"/>
        <v>4</v>
      </c>
      <c r="G57" s="12" t="s">
        <v>142</v>
      </c>
      <c r="H57" s="20">
        <v>180000</v>
      </c>
    </row>
    <row r="58" spans="1:41">
      <c r="A58" s="8">
        <f t="shared" ref="A58:A74" si="8">A57+1</f>
        <v>3</v>
      </c>
      <c r="B58" s="79"/>
      <c r="C58" s="56" t="s">
        <v>140</v>
      </c>
      <c r="D58" s="9"/>
      <c r="E58" s="31" t="s">
        <v>60</v>
      </c>
      <c r="F58" s="65">
        <f t="shared" si="7"/>
        <v>4</v>
      </c>
      <c r="G58" s="12" t="s">
        <v>141</v>
      </c>
      <c r="H58" s="20">
        <v>80000</v>
      </c>
    </row>
    <row r="59" spans="1:41" ht="26.25">
      <c r="A59" s="8">
        <v>4</v>
      </c>
      <c r="B59" s="79"/>
      <c r="C59" s="57" t="s">
        <v>143</v>
      </c>
      <c r="D59" s="9"/>
      <c r="E59" s="31" t="s">
        <v>60</v>
      </c>
      <c r="F59" s="65">
        <f t="shared" si="7"/>
        <v>4</v>
      </c>
      <c r="G59" s="58" t="s">
        <v>144</v>
      </c>
      <c r="H59" s="20">
        <v>1245795</v>
      </c>
    </row>
    <row r="60" spans="1:41">
      <c r="A60" s="8">
        <f t="shared" si="8"/>
        <v>5</v>
      </c>
      <c r="B60" s="79"/>
      <c r="C60" s="56"/>
      <c r="D60" s="9"/>
      <c r="E60" s="31" t="s">
        <v>58</v>
      </c>
      <c r="F60" s="65">
        <f t="shared" si="7"/>
        <v>12</v>
      </c>
      <c r="G60" s="12"/>
      <c r="H60" s="20"/>
    </row>
    <row r="61" spans="1:41">
      <c r="A61" s="8">
        <f t="shared" si="8"/>
        <v>6</v>
      </c>
      <c r="B61" s="79"/>
      <c r="C61" s="56"/>
      <c r="D61" s="9"/>
      <c r="E61" s="31" t="s">
        <v>58</v>
      </c>
      <c r="F61" s="65">
        <f t="shared" si="7"/>
        <v>12</v>
      </c>
      <c r="G61" s="12"/>
      <c r="H61" s="20"/>
    </row>
    <row r="62" spans="1:41">
      <c r="A62" s="8">
        <f t="shared" si="8"/>
        <v>7</v>
      </c>
      <c r="B62" s="79"/>
      <c r="C62" s="56"/>
      <c r="D62" s="9"/>
      <c r="E62" s="31" t="s">
        <v>58</v>
      </c>
      <c r="F62" s="65">
        <f t="shared" si="7"/>
        <v>12</v>
      </c>
      <c r="G62" s="12"/>
      <c r="H62" s="20"/>
    </row>
    <row r="63" spans="1:41">
      <c r="A63" s="8">
        <f t="shared" si="8"/>
        <v>8</v>
      </c>
      <c r="B63" s="79"/>
      <c r="C63" s="56"/>
      <c r="D63" s="9"/>
      <c r="E63" s="31" t="s">
        <v>58</v>
      </c>
      <c r="F63" s="65">
        <f t="shared" si="7"/>
        <v>12</v>
      </c>
      <c r="G63" s="12"/>
      <c r="H63" s="20"/>
    </row>
    <row r="64" spans="1:41">
      <c r="A64" s="8">
        <f t="shared" si="8"/>
        <v>9</v>
      </c>
      <c r="B64" s="79"/>
      <c r="C64" s="56"/>
      <c r="D64" s="9"/>
      <c r="E64" s="31" t="s">
        <v>58</v>
      </c>
      <c r="F64" s="65">
        <f t="shared" si="7"/>
        <v>12</v>
      </c>
      <c r="G64" s="12"/>
      <c r="H64" s="20"/>
    </row>
    <row r="65" spans="1:41">
      <c r="A65" s="8">
        <f t="shared" si="8"/>
        <v>10</v>
      </c>
      <c r="B65" s="79"/>
      <c r="C65" s="56"/>
      <c r="D65" s="9"/>
      <c r="E65" s="31" t="s">
        <v>58</v>
      </c>
      <c r="F65" s="65">
        <f t="shared" si="7"/>
        <v>12</v>
      </c>
      <c r="G65" s="12"/>
      <c r="H65" s="20"/>
    </row>
    <row r="66" spans="1:41">
      <c r="A66" s="8">
        <f t="shared" si="8"/>
        <v>11</v>
      </c>
      <c r="B66" s="79"/>
      <c r="C66" s="56"/>
      <c r="D66" s="9"/>
      <c r="E66" s="31" t="s">
        <v>58</v>
      </c>
      <c r="F66" s="65">
        <f t="shared" si="7"/>
        <v>12</v>
      </c>
      <c r="G66" s="12"/>
      <c r="H66" s="20"/>
    </row>
    <row r="67" spans="1:41">
      <c r="A67" s="8">
        <f t="shared" si="8"/>
        <v>12</v>
      </c>
      <c r="B67" s="79"/>
      <c r="C67" s="56"/>
      <c r="D67" s="9"/>
      <c r="E67" s="31" t="s">
        <v>58</v>
      </c>
      <c r="F67" s="65">
        <f t="shared" si="7"/>
        <v>12</v>
      </c>
      <c r="G67" s="12"/>
      <c r="H67" s="20"/>
    </row>
    <row r="68" spans="1:41">
      <c r="A68" s="8">
        <f t="shared" si="8"/>
        <v>13</v>
      </c>
      <c r="B68" s="79"/>
      <c r="C68" s="56"/>
      <c r="D68" s="9"/>
      <c r="E68" s="31" t="s">
        <v>58</v>
      </c>
      <c r="F68" s="65">
        <f t="shared" si="7"/>
        <v>12</v>
      </c>
      <c r="G68" s="12"/>
      <c r="H68" s="20"/>
    </row>
    <row r="69" spans="1:41">
      <c r="A69" s="8">
        <f t="shared" si="8"/>
        <v>14</v>
      </c>
      <c r="B69" s="79"/>
      <c r="C69" s="56"/>
      <c r="D69" s="9"/>
      <c r="E69" s="31" t="s">
        <v>58</v>
      </c>
      <c r="F69" s="65">
        <f t="shared" si="7"/>
        <v>12</v>
      </c>
      <c r="G69" s="12"/>
      <c r="H69" s="20"/>
    </row>
    <row r="70" spans="1:41">
      <c r="A70" s="8">
        <f t="shared" si="8"/>
        <v>15</v>
      </c>
      <c r="B70" s="79"/>
      <c r="C70" s="56"/>
      <c r="D70" s="9"/>
      <c r="E70" s="31" t="s">
        <v>58</v>
      </c>
      <c r="F70" s="65">
        <f t="shared" si="7"/>
        <v>12</v>
      </c>
      <c r="G70" s="12"/>
      <c r="H70" s="20"/>
    </row>
    <row r="71" spans="1:41">
      <c r="A71" s="8">
        <f t="shared" si="8"/>
        <v>16</v>
      </c>
      <c r="B71" s="79"/>
      <c r="C71" s="56"/>
      <c r="D71" s="9"/>
      <c r="E71" s="31" t="s">
        <v>58</v>
      </c>
      <c r="F71" s="65">
        <f t="shared" si="7"/>
        <v>12</v>
      </c>
      <c r="G71" s="12"/>
      <c r="H71" s="20"/>
    </row>
    <row r="72" spans="1:41">
      <c r="A72" s="8">
        <f t="shared" si="8"/>
        <v>17</v>
      </c>
      <c r="B72" s="79"/>
      <c r="C72" s="56"/>
      <c r="D72" s="9"/>
      <c r="E72" s="31" t="s">
        <v>58</v>
      </c>
      <c r="F72" s="65">
        <f t="shared" si="7"/>
        <v>12</v>
      </c>
      <c r="G72" s="12"/>
      <c r="H72" s="20"/>
    </row>
    <row r="73" spans="1:41">
      <c r="A73" s="8">
        <f t="shared" si="8"/>
        <v>18</v>
      </c>
      <c r="B73" s="79"/>
      <c r="C73" s="56"/>
      <c r="D73" s="9"/>
      <c r="E73" s="31" t="s">
        <v>58</v>
      </c>
      <c r="F73" s="65">
        <f t="shared" si="7"/>
        <v>12</v>
      </c>
      <c r="G73" s="12"/>
      <c r="H73" s="20"/>
    </row>
    <row r="74" spans="1:41" s="8" customFormat="1">
      <c r="A74" s="8">
        <f t="shared" si="8"/>
        <v>19</v>
      </c>
      <c r="B74" s="79"/>
      <c r="C74" s="56"/>
      <c r="D74" s="9"/>
      <c r="E74" s="31" t="s">
        <v>58</v>
      </c>
      <c r="F74" s="65">
        <f t="shared" si="7"/>
        <v>12</v>
      </c>
      <c r="G74" s="12"/>
      <c r="H74" s="20"/>
      <c r="AM74"/>
      <c r="AN74"/>
      <c r="AO74"/>
    </row>
    <row r="75" spans="1:41" ht="15" customHeight="1">
      <c r="A75" s="62"/>
      <c r="B75" s="63"/>
      <c r="C75" s="63"/>
      <c r="D75" s="63"/>
      <c r="E75" s="63"/>
      <c r="F75" s="63"/>
      <c r="G75" s="63"/>
      <c r="H75" s="63"/>
    </row>
    <row r="76" spans="1:41" ht="15" customHeight="1">
      <c r="A76" s="62"/>
      <c r="B76" s="86" t="s">
        <v>157</v>
      </c>
      <c r="C76" s="86"/>
      <c r="D76" s="63"/>
      <c r="E76" s="63"/>
      <c r="F76" s="63"/>
      <c r="G76" s="63"/>
      <c r="H76" s="63"/>
    </row>
    <row r="77" spans="1:41" ht="15" customHeight="1">
      <c r="A77" s="62"/>
      <c r="B77" s="86" t="s">
        <v>158</v>
      </c>
      <c r="C77" s="86"/>
      <c r="D77" s="63"/>
      <c r="E77" s="63"/>
      <c r="F77" s="63"/>
      <c r="G77" s="63"/>
      <c r="H77" s="63"/>
    </row>
    <row r="78" spans="1:41" ht="15" customHeight="1">
      <c r="A78" s="62"/>
      <c r="B78" s="86" t="s">
        <v>159</v>
      </c>
      <c r="C78" s="86"/>
      <c r="D78" s="63"/>
      <c r="E78" s="63"/>
      <c r="F78" s="63"/>
      <c r="G78" s="63"/>
      <c r="H78" s="63"/>
    </row>
    <row r="79" spans="1:41" ht="15" customHeight="1">
      <c r="A79" s="62"/>
      <c r="B79" s="86" t="s">
        <v>160</v>
      </c>
      <c r="C79" s="86"/>
      <c r="D79" s="63"/>
      <c r="E79" s="63"/>
      <c r="F79" s="63"/>
      <c r="G79" s="63"/>
      <c r="H79" s="63"/>
      <c r="AM79" s="30"/>
      <c r="AN79" s="30"/>
    </row>
    <row r="80" spans="1:41" ht="15" customHeight="1">
      <c r="A80" s="62"/>
      <c r="B80" s="87"/>
      <c r="C80" s="87"/>
      <c r="D80" s="63"/>
      <c r="E80" s="63"/>
      <c r="F80" s="63"/>
      <c r="G80" s="63"/>
      <c r="H80" s="63"/>
      <c r="AM80" s="30"/>
      <c r="AN80" s="30"/>
    </row>
    <row r="81" spans="2:41" ht="15" customHeight="1">
      <c r="B81" s="60"/>
      <c r="C81" s="60"/>
      <c r="D81" s="60"/>
      <c r="E81" s="60"/>
      <c r="F81" s="60"/>
      <c r="G81" s="61"/>
      <c r="H81" s="64"/>
      <c r="AM81" s="30"/>
      <c r="AN81" s="30"/>
    </row>
    <row r="82" spans="2:41" ht="15" customHeight="1">
      <c r="H82" s="22"/>
      <c r="AM82" s="30"/>
      <c r="AN82" s="30"/>
    </row>
    <row r="83" spans="2:41" ht="15" customHeight="1">
      <c r="H83" s="22"/>
      <c r="AM83" s="30"/>
      <c r="AN83" s="30"/>
    </row>
    <row r="84" spans="2:41" ht="15" customHeight="1">
      <c r="H84" s="22"/>
      <c r="AM84" s="30"/>
      <c r="AN84" s="30"/>
    </row>
    <row r="85" spans="2:41" ht="15" customHeight="1">
      <c r="H85" s="22"/>
      <c r="AM85" s="30"/>
      <c r="AN85" s="30"/>
    </row>
    <row r="86" spans="2:41" ht="15" customHeight="1">
      <c r="H86" s="22"/>
      <c r="AM86" s="30"/>
      <c r="AN86" s="30"/>
    </row>
    <row r="87" spans="2:41" ht="15" customHeight="1">
      <c r="H87" s="22"/>
      <c r="AM87" s="30"/>
      <c r="AN87" s="30"/>
    </row>
    <row r="88" spans="2:41" s="3" customFormat="1" ht="15" customHeight="1">
      <c r="G88" s="10"/>
      <c r="H88" s="22"/>
      <c r="I88" s="1"/>
      <c r="J88" s="1"/>
      <c r="K88" s="1"/>
      <c r="L88" s="1"/>
      <c r="AM88" s="30"/>
      <c r="AN88" s="30"/>
      <c r="AO88"/>
    </row>
    <row r="89" spans="2:41" s="3" customFormat="1" ht="15" customHeight="1">
      <c r="G89" s="10"/>
      <c r="H89" s="22"/>
      <c r="I89" s="1"/>
      <c r="J89" s="1"/>
      <c r="K89" s="1"/>
      <c r="L89" s="1"/>
      <c r="AM89" s="30"/>
      <c r="AN89" s="30"/>
      <c r="AO89"/>
    </row>
    <row r="90" spans="2:41" s="3" customFormat="1" ht="15" customHeight="1">
      <c r="G90" s="10"/>
      <c r="H90" s="22"/>
      <c r="I90" s="1"/>
      <c r="J90" s="1"/>
      <c r="K90" s="1"/>
      <c r="L90" s="1"/>
      <c r="AM90"/>
      <c r="AN90"/>
      <c r="AO90"/>
    </row>
    <row r="91" spans="2:41" s="3" customFormat="1" ht="15" customHeight="1">
      <c r="G91" s="10"/>
      <c r="H91" s="22"/>
      <c r="I91" s="1"/>
      <c r="J91" s="1"/>
      <c r="K91" s="1"/>
      <c r="L91" s="1"/>
      <c r="AM91"/>
      <c r="AN91"/>
      <c r="AO91"/>
    </row>
    <row r="92" spans="2:41" s="3" customFormat="1" ht="15" customHeight="1">
      <c r="G92" s="10"/>
      <c r="H92" s="22"/>
      <c r="I92" s="1"/>
      <c r="J92" s="1"/>
      <c r="K92" s="1"/>
      <c r="L92" s="1"/>
      <c r="AM92"/>
      <c r="AN92"/>
      <c r="AO92"/>
    </row>
    <row r="93" spans="2:41" s="3" customFormat="1" ht="15" customHeight="1">
      <c r="G93" s="10"/>
      <c r="H93" s="22"/>
      <c r="I93" s="1"/>
      <c r="J93" s="1"/>
      <c r="K93" s="1"/>
      <c r="L93" s="1"/>
      <c r="AM93"/>
      <c r="AN93"/>
      <c r="AO93"/>
    </row>
    <row r="94" spans="2:41" s="3" customFormat="1" ht="15" customHeight="1">
      <c r="G94" s="10"/>
      <c r="H94" s="22"/>
      <c r="I94" s="1"/>
      <c r="J94" s="1"/>
      <c r="K94" s="1"/>
      <c r="L94" s="1"/>
      <c r="AM94"/>
      <c r="AN94"/>
      <c r="AO94"/>
    </row>
    <row r="95" spans="2:41" s="3" customFormat="1" ht="15" customHeight="1">
      <c r="G95" s="10"/>
      <c r="H95" s="22"/>
      <c r="I95" s="1"/>
      <c r="J95" s="1"/>
      <c r="K95" s="1"/>
      <c r="L95" s="1"/>
      <c r="AM95"/>
      <c r="AN95"/>
      <c r="AO95"/>
    </row>
    <row r="96" spans="2:41" s="3" customFormat="1" ht="15" customHeight="1">
      <c r="G96" s="10"/>
      <c r="H96" s="2"/>
      <c r="I96" s="1"/>
      <c r="J96" s="1"/>
      <c r="K96" s="1"/>
      <c r="L96" s="1"/>
      <c r="AM96"/>
      <c r="AN96"/>
      <c r="AO96"/>
    </row>
    <row r="97" spans="7:41" s="3" customFormat="1" ht="15" customHeight="1">
      <c r="G97" s="10"/>
      <c r="H97" s="2"/>
      <c r="I97" s="1"/>
      <c r="J97" s="1"/>
      <c r="K97" s="1"/>
      <c r="L97" s="1"/>
      <c r="AM97"/>
      <c r="AN97"/>
      <c r="AO97"/>
    </row>
    <row r="98" spans="7:41" s="3" customFormat="1" ht="15" customHeight="1">
      <c r="G98" s="10"/>
      <c r="H98" s="2"/>
      <c r="I98" s="1"/>
      <c r="J98" s="1"/>
      <c r="K98" s="1"/>
      <c r="L98" s="1"/>
      <c r="AM98"/>
      <c r="AN98"/>
      <c r="AO98"/>
    </row>
    <row r="99" spans="7:41" s="3" customFormat="1" ht="15" customHeight="1">
      <c r="G99" s="10"/>
      <c r="H99" s="2"/>
      <c r="I99" s="1"/>
      <c r="J99" s="1"/>
      <c r="K99" s="1"/>
      <c r="L99" s="1"/>
      <c r="AM99"/>
      <c r="AN99"/>
      <c r="AO99"/>
    </row>
    <row r="100" spans="7:41" s="3" customFormat="1" ht="15" customHeight="1">
      <c r="G100" s="10"/>
      <c r="H100" s="2"/>
      <c r="I100" s="1"/>
      <c r="J100" s="1"/>
      <c r="K100" s="1"/>
      <c r="L100" s="1"/>
      <c r="AM100"/>
      <c r="AN100"/>
      <c r="AO100"/>
    </row>
    <row r="101" spans="7:41" s="3" customFormat="1" ht="15" customHeight="1">
      <c r="G101" s="10"/>
      <c r="H101" s="2"/>
      <c r="I101" s="1"/>
      <c r="J101" s="1"/>
      <c r="K101" s="1"/>
      <c r="L101" s="1"/>
      <c r="AM101"/>
      <c r="AN101"/>
      <c r="AO101"/>
    </row>
    <row r="102" spans="7:41" s="3" customFormat="1" ht="15" customHeight="1">
      <c r="G102" s="10"/>
      <c r="H102" s="2"/>
      <c r="I102" s="1"/>
      <c r="J102" s="1"/>
      <c r="K102" s="1"/>
      <c r="L102" s="1"/>
      <c r="AM102"/>
      <c r="AN102"/>
      <c r="AO102"/>
    </row>
    <row r="103" spans="7:41" s="3" customFormat="1" ht="15" customHeight="1">
      <c r="G103" s="10"/>
      <c r="H103" s="2"/>
      <c r="I103" s="1"/>
      <c r="J103" s="1"/>
      <c r="K103" s="1"/>
      <c r="L103" s="1"/>
      <c r="AM103"/>
      <c r="AN103"/>
      <c r="AO103"/>
    </row>
    <row r="104" spans="7:41" ht="15" customHeight="1"/>
    <row r="105" spans="7:41" ht="15" customHeight="1"/>
    <row r="106" spans="7:41" ht="15" customHeight="1"/>
    <row r="108" spans="7:41" ht="15.75" thickBot="1"/>
    <row r="109" spans="7:41" ht="18.75" thickBot="1">
      <c r="H109" s="18"/>
    </row>
    <row r="110" spans="7:41">
      <c r="H110" s="5"/>
    </row>
    <row r="111" spans="7:41">
      <c r="H111" s="5"/>
    </row>
    <row r="112" spans="7:41">
      <c r="H112" s="5"/>
    </row>
    <row r="113" spans="8:8">
      <c r="H113" s="5"/>
    </row>
    <row r="114" spans="8:8">
      <c r="H114" s="5"/>
    </row>
    <row r="115" spans="8:8">
      <c r="H115" s="5"/>
    </row>
    <row r="116" spans="8:8">
      <c r="H116" s="4"/>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sheetData>
  <protectedRanges>
    <protectedRange sqref="E4:E9 E35:E54 E11:E33 E56:E74" name="Ingreso"/>
  </protectedRanges>
  <mergeCells count="10">
    <mergeCell ref="B76:C76"/>
    <mergeCell ref="B77:C77"/>
    <mergeCell ref="B78:C78"/>
    <mergeCell ref="B79:C79"/>
    <mergeCell ref="B80:C80"/>
    <mergeCell ref="B35:B54"/>
    <mergeCell ref="B56:B74"/>
    <mergeCell ref="D2:G2"/>
    <mergeCell ref="B4:B9"/>
    <mergeCell ref="B11:B33"/>
  </mergeCells>
  <conditionalFormatting sqref="F4 F56:F74">
    <cfRule type="cellIs" dxfId="10" priority="5" stopIfTrue="1" operator="equal">
      <formula>0</formula>
    </cfRule>
  </conditionalFormatting>
  <conditionalFormatting sqref="F5:F9">
    <cfRule type="cellIs" dxfId="9" priority="4" stopIfTrue="1" operator="equal">
      <formula>0</formula>
    </cfRule>
  </conditionalFormatting>
  <conditionalFormatting sqref="F11:F33">
    <cfRule type="cellIs" dxfId="8" priority="3" stopIfTrue="1" operator="equal">
      <formula>0</formula>
    </cfRule>
  </conditionalFormatting>
  <conditionalFormatting sqref="F35:F54">
    <cfRule type="cellIs" dxfId="7" priority="2" stopIfTrue="1" operator="equal">
      <formula>0</formula>
    </cfRule>
  </conditionalFormatting>
  <dataValidations xWindow="475" yWindow="730" count="1">
    <dataValidation type="list" allowBlank="1" showInputMessage="1" showErrorMessage="1" error="Por favor especifique &quot;Otro&quot; y en la siguiente columna especifíquelo" sqref="E4:E9 E35:E54 E11:E33 E56:E74">
      <formula1>$AN$1:$AN$22</formula1>
    </dataValidation>
  </dataValidations>
  <printOptions horizontalCentered="1" verticalCentered="1"/>
  <pageMargins left="0.74803149606299213" right="0.31496062992125984" top="0.70866141732283472" bottom="0.64" header="0.39370078740157483" footer="0.42"/>
  <pageSetup scale="48" orientation="landscape" horizontalDpi="4294967295" verticalDpi="4294967295" r:id="rId1"/>
  <headerFooter alignWithMargins="0">
    <oddFooter>Página &amp;P de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tint="0.39997558519241921"/>
    <outlinePr summaryBelow="0"/>
  </sheetPr>
  <dimension ref="A1:AO82"/>
  <sheetViews>
    <sheetView showGridLines="0" tabSelected="1" zoomScale="98" zoomScaleNormal="98" zoomScaleSheetLayoutView="82" workbookViewId="0">
      <pane xSplit="2" ySplit="3" topLeftCell="C4" activePane="bottomRight" state="frozen"/>
      <selection pane="topRight" activeCell="D1" sqref="D1"/>
      <selection pane="bottomLeft" activeCell="A17" sqref="A17"/>
      <selection pane="bottomRight" activeCell="C11" sqref="C11:H25"/>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78.3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71.25" customHeight="1">
      <c r="B2" s="33"/>
      <c r="C2" s="43" t="s">
        <v>83</v>
      </c>
      <c r="D2" s="88" t="s">
        <v>204</v>
      </c>
      <c r="E2" s="89"/>
      <c r="F2" s="89"/>
      <c r="G2" s="90"/>
      <c r="H2" s="44" t="s">
        <v>84</v>
      </c>
      <c r="AM2" s="23">
        <v>4</v>
      </c>
      <c r="AN2" s="15" t="s">
        <v>58</v>
      </c>
      <c r="AO2" s="25">
        <v>12</v>
      </c>
    </row>
    <row r="3" spans="1:41" ht="44.25" customHeight="1">
      <c r="B3" s="19">
        <v>1</v>
      </c>
      <c r="C3" s="6">
        <v>14</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v>11290</v>
      </c>
      <c r="AM4" s="23">
        <v>6</v>
      </c>
      <c r="AN4" s="15" t="s">
        <v>60</v>
      </c>
      <c r="AO4" s="25">
        <f>12/3</f>
        <v>4</v>
      </c>
    </row>
    <row r="5" spans="1:41" s="8" customFormat="1">
      <c r="A5" s="8">
        <f>A4+1</f>
        <v>2</v>
      </c>
      <c r="B5" s="84"/>
      <c r="C5" s="9" t="s">
        <v>48</v>
      </c>
      <c r="D5" s="9" t="s">
        <v>165</v>
      </c>
      <c r="E5" s="31" t="s">
        <v>58</v>
      </c>
      <c r="F5" s="32">
        <f t="shared" si="0"/>
        <v>12</v>
      </c>
      <c r="G5" s="12"/>
      <c r="H5" s="20">
        <v>29367</v>
      </c>
      <c r="AM5" s="23">
        <v>7</v>
      </c>
      <c r="AN5" s="15" t="s">
        <v>61</v>
      </c>
      <c r="AO5" s="26">
        <f>12/4</f>
        <v>3</v>
      </c>
    </row>
    <row r="6" spans="1:41" s="8" customFormat="1">
      <c r="A6" s="8">
        <f t="shared" ref="A6:A9" si="1">A5+1</f>
        <v>3</v>
      </c>
      <c r="B6" s="84"/>
      <c r="C6" s="9" t="s">
        <v>49</v>
      </c>
      <c r="D6" s="9"/>
      <c r="E6" s="31" t="s">
        <v>58</v>
      </c>
      <c r="F6" s="32">
        <f t="shared" si="0"/>
        <v>12</v>
      </c>
      <c r="G6" s="12"/>
      <c r="H6" s="20">
        <v>19436</v>
      </c>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t="s">
        <v>166</v>
      </c>
      <c r="E8" s="31" t="s">
        <v>58</v>
      </c>
      <c r="F8" s="32">
        <f t="shared" si="0"/>
        <v>12</v>
      </c>
      <c r="G8" s="12"/>
      <c r="H8" s="20">
        <v>60612</v>
      </c>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14</v>
      </c>
      <c r="D10" s="13" t="s">
        <v>53</v>
      </c>
      <c r="E10" s="13" t="s">
        <v>56</v>
      </c>
      <c r="F10" s="13"/>
      <c r="G10" s="13" t="s">
        <v>45</v>
      </c>
      <c r="H10" s="11" t="s">
        <v>55</v>
      </c>
      <c r="AM10" s="23">
        <v>12</v>
      </c>
      <c r="AN10" s="15" t="s">
        <v>66</v>
      </c>
      <c r="AO10" s="24">
        <f>12/10</f>
        <v>1.2</v>
      </c>
    </row>
    <row r="11" spans="1:41" ht="12.75" customHeight="1">
      <c r="A11" s="8">
        <v>1</v>
      </c>
      <c r="B11" s="76" t="s">
        <v>76</v>
      </c>
      <c r="C11" s="9" t="s">
        <v>168</v>
      </c>
      <c r="D11" s="9" t="s">
        <v>167</v>
      </c>
      <c r="E11" s="31" t="s">
        <v>62</v>
      </c>
      <c r="F11" s="32">
        <f t="shared" ref="F11:F30" si="2">VLOOKUP(E11,$AN$1:$AO$22,2,FALSE)</f>
        <v>2</v>
      </c>
      <c r="G11" s="12" t="s">
        <v>169</v>
      </c>
      <c r="H11" s="20">
        <v>9500</v>
      </c>
      <c r="AM11" s="23">
        <v>13</v>
      </c>
      <c r="AN11" s="15" t="s">
        <v>67</v>
      </c>
      <c r="AO11" s="24">
        <f>12/11</f>
        <v>1.0909090909090908</v>
      </c>
    </row>
    <row r="12" spans="1:41">
      <c r="A12" s="8">
        <f>A11+1</f>
        <v>2</v>
      </c>
      <c r="B12" s="77"/>
      <c r="C12" s="9" t="s">
        <v>170</v>
      </c>
      <c r="D12" s="9" t="s">
        <v>171</v>
      </c>
      <c r="E12" s="31" t="s">
        <v>62</v>
      </c>
      <c r="F12" s="32">
        <f t="shared" si="2"/>
        <v>2</v>
      </c>
      <c r="G12" s="12" t="s">
        <v>172</v>
      </c>
      <c r="H12" s="20">
        <v>1000</v>
      </c>
      <c r="AM12" s="23">
        <v>14</v>
      </c>
      <c r="AN12" s="15" t="s">
        <v>68</v>
      </c>
      <c r="AO12" s="25">
        <f>12/12</f>
        <v>1</v>
      </c>
    </row>
    <row r="13" spans="1:41">
      <c r="A13" s="8">
        <f t="shared" ref="A13:A30" si="3">A12+1</f>
        <v>3</v>
      </c>
      <c r="B13" s="77"/>
      <c r="C13" s="9" t="s">
        <v>173</v>
      </c>
      <c r="D13" s="9" t="s">
        <v>171</v>
      </c>
      <c r="E13" s="31" t="s">
        <v>62</v>
      </c>
      <c r="F13" s="32">
        <f t="shared" si="2"/>
        <v>2</v>
      </c>
      <c r="G13" s="12" t="s">
        <v>174</v>
      </c>
      <c r="H13" s="20">
        <v>4500</v>
      </c>
      <c r="AM13" s="23">
        <v>15</v>
      </c>
      <c r="AN13" s="15" t="s">
        <v>69</v>
      </c>
      <c r="AO13" s="24">
        <f>1/2</f>
        <v>0.5</v>
      </c>
    </row>
    <row r="14" spans="1:41">
      <c r="A14" s="8">
        <f t="shared" si="3"/>
        <v>4</v>
      </c>
      <c r="B14" s="77"/>
      <c r="C14" s="9" t="s">
        <v>175</v>
      </c>
      <c r="D14" s="9" t="s">
        <v>176</v>
      </c>
      <c r="E14" s="31" t="s">
        <v>62</v>
      </c>
      <c r="F14" s="32">
        <f t="shared" si="2"/>
        <v>2</v>
      </c>
      <c r="G14" s="12" t="s">
        <v>177</v>
      </c>
      <c r="H14" s="20">
        <v>4500</v>
      </c>
      <c r="AM14" s="23">
        <v>16</v>
      </c>
      <c r="AN14" s="15" t="s">
        <v>70</v>
      </c>
      <c r="AO14" s="24">
        <f>1/3</f>
        <v>0.33333333333333331</v>
      </c>
    </row>
    <row r="15" spans="1:41">
      <c r="A15" s="8">
        <f t="shared" si="3"/>
        <v>5</v>
      </c>
      <c r="B15" s="77"/>
      <c r="C15" s="9" t="s">
        <v>178</v>
      </c>
      <c r="D15" s="9" t="s">
        <v>179</v>
      </c>
      <c r="E15" s="31" t="s">
        <v>62</v>
      </c>
      <c r="F15" s="32">
        <f t="shared" si="2"/>
        <v>2</v>
      </c>
      <c r="G15" s="12" t="s">
        <v>180</v>
      </c>
      <c r="H15" s="20">
        <v>5000</v>
      </c>
      <c r="AM15" s="23">
        <v>17</v>
      </c>
      <c r="AN15" s="15" t="s">
        <v>71</v>
      </c>
      <c r="AO15" s="24">
        <f>1/4</f>
        <v>0.25</v>
      </c>
    </row>
    <row r="16" spans="1:41">
      <c r="A16" s="8">
        <f t="shared" si="3"/>
        <v>6</v>
      </c>
      <c r="B16" s="77"/>
      <c r="C16" s="9" t="s">
        <v>181</v>
      </c>
      <c r="D16" s="9" t="s">
        <v>176</v>
      </c>
      <c r="E16" s="31" t="s">
        <v>62</v>
      </c>
      <c r="F16" s="32">
        <f t="shared" si="2"/>
        <v>2</v>
      </c>
      <c r="G16" s="12" t="s">
        <v>182</v>
      </c>
      <c r="H16" s="20">
        <v>8000</v>
      </c>
      <c r="AM16" s="23">
        <v>18</v>
      </c>
      <c r="AN16" s="15" t="s">
        <v>72</v>
      </c>
      <c r="AO16" s="24">
        <f>1/5</f>
        <v>0.2</v>
      </c>
    </row>
    <row r="17" spans="1:41">
      <c r="A17" s="8">
        <f t="shared" si="3"/>
        <v>7</v>
      </c>
      <c r="B17" s="77"/>
      <c r="C17" s="9" t="s">
        <v>183</v>
      </c>
      <c r="D17" s="9" t="s">
        <v>184</v>
      </c>
      <c r="E17" s="31" t="s">
        <v>62</v>
      </c>
      <c r="F17" s="32">
        <f t="shared" si="2"/>
        <v>2</v>
      </c>
      <c r="G17" s="12" t="s">
        <v>185</v>
      </c>
      <c r="H17" s="20">
        <v>5000</v>
      </c>
      <c r="AM17" s="23">
        <v>19</v>
      </c>
      <c r="AN17" s="15" t="s">
        <v>73</v>
      </c>
      <c r="AO17" s="24">
        <f>1/10</f>
        <v>0.1</v>
      </c>
    </row>
    <row r="18" spans="1:41">
      <c r="A18" s="8">
        <f t="shared" si="3"/>
        <v>8</v>
      </c>
      <c r="B18" s="77"/>
      <c r="C18" s="9" t="s">
        <v>186</v>
      </c>
      <c r="D18" s="9" t="s">
        <v>179</v>
      </c>
      <c r="E18" s="31" t="s">
        <v>62</v>
      </c>
      <c r="F18" s="32">
        <f t="shared" si="2"/>
        <v>2</v>
      </c>
      <c r="G18" s="12" t="s">
        <v>187</v>
      </c>
      <c r="H18" s="20">
        <v>9000</v>
      </c>
      <c r="AM18" s="23">
        <v>20</v>
      </c>
      <c r="AN18" s="15" t="s">
        <v>74</v>
      </c>
      <c r="AO18" s="25">
        <f>1/20</f>
        <v>0.05</v>
      </c>
    </row>
    <row r="19" spans="1:41">
      <c r="A19" s="8">
        <f t="shared" si="3"/>
        <v>9</v>
      </c>
      <c r="B19" s="77"/>
      <c r="C19" s="9" t="s">
        <v>188</v>
      </c>
      <c r="D19" s="9" t="s">
        <v>189</v>
      </c>
      <c r="E19" s="31" t="s">
        <v>62</v>
      </c>
      <c r="F19" s="32">
        <f t="shared" si="2"/>
        <v>2</v>
      </c>
      <c r="G19" s="12" t="s">
        <v>190</v>
      </c>
      <c r="H19" s="20">
        <v>2500</v>
      </c>
      <c r="AM19" s="23">
        <v>21</v>
      </c>
      <c r="AN19" s="15" t="s">
        <v>52</v>
      </c>
      <c r="AO19" s="25">
        <v>0</v>
      </c>
    </row>
    <row r="20" spans="1:41">
      <c r="A20" s="8">
        <f t="shared" si="3"/>
        <v>10</v>
      </c>
      <c r="B20" s="77"/>
      <c r="C20" s="9" t="s">
        <v>191</v>
      </c>
      <c r="D20" s="9" t="s">
        <v>171</v>
      </c>
      <c r="E20" s="31" t="s">
        <v>62</v>
      </c>
      <c r="F20" s="32">
        <f t="shared" si="2"/>
        <v>2</v>
      </c>
      <c r="G20" s="12" t="s">
        <v>192</v>
      </c>
      <c r="H20" s="20">
        <v>3600</v>
      </c>
      <c r="AM20" s="23">
        <v>22</v>
      </c>
      <c r="AN20" s="15"/>
      <c r="AO20" s="25"/>
    </row>
    <row r="21" spans="1:41">
      <c r="A21" s="8">
        <f t="shared" si="3"/>
        <v>11</v>
      </c>
      <c r="B21" s="77"/>
      <c r="C21" s="9" t="s">
        <v>193</v>
      </c>
      <c r="D21" s="9" t="s">
        <v>171</v>
      </c>
      <c r="E21" s="31" t="s">
        <v>62</v>
      </c>
      <c r="F21" s="32">
        <f t="shared" si="2"/>
        <v>2</v>
      </c>
      <c r="G21" s="12" t="s">
        <v>194</v>
      </c>
      <c r="H21" s="20">
        <v>8500</v>
      </c>
      <c r="AM21" s="23">
        <v>23</v>
      </c>
      <c r="AN21" s="15"/>
      <c r="AO21" s="25"/>
    </row>
    <row r="22" spans="1:41" ht="15.75" thickBot="1">
      <c r="A22" s="8">
        <f t="shared" si="3"/>
        <v>12</v>
      </c>
      <c r="B22" s="77"/>
      <c r="C22" s="9" t="s">
        <v>195</v>
      </c>
      <c r="D22" s="9" t="s">
        <v>179</v>
      </c>
      <c r="E22" s="31" t="s">
        <v>62</v>
      </c>
      <c r="F22" s="32">
        <f t="shared" si="2"/>
        <v>2</v>
      </c>
      <c r="G22" s="12" t="s">
        <v>198</v>
      </c>
      <c r="H22" s="20">
        <v>1200</v>
      </c>
      <c r="AM22" s="27">
        <v>24</v>
      </c>
      <c r="AN22" s="28"/>
      <c r="AO22" s="29">
        <v>0</v>
      </c>
    </row>
    <row r="23" spans="1:41">
      <c r="A23" s="8">
        <f t="shared" si="3"/>
        <v>13</v>
      </c>
      <c r="B23" s="77"/>
      <c r="C23" s="9" t="s">
        <v>196</v>
      </c>
      <c r="D23" s="9" t="s">
        <v>171</v>
      </c>
      <c r="E23" s="31" t="s">
        <v>62</v>
      </c>
      <c r="F23" s="32">
        <f t="shared" si="2"/>
        <v>2</v>
      </c>
      <c r="G23" s="12" t="s">
        <v>197</v>
      </c>
      <c r="H23" s="20">
        <v>1500</v>
      </c>
    </row>
    <row r="24" spans="1:41">
      <c r="A24" s="8">
        <f t="shared" si="3"/>
        <v>14</v>
      </c>
      <c r="B24" s="77"/>
      <c r="C24" s="9" t="s">
        <v>199</v>
      </c>
      <c r="D24" s="9" t="s">
        <v>200</v>
      </c>
      <c r="E24" s="31" t="s">
        <v>62</v>
      </c>
      <c r="F24" s="32">
        <f t="shared" si="2"/>
        <v>2</v>
      </c>
      <c r="G24" s="12" t="s">
        <v>201</v>
      </c>
      <c r="H24" s="20">
        <v>1700</v>
      </c>
    </row>
    <row r="25" spans="1:41">
      <c r="A25" s="8">
        <f t="shared" si="3"/>
        <v>15</v>
      </c>
      <c r="B25" s="77"/>
      <c r="C25" s="9" t="s">
        <v>202</v>
      </c>
      <c r="D25" s="9" t="s">
        <v>179</v>
      </c>
      <c r="E25" s="31" t="s">
        <v>62</v>
      </c>
      <c r="F25" s="32">
        <f t="shared" si="2"/>
        <v>2</v>
      </c>
      <c r="G25" s="12" t="s">
        <v>203</v>
      </c>
      <c r="H25" s="20">
        <v>12000</v>
      </c>
    </row>
    <row r="26" spans="1:41">
      <c r="A26" s="8">
        <f t="shared" si="3"/>
        <v>16</v>
      </c>
      <c r="B26" s="77"/>
      <c r="C26" s="9"/>
      <c r="D26" s="9"/>
      <c r="E26" s="31" t="s">
        <v>62</v>
      </c>
      <c r="F26" s="32">
        <f t="shared" si="2"/>
        <v>2</v>
      </c>
      <c r="G26" s="12"/>
      <c r="H26" s="20"/>
    </row>
    <row r="27" spans="1:41">
      <c r="A27" s="8">
        <f t="shared" si="3"/>
        <v>17</v>
      </c>
      <c r="B27" s="77"/>
      <c r="C27" s="9"/>
      <c r="D27" s="9"/>
      <c r="E27" s="31" t="s">
        <v>62</v>
      </c>
      <c r="F27" s="32">
        <f t="shared" si="2"/>
        <v>2</v>
      </c>
      <c r="G27" s="12"/>
      <c r="H27" s="20"/>
    </row>
    <row r="28" spans="1:41">
      <c r="A28" s="8">
        <f t="shared" si="3"/>
        <v>18</v>
      </c>
      <c r="B28" s="77"/>
      <c r="C28" s="9"/>
      <c r="D28" s="9"/>
      <c r="E28" s="31" t="s">
        <v>62</v>
      </c>
      <c r="F28" s="32">
        <f t="shared" si="2"/>
        <v>2</v>
      </c>
      <c r="G28" s="12"/>
      <c r="H28" s="20"/>
    </row>
    <row r="29" spans="1:41">
      <c r="A29" s="8">
        <f t="shared" si="3"/>
        <v>19</v>
      </c>
      <c r="B29" s="77"/>
      <c r="C29" s="9"/>
      <c r="D29" s="9"/>
      <c r="E29" s="31" t="s">
        <v>62</v>
      </c>
      <c r="F29" s="32">
        <f t="shared" si="2"/>
        <v>2</v>
      </c>
      <c r="G29" s="12"/>
      <c r="H29" s="20"/>
    </row>
    <row r="30" spans="1:41" s="8" customFormat="1" ht="15" customHeight="1">
      <c r="A30" s="8">
        <f t="shared" si="3"/>
        <v>20</v>
      </c>
      <c r="B30" s="78"/>
      <c r="C30" s="9"/>
      <c r="D30" s="9"/>
      <c r="E30" s="31" t="s">
        <v>62</v>
      </c>
      <c r="F30" s="32">
        <f t="shared" si="2"/>
        <v>2</v>
      </c>
      <c r="G30" s="12"/>
      <c r="H30" s="20"/>
      <c r="AM30"/>
      <c r="AN30"/>
      <c r="AO30"/>
    </row>
    <row r="31" spans="1:41" ht="15" customHeight="1">
      <c r="H31" s="22"/>
      <c r="AM31" s="30"/>
      <c r="AN31" s="30"/>
    </row>
    <row r="32" spans="1:41" ht="15" customHeight="1">
      <c r="H32" s="22"/>
      <c r="AM32" s="30"/>
      <c r="AN32" s="30"/>
    </row>
    <row r="33" spans="7:41" ht="15" customHeight="1">
      <c r="H33" s="22"/>
      <c r="AM33" s="30"/>
      <c r="AN33" s="30"/>
    </row>
    <row r="34" spans="7:41" ht="15" customHeight="1">
      <c r="H34" s="22"/>
      <c r="AM34" s="30"/>
      <c r="AN34" s="30"/>
    </row>
    <row r="35" spans="7:41" ht="15" customHeight="1">
      <c r="H35" s="22"/>
      <c r="AM35" s="30"/>
      <c r="AN35" s="30"/>
    </row>
    <row r="36" spans="7:41" ht="15" customHeight="1">
      <c r="H36" s="22"/>
      <c r="AM36" s="30"/>
      <c r="AN36" s="30"/>
    </row>
    <row r="37" spans="7:41" ht="15" customHeight="1">
      <c r="H37" s="22"/>
      <c r="AM37" s="30"/>
      <c r="AN37" s="30"/>
    </row>
    <row r="38" spans="7:41" ht="15" customHeight="1">
      <c r="H38" s="22"/>
      <c r="AM38" s="30"/>
      <c r="AN38" s="30"/>
    </row>
    <row r="39" spans="7:41" ht="15" customHeight="1">
      <c r="H39" s="22"/>
      <c r="AM39" s="30"/>
      <c r="AN39" s="30"/>
    </row>
    <row r="40" spans="7:41" s="3" customFormat="1" ht="15" customHeight="1">
      <c r="G40" s="10"/>
      <c r="H40" s="22"/>
      <c r="I40" s="1"/>
      <c r="J40" s="1"/>
      <c r="K40" s="1"/>
      <c r="L40" s="1"/>
      <c r="AM40" s="30"/>
      <c r="AN40" s="30"/>
      <c r="AO40"/>
    </row>
    <row r="41" spans="7:41" s="3" customFormat="1" ht="15" customHeight="1">
      <c r="G41" s="10"/>
      <c r="H41" s="22"/>
      <c r="I41" s="1"/>
      <c r="J41" s="1"/>
      <c r="K41" s="1"/>
      <c r="L41" s="1"/>
      <c r="AM41" s="30"/>
      <c r="AN41" s="30"/>
      <c r="AO41"/>
    </row>
    <row r="42" spans="7:41" s="3" customFormat="1" ht="15" customHeight="1">
      <c r="G42" s="10"/>
      <c r="H42" s="22"/>
      <c r="I42" s="1"/>
      <c r="J42" s="1"/>
      <c r="K42" s="1"/>
      <c r="L42" s="1"/>
      <c r="AM42"/>
      <c r="AN42"/>
      <c r="AO42"/>
    </row>
    <row r="43" spans="7:41" s="3" customFormat="1" ht="15" customHeight="1">
      <c r="G43" s="10"/>
      <c r="H43" s="22"/>
      <c r="I43" s="1"/>
      <c r="J43" s="1"/>
      <c r="K43" s="1"/>
      <c r="L43" s="1"/>
      <c r="AM43"/>
      <c r="AN43"/>
      <c r="AO43"/>
    </row>
    <row r="44" spans="7:41" s="3" customFormat="1" ht="15" customHeight="1">
      <c r="G44" s="10"/>
      <c r="H44" s="22"/>
      <c r="I44" s="1"/>
      <c r="J44" s="1"/>
      <c r="K44" s="1"/>
      <c r="L44" s="1"/>
      <c r="AM44"/>
      <c r="AN44"/>
      <c r="AO44"/>
    </row>
    <row r="45" spans="7:41" s="3" customFormat="1" ht="15" customHeight="1">
      <c r="G45" s="10"/>
      <c r="H45" s="22"/>
      <c r="I45" s="1"/>
      <c r="J45" s="1"/>
      <c r="K45" s="1"/>
      <c r="L45" s="1"/>
      <c r="AM45"/>
      <c r="AN45"/>
      <c r="AO45"/>
    </row>
    <row r="46" spans="7:41" s="3" customFormat="1" ht="15" customHeight="1">
      <c r="G46" s="10"/>
      <c r="H46" s="22"/>
      <c r="I46" s="1"/>
      <c r="J46" s="1"/>
      <c r="K46" s="1"/>
      <c r="L46" s="1"/>
      <c r="AM46"/>
      <c r="AN46"/>
      <c r="AO46"/>
    </row>
    <row r="47" spans="7:41" s="3" customFormat="1" ht="15" customHeight="1">
      <c r="G47" s="10"/>
      <c r="H47" s="22"/>
      <c r="I47" s="1"/>
      <c r="J47" s="1"/>
      <c r="K47" s="1"/>
      <c r="L47" s="1"/>
      <c r="AM47"/>
      <c r="AN47"/>
      <c r="AO47"/>
    </row>
    <row r="48" spans="7:41" s="3" customFormat="1" ht="15" customHeight="1">
      <c r="G48" s="10"/>
      <c r="H48" s="2"/>
      <c r="I48" s="1"/>
      <c r="J48" s="1"/>
      <c r="K48" s="1"/>
      <c r="L48" s="1"/>
      <c r="AM48"/>
      <c r="AN48"/>
      <c r="AO48"/>
    </row>
    <row r="49" spans="7:41" s="3" customFormat="1" ht="15" customHeight="1">
      <c r="G49" s="10"/>
      <c r="H49" s="2"/>
      <c r="I49" s="1"/>
      <c r="J49" s="1"/>
      <c r="K49" s="1"/>
      <c r="L49" s="1"/>
      <c r="AM49"/>
      <c r="AN49"/>
      <c r="AO49"/>
    </row>
    <row r="50" spans="7:41" s="3" customFormat="1" ht="15" customHeight="1">
      <c r="G50" s="10"/>
      <c r="H50" s="2"/>
      <c r="I50" s="1"/>
      <c r="J50" s="1"/>
      <c r="K50" s="1"/>
      <c r="L50" s="1"/>
      <c r="AM50"/>
      <c r="AN50"/>
      <c r="AO50"/>
    </row>
    <row r="51" spans="7:41" s="3" customFormat="1" ht="15" customHeight="1">
      <c r="G51" s="10"/>
      <c r="H51" s="2"/>
      <c r="I51" s="1"/>
      <c r="J51" s="1"/>
      <c r="K51" s="1"/>
      <c r="L51" s="1"/>
      <c r="AM51"/>
      <c r="AN51"/>
      <c r="AO51"/>
    </row>
    <row r="52" spans="7:41" s="3" customFormat="1" ht="15" customHeight="1">
      <c r="G52" s="10"/>
      <c r="H52" s="2"/>
      <c r="I52" s="1"/>
      <c r="J52" s="1"/>
      <c r="K52" s="1"/>
      <c r="L52" s="1"/>
      <c r="AM52"/>
      <c r="AN52"/>
      <c r="AO52"/>
    </row>
    <row r="53" spans="7:41" s="3" customFormat="1" ht="15" customHeight="1">
      <c r="G53" s="10"/>
      <c r="H53" s="2"/>
      <c r="I53" s="1"/>
      <c r="J53" s="1"/>
      <c r="K53" s="1"/>
      <c r="L53" s="1"/>
      <c r="AM53"/>
      <c r="AN53"/>
      <c r="AO53"/>
    </row>
    <row r="54" spans="7:41" s="3" customFormat="1" ht="15" customHeight="1">
      <c r="G54" s="10"/>
      <c r="H54" s="2"/>
      <c r="I54" s="1"/>
      <c r="J54" s="1"/>
      <c r="K54" s="1"/>
      <c r="L54" s="1"/>
      <c r="AM54"/>
      <c r="AN54"/>
      <c r="AO54"/>
    </row>
    <row r="55" spans="7:41" s="3" customFormat="1" ht="15" customHeight="1">
      <c r="G55" s="10"/>
      <c r="H55" s="2"/>
      <c r="I55" s="1"/>
      <c r="J55" s="1"/>
      <c r="K55" s="1"/>
      <c r="L55" s="1"/>
      <c r="AM55"/>
      <c r="AN55"/>
      <c r="AO55"/>
    </row>
    <row r="56" spans="7:41" ht="15" customHeight="1"/>
    <row r="57" spans="7:41" ht="15" customHeight="1"/>
    <row r="58" spans="7:41" ht="15" customHeight="1"/>
    <row r="60" spans="7:41" ht="15.75" thickBot="1"/>
    <row r="61" spans="7:41" ht="18.75" thickBot="1">
      <c r="H61" s="18"/>
    </row>
    <row r="62" spans="7:41">
      <c r="H62" s="5"/>
    </row>
    <row r="63" spans="7:41">
      <c r="H63" s="5"/>
    </row>
    <row r="64" spans="7:41">
      <c r="H64" s="5"/>
    </row>
    <row r="65" spans="8:8">
      <c r="H65" s="5"/>
    </row>
    <row r="66" spans="8:8">
      <c r="H66" s="5"/>
    </row>
    <row r="67" spans="8:8">
      <c r="H67" s="5"/>
    </row>
    <row r="68" spans="8:8">
      <c r="H68" s="4"/>
    </row>
    <row r="69" spans="8:8">
      <c r="H69" s="5"/>
    </row>
    <row r="70" spans="8:8">
      <c r="H70" s="5"/>
    </row>
    <row r="71" spans="8:8">
      <c r="H71" s="5"/>
    </row>
    <row r="72" spans="8:8">
      <c r="H72" s="5"/>
    </row>
    <row r="73" spans="8:8">
      <c r="H73" s="5"/>
    </row>
    <row r="74" spans="8:8">
      <c r="H74" s="5"/>
    </row>
    <row r="75" spans="8:8">
      <c r="H75" s="5"/>
    </row>
    <row r="76" spans="8:8">
      <c r="H76" s="5"/>
    </row>
    <row r="77" spans="8:8">
      <c r="H77" s="5"/>
    </row>
    <row r="78" spans="8:8">
      <c r="H78" s="5"/>
    </row>
    <row r="79" spans="8:8">
      <c r="H79" s="5"/>
    </row>
    <row r="80" spans="8:8">
      <c r="H80" s="5"/>
    </row>
    <row r="81" spans="8:8">
      <c r="H81" s="5"/>
    </row>
    <row r="82" spans="8:8">
      <c r="H82" s="5"/>
    </row>
  </sheetData>
  <protectedRanges>
    <protectedRange sqref="E4:E9 E11:E30" name="Ingreso"/>
  </protectedRanges>
  <mergeCells count="3">
    <mergeCell ref="D2:G2"/>
    <mergeCell ref="B4:B9"/>
    <mergeCell ref="B11:B30"/>
  </mergeCells>
  <conditionalFormatting sqref="F4">
    <cfRule type="cellIs" dxfId="6" priority="5" stopIfTrue="1" operator="equal">
      <formula>0</formula>
    </cfRule>
  </conditionalFormatting>
  <conditionalFormatting sqref="F5:F9">
    <cfRule type="cellIs" dxfId="5" priority="4" stopIfTrue="1" operator="equal">
      <formula>0</formula>
    </cfRule>
  </conditionalFormatting>
  <conditionalFormatting sqref="F11:F30">
    <cfRule type="cellIs" dxfId="4" priority="3" stopIfTrue="1" operator="equal">
      <formula>0</formula>
    </cfRule>
  </conditionalFormatting>
  <dataValidations disablePrompts="1" count="1">
    <dataValidation type="list" allowBlank="1" showInputMessage="1" showErrorMessage="1" error="Por favor especifique &quot;Otro&quot; y en la siguiente columna especifíquelo" sqref="E4:E9 E11:E30">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outlinePr summaryBelow="0"/>
  </sheetPr>
  <dimension ref="A1:AO105"/>
  <sheetViews>
    <sheetView showGridLines="0" zoomScale="98" zoomScaleNormal="98" zoomScaleSheetLayoutView="82" workbookViewId="0">
      <pane xSplit="2" ySplit="3" topLeftCell="C4" activePane="bottomRight" state="frozen"/>
      <selection pane="topRight" activeCell="D1" sqref="D1"/>
      <selection pane="bottomLeft" activeCell="A17" sqref="A17"/>
      <selection pane="bottomRight" activeCell="C6" sqref="C6"/>
    </sheetView>
  </sheetViews>
  <sheetFormatPr baseColWidth="10" defaultColWidth="11.375" defaultRowHeight="15"/>
  <cols>
    <col min="1" max="1" width="4.375" style="1" customWidth="1"/>
    <col min="2" max="2" width="6.875" style="3" customWidth="1"/>
    <col min="3" max="3" width="35.75" style="3" customWidth="1"/>
    <col min="4" max="4" width="8.125" style="3" customWidth="1"/>
    <col min="5" max="5" width="10.625" style="3" customWidth="1"/>
    <col min="6" max="6" width="5.625" style="3" bestFit="1" customWidth="1"/>
    <col min="7" max="7" width="45.75" style="10" customWidth="1"/>
    <col min="8" max="8" width="17.375" style="2" customWidth="1"/>
    <col min="9" max="9" width="8.125" style="1" bestFit="1" customWidth="1"/>
    <col min="10" max="38" width="11.375" style="1"/>
    <col min="39" max="39" width="2.375" bestFit="1" customWidth="1"/>
    <col min="40" max="40" width="10.75" bestFit="1" customWidth="1"/>
    <col min="41" max="41" width="3.625" bestFit="1" customWidth="1"/>
    <col min="42" max="16384" width="11.375" style="1"/>
  </cols>
  <sheetData>
    <row r="1" spans="1:41" ht="10.5" customHeight="1">
      <c r="AM1" s="23">
        <v>2</v>
      </c>
      <c r="AN1" s="15" t="s">
        <v>57</v>
      </c>
      <c r="AO1" s="24">
        <v>52</v>
      </c>
    </row>
    <row r="2" spans="1:41" ht="54.75" customHeight="1">
      <c r="B2" s="42"/>
      <c r="C2" s="45" t="s">
        <v>83</v>
      </c>
      <c r="D2" s="91" t="s">
        <v>79</v>
      </c>
      <c r="E2" s="92"/>
      <c r="F2" s="92"/>
      <c r="G2" s="93"/>
      <c r="H2" s="46" t="s">
        <v>84</v>
      </c>
      <c r="AM2" s="23">
        <v>4</v>
      </c>
      <c r="AN2" s="15" t="s">
        <v>58</v>
      </c>
      <c r="AO2" s="25">
        <v>12</v>
      </c>
    </row>
    <row r="3" spans="1:41" ht="44.25" customHeight="1">
      <c r="B3" s="19">
        <v>1</v>
      </c>
      <c r="C3" s="6">
        <v>0</v>
      </c>
      <c r="D3" s="13" t="s">
        <v>53</v>
      </c>
      <c r="E3" s="13" t="s">
        <v>56</v>
      </c>
      <c r="F3" s="13" t="s">
        <v>75</v>
      </c>
      <c r="G3" s="13" t="s">
        <v>45</v>
      </c>
      <c r="H3" s="11" t="s">
        <v>55</v>
      </c>
      <c r="AM3" s="23">
        <v>5</v>
      </c>
      <c r="AN3" s="15" t="s">
        <v>59</v>
      </c>
      <c r="AO3" s="25">
        <f>12/2</f>
        <v>6</v>
      </c>
    </row>
    <row r="4" spans="1:41" s="8" customFormat="1" ht="12.75" customHeight="1">
      <c r="A4" s="8">
        <v>1</v>
      </c>
      <c r="B4" s="83" t="s">
        <v>46</v>
      </c>
      <c r="C4" s="9" t="s">
        <v>47</v>
      </c>
      <c r="D4" s="9"/>
      <c r="E4" s="31" t="s">
        <v>59</v>
      </c>
      <c r="F4" s="32">
        <f t="shared" ref="F4:F9" si="0">VLOOKUP(E4,$AN$1:$AO$22,2,FALSE)</f>
        <v>6</v>
      </c>
      <c r="G4" s="12"/>
      <c r="H4" s="20"/>
      <c r="AM4" s="23">
        <v>6</v>
      </c>
      <c r="AN4" s="15" t="s">
        <v>60</v>
      </c>
      <c r="AO4" s="25">
        <f>12/3</f>
        <v>4</v>
      </c>
    </row>
    <row r="5" spans="1:41" s="8" customFormat="1">
      <c r="A5" s="8">
        <f>A4+1</f>
        <v>2</v>
      </c>
      <c r="B5" s="84"/>
      <c r="C5" s="9" t="s">
        <v>48</v>
      </c>
      <c r="D5" s="9"/>
      <c r="E5" s="31" t="s">
        <v>58</v>
      </c>
      <c r="F5" s="32">
        <f t="shared" si="0"/>
        <v>12</v>
      </c>
      <c r="G5" s="12"/>
      <c r="H5" s="20"/>
      <c r="AM5" s="23">
        <v>7</v>
      </c>
      <c r="AN5" s="15" t="s">
        <v>61</v>
      </c>
      <c r="AO5" s="26">
        <f>12/4</f>
        <v>3</v>
      </c>
    </row>
    <row r="6" spans="1:41" s="8" customFormat="1">
      <c r="A6" s="8">
        <f t="shared" ref="A6:A9" si="1">A5+1</f>
        <v>3</v>
      </c>
      <c r="B6" s="84"/>
      <c r="C6" s="9" t="s">
        <v>49</v>
      </c>
      <c r="D6" s="9"/>
      <c r="E6" s="31" t="s">
        <v>58</v>
      </c>
      <c r="F6" s="32">
        <f t="shared" si="0"/>
        <v>12</v>
      </c>
      <c r="G6" s="12"/>
      <c r="H6" s="20"/>
      <c r="AM6" s="23">
        <v>8</v>
      </c>
      <c r="AN6" s="15" t="s">
        <v>62</v>
      </c>
      <c r="AO6" s="25">
        <f>12/6</f>
        <v>2</v>
      </c>
    </row>
    <row r="7" spans="1:41" s="8" customFormat="1">
      <c r="A7" s="8">
        <f t="shared" si="1"/>
        <v>4</v>
      </c>
      <c r="B7" s="84"/>
      <c r="C7" s="9" t="s">
        <v>50</v>
      </c>
      <c r="D7" s="9"/>
      <c r="E7" s="31" t="s">
        <v>58</v>
      </c>
      <c r="F7" s="32">
        <f t="shared" si="0"/>
        <v>12</v>
      </c>
      <c r="G7" s="12"/>
      <c r="H7" s="20"/>
      <c r="AM7" s="23">
        <v>9</v>
      </c>
      <c r="AN7" s="15" t="s">
        <v>63</v>
      </c>
      <c r="AO7" s="24">
        <f>12/7</f>
        <v>1.7142857142857142</v>
      </c>
    </row>
    <row r="8" spans="1:41" s="8" customFormat="1">
      <c r="A8" s="8">
        <f t="shared" si="1"/>
        <v>5</v>
      </c>
      <c r="B8" s="84"/>
      <c r="C8" s="9" t="s">
        <v>51</v>
      </c>
      <c r="D8" s="9"/>
      <c r="E8" s="31" t="s">
        <v>58</v>
      </c>
      <c r="F8" s="32">
        <f t="shared" si="0"/>
        <v>12</v>
      </c>
      <c r="G8" s="12"/>
      <c r="H8" s="20"/>
      <c r="AM8" s="23">
        <v>10</v>
      </c>
      <c r="AN8" s="15" t="s">
        <v>64</v>
      </c>
      <c r="AO8" s="24">
        <f>12/8</f>
        <v>1.5</v>
      </c>
    </row>
    <row r="9" spans="1:41" s="8" customFormat="1">
      <c r="A9" s="8">
        <f t="shared" si="1"/>
        <v>6</v>
      </c>
      <c r="B9" s="85"/>
      <c r="C9" s="9" t="s">
        <v>52</v>
      </c>
      <c r="D9" s="9"/>
      <c r="E9" s="31" t="s">
        <v>58</v>
      </c>
      <c r="F9" s="32">
        <f t="shared" si="0"/>
        <v>12</v>
      </c>
      <c r="G9" s="12"/>
      <c r="H9" s="20"/>
      <c r="AM9" s="23">
        <v>11</v>
      </c>
      <c r="AN9" s="15" t="s">
        <v>65</v>
      </c>
      <c r="AO9" s="24">
        <f>12/9</f>
        <v>1.3333333333333333</v>
      </c>
    </row>
    <row r="10" spans="1:41" ht="33" customHeight="1">
      <c r="B10" s="19">
        <v>2</v>
      </c>
      <c r="C10" s="6">
        <v>0</v>
      </c>
      <c r="D10" s="13" t="s">
        <v>53</v>
      </c>
      <c r="E10" s="13" t="s">
        <v>56</v>
      </c>
      <c r="F10" s="13"/>
      <c r="G10" s="13" t="s">
        <v>45</v>
      </c>
      <c r="H10" s="11" t="s">
        <v>55</v>
      </c>
      <c r="AM10" s="23">
        <v>12</v>
      </c>
      <c r="AN10" s="15" t="s">
        <v>66</v>
      </c>
      <c r="AO10" s="24">
        <f>12/10</f>
        <v>1.2</v>
      </c>
    </row>
    <row r="11" spans="1:41" ht="12.75" customHeight="1">
      <c r="A11" s="8">
        <v>1</v>
      </c>
      <c r="B11" s="76" t="s">
        <v>76</v>
      </c>
      <c r="C11" s="9"/>
      <c r="D11" s="9"/>
      <c r="E11" s="31" t="s">
        <v>58</v>
      </c>
      <c r="F11" s="32">
        <f t="shared" ref="F11:F30" si="2">VLOOKUP(E11,$AN$1:$AO$22,2,FALSE)</f>
        <v>12</v>
      </c>
      <c r="G11" s="12"/>
      <c r="H11" s="20"/>
      <c r="AM11" s="23">
        <v>13</v>
      </c>
      <c r="AN11" s="15" t="s">
        <v>67</v>
      </c>
      <c r="AO11" s="24">
        <f>12/11</f>
        <v>1.0909090909090908</v>
      </c>
    </row>
    <row r="12" spans="1:41">
      <c r="A12" s="8">
        <f>A11+1</f>
        <v>2</v>
      </c>
      <c r="B12" s="77"/>
      <c r="C12" s="9"/>
      <c r="D12" s="9"/>
      <c r="E12" s="31" t="s">
        <v>58</v>
      </c>
      <c r="F12" s="32">
        <f t="shared" si="2"/>
        <v>12</v>
      </c>
      <c r="G12" s="12"/>
      <c r="H12" s="20"/>
      <c r="AM12" s="23">
        <v>14</v>
      </c>
      <c r="AN12" s="15" t="s">
        <v>68</v>
      </c>
      <c r="AO12" s="25">
        <f>12/12</f>
        <v>1</v>
      </c>
    </row>
    <row r="13" spans="1:41">
      <c r="A13" s="8">
        <f t="shared" ref="A13:A30" si="3">A12+1</f>
        <v>3</v>
      </c>
      <c r="B13" s="77"/>
      <c r="C13" s="9"/>
      <c r="D13" s="9"/>
      <c r="E13" s="31" t="s">
        <v>58</v>
      </c>
      <c r="F13" s="32">
        <f t="shared" si="2"/>
        <v>12</v>
      </c>
      <c r="G13" s="12"/>
      <c r="H13" s="20"/>
      <c r="AM13" s="23">
        <v>15</v>
      </c>
      <c r="AN13" s="15" t="s">
        <v>69</v>
      </c>
      <c r="AO13" s="24">
        <f>1/2</f>
        <v>0.5</v>
      </c>
    </row>
    <row r="14" spans="1:41">
      <c r="A14" s="8">
        <f t="shared" si="3"/>
        <v>4</v>
      </c>
      <c r="B14" s="77"/>
      <c r="C14" s="9"/>
      <c r="D14" s="9"/>
      <c r="E14" s="31" t="s">
        <v>58</v>
      </c>
      <c r="F14" s="32">
        <f t="shared" si="2"/>
        <v>12</v>
      </c>
      <c r="G14" s="12"/>
      <c r="H14" s="20"/>
      <c r="AM14" s="23">
        <v>16</v>
      </c>
      <c r="AN14" s="15" t="s">
        <v>70</v>
      </c>
      <c r="AO14" s="24">
        <f>1/3</f>
        <v>0.33333333333333331</v>
      </c>
    </row>
    <row r="15" spans="1:41">
      <c r="A15" s="8">
        <f t="shared" si="3"/>
        <v>5</v>
      </c>
      <c r="B15" s="77"/>
      <c r="C15" s="9"/>
      <c r="D15" s="9"/>
      <c r="E15" s="31" t="s">
        <v>58</v>
      </c>
      <c r="F15" s="32">
        <f t="shared" si="2"/>
        <v>12</v>
      </c>
      <c r="G15" s="12"/>
      <c r="H15" s="20"/>
      <c r="AM15" s="23">
        <v>17</v>
      </c>
      <c r="AN15" s="15" t="s">
        <v>71</v>
      </c>
      <c r="AO15" s="24">
        <f>1/4</f>
        <v>0.25</v>
      </c>
    </row>
    <row r="16" spans="1:41">
      <c r="A16" s="8">
        <f t="shared" si="3"/>
        <v>6</v>
      </c>
      <c r="B16" s="77"/>
      <c r="C16" s="9"/>
      <c r="D16" s="9"/>
      <c r="E16" s="31" t="s">
        <v>58</v>
      </c>
      <c r="F16" s="32">
        <f t="shared" si="2"/>
        <v>12</v>
      </c>
      <c r="G16" s="12"/>
      <c r="H16" s="20"/>
      <c r="AM16" s="23">
        <v>18</v>
      </c>
      <c r="AN16" s="15" t="s">
        <v>72</v>
      </c>
      <c r="AO16" s="24">
        <f>1/5</f>
        <v>0.2</v>
      </c>
    </row>
    <row r="17" spans="1:41">
      <c r="A17" s="8">
        <f t="shared" si="3"/>
        <v>7</v>
      </c>
      <c r="B17" s="77"/>
      <c r="C17" s="9"/>
      <c r="D17" s="9"/>
      <c r="E17" s="31" t="s">
        <v>58</v>
      </c>
      <c r="F17" s="32">
        <f t="shared" si="2"/>
        <v>12</v>
      </c>
      <c r="G17" s="12"/>
      <c r="H17" s="20"/>
      <c r="AM17" s="23">
        <v>19</v>
      </c>
      <c r="AN17" s="15" t="s">
        <v>73</v>
      </c>
      <c r="AO17" s="24">
        <f>1/10</f>
        <v>0.1</v>
      </c>
    </row>
    <row r="18" spans="1:41">
      <c r="A18" s="8">
        <f t="shared" si="3"/>
        <v>8</v>
      </c>
      <c r="B18" s="77"/>
      <c r="C18" s="9"/>
      <c r="D18" s="9"/>
      <c r="E18" s="31" t="s">
        <v>58</v>
      </c>
      <c r="F18" s="32">
        <f t="shared" si="2"/>
        <v>12</v>
      </c>
      <c r="G18" s="12"/>
      <c r="H18" s="20"/>
      <c r="AM18" s="23">
        <v>20</v>
      </c>
      <c r="AN18" s="15" t="s">
        <v>74</v>
      </c>
      <c r="AO18" s="25">
        <f>1/20</f>
        <v>0.05</v>
      </c>
    </row>
    <row r="19" spans="1:41">
      <c r="A19" s="8">
        <f t="shared" si="3"/>
        <v>9</v>
      </c>
      <c r="B19" s="77"/>
      <c r="C19" s="9"/>
      <c r="D19" s="9"/>
      <c r="E19" s="31" t="s">
        <v>58</v>
      </c>
      <c r="F19" s="32">
        <f t="shared" si="2"/>
        <v>12</v>
      </c>
      <c r="G19" s="12"/>
      <c r="H19" s="20"/>
      <c r="AM19" s="23">
        <v>21</v>
      </c>
      <c r="AN19" s="15" t="s">
        <v>52</v>
      </c>
      <c r="AO19" s="25">
        <v>0</v>
      </c>
    </row>
    <row r="20" spans="1:41">
      <c r="A20" s="8">
        <f t="shared" si="3"/>
        <v>10</v>
      </c>
      <c r="B20" s="77"/>
      <c r="C20" s="9"/>
      <c r="D20" s="9"/>
      <c r="E20" s="31" t="s">
        <v>58</v>
      </c>
      <c r="F20" s="32">
        <f t="shared" si="2"/>
        <v>12</v>
      </c>
      <c r="G20" s="12"/>
      <c r="H20" s="20"/>
      <c r="AM20" s="23">
        <v>22</v>
      </c>
      <c r="AN20" s="15"/>
      <c r="AO20" s="25"/>
    </row>
    <row r="21" spans="1:41">
      <c r="A21" s="8">
        <f t="shared" si="3"/>
        <v>11</v>
      </c>
      <c r="B21" s="77"/>
      <c r="C21" s="9"/>
      <c r="D21" s="9"/>
      <c r="E21" s="31" t="s">
        <v>58</v>
      </c>
      <c r="F21" s="32">
        <f t="shared" si="2"/>
        <v>12</v>
      </c>
      <c r="G21" s="12"/>
      <c r="H21" s="20"/>
      <c r="AM21" s="23">
        <v>23</v>
      </c>
      <c r="AN21" s="15"/>
      <c r="AO21" s="25"/>
    </row>
    <row r="22" spans="1:41" ht="15.75" thickBot="1">
      <c r="A22" s="8">
        <f t="shared" si="3"/>
        <v>12</v>
      </c>
      <c r="B22" s="77"/>
      <c r="C22" s="9"/>
      <c r="D22" s="9"/>
      <c r="E22" s="31" t="s">
        <v>58</v>
      </c>
      <c r="F22" s="32">
        <f t="shared" si="2"/>
        <v>12</v>
      </c>
      <c r="G22" s="12"/>
      <c r="H22" s="20"/>
      <c r="AM22" s="27">
        <v>24</v>
      </c>
      <c r="AN22" s="28"/>
      <c r="AO22" s="29">
        <v>0</v>
      </c>
    </row>
    <row r="23" spans="1:41">
      <c r="A23" s="8">
        <f t="shared" si="3"/>
        <v>13</v>
      </c>
      <c r="B23" s="77"/>
      <c r="C23" s="9"/>
      <c r="D23" s="9"/>
      <c r="E23" s="31" t="s">
        <v>58</v>
      </c>
      <c r="F23" s="32">
        <f t="shared" si="2"/>
        <v>12</v>
      </c>
      <c r="G23" s="12"/>
      <c r="H23" s="20"/>
    </row>
    <row r="24" spans="1:41">
      <c r="A24" s="8">
        <f t="shared" si="3"/>
        <v>14</v>
      </c>
      <c r="B24" s="77"/>
      <c r="C24" s="9"/>
      <c r="D24" s="9"/>
      <c r="E24" s="31" t="s">
        <v>58</v>
      </c>
      <c r="F24" s="32">
        <f t="shared" si="2"/>
        <v>12</v>
      </c>
      <c r="G24" s="12"/>
      <c r="H24" s="20"/>
    </row>
    <row r="25" spans="1:41">
      <c r="A25" s="8">
        <f t="shared" si="3"/>
        <v>15</v>
      </c>
      <c r="B25" s="77"/>
      <c r="C25" s="9"/>
      <c r="D25" s="9"/>
      <c r="E25" s="31" t="s">
        <v>58</v>
      </c>
      <c r="F25" s="32">
        <f t="shared" si="2"/>
        <v>12</v>
      </c>
      <c r="G25" s="12"/>
      <c r="H25" s="20"/>
    </row>
    <row r="26" spans="1:41">
      <c r="A26" s="8">
        <f t="shared" si="3"/>
        <v>16</v>
      </c>
      <c r="B26" s="77"/>
      <c r="C26" s="9"/>
      <c r="D26" s="9"/>
      <c r="E26" s="31" t="s">
        <v>58</v>
      </c>
      <c r="F26" s="32">
        <f t="shared" si="2"/>
        <v>12</v>
      </c>
      <c r="G26" s="12"/>
      <c r="H26" s="20"/>
    </row>
    <row r="27" spans="1:41">
      <c r="A27" s="8">
        <f t="shared" si="3"/>
        <v>17</v>
      </c>
      <c r="B27" s="77"/>
      <c r="C27" s="9"/>
      <c r="D27" s="9"/>
      <c r="E27" s="31" t="s">
        <v>58</v>
      </c>
      <c r="F27" s="32">
        <f t="shared" si="2"/>
        <v>12</v>
      </c>
      <c r="G27" s="12"/>
      <c r="H27" s="20"/>
    </row>
    <row r="28" spans="1:41">
      <c r="A28" s="8">
        <f t="shared" si="3"/>
        <v>18</v>
      </c>
      <c r="B28" s="77"/>
      <c r="C28" s="9"/>
      <c r="D28" s="9"/>
      <c r="E28" s="31" t="s">
        <v>58</v>
      </c>
      <c r="F28" s="32">
        <f t="shared" si="2"/>
        <v>12</v>
      </c>
      <c r="G28" s="12"/>
      <c r="H28" s="20"/>
    </row>
    <row r="29" spans="1:41">
      <c r="A29" s="8">
        <f t="shared" si="3"/>
        <v>19</v>
      </c>
      <c r="B29" s="77"/>
      <c r="C29" s="9"/>
      <c r="D29" s="9"/>
      <c r="E29" s="31" t="s">
        <v>58</v>
      </c>
      <c r="F29" s="32">
        <f t="shared" si="2"/>
        <v>12</v>
      </c>
      <c r="G29" s="12"/>
      <c r="H29" s="20"/>
    </row>
    <row r="30" spans="1:41" s="8" customFormat="1" ht="15" customHeight="1">
      <c r="A30" s="8">
        <f t="shared" si="3"/>
        <v>20</v>
      </c>
      <c r="B30" s="78"/>
      <c r="C30" s="9"/>
      <c r="D30" s="9"/>
      <c r="E30" s="31" t="s">
        <v>58</v>
      </c>
      <c r="F30" s="32">
        <f t="shared" si="2"/>
        <v>12</v>
      </c>
      <c r="G30" s="12"/>
      <c r="H30" s="20"/>
      <c r="AM30"/>
      <c r="AN30"/>
      <c r="AO30"/>
    </row>
    <row r="31" spans="1:41" ht="38.25">
      <c r="B31" s="19">
        <v>3</v>
      </c>
      <c r="C31" s="6">
        <v>0</v>
      </c>
      <c r="D31" s="13" t="s">
        <v>53</v>
      </c>
      <c r="E31" s="13" t="s">
        <v>56</v>
      </c>
      <c r="F31" s="13"/>
      <c r="G31" s="13" t="s">
        <v>45</v>
      </c>
      <c r="H31" s="21" t="s">
        <v>55</v>
      </c>
    </row>
    <row r="32" spans="1:41" ht="12.75" customHeight="1">
      <c r="A32" s="8">
        <v>1</v>
      </c>
      <c r="B32" s="76" t="s">
        <v>78</v>
      </c>
      <c r="C32" s="9"/>
      <c r="D32" s="9"/>
      <c r="E32" s="31" t="s">
        <v>58</v>
      </c>
      <c r="F32" s="32">
        <f t="shared" ref="F32:F51" si="4">VLOOKUP(E32,$AN$1:$AO$22,2,FALSE)</f>
        <v>12</v>
      </c>
      <c r="G32" s="12"/>
      <c r="H32" s="20"/>
    </row>
    <row r="33" spans="1:8">
      <c r="A33" s="8">
        <f>A32+1</f>
        <v>2</v>
      </c>
      <c r="B33" s="77"/>
      <c r="C33" s="9"/>
      <c r="D33" s="9"/>
      <c r="E33" s="31" t="s">
        <v>58</v>
      </c>
      <c r="F33" s="32">
        <f t="shared" si="4"/>
        <v>12</v>
      </c>
      <c r="G33" s="12"/>
      <c r="H33" s="20"/>
    </row>
    <row r="34" spans="1:8">
      <c r="A34" s="8">
        <f t="shared" ref="A34:A51" si="5">A33+1</f>
        <v>3</v>
      </c>
      <c r="B34" s="77"/>
      <c r="C34" s="9"/>
      <c r="D34" s="9"/>
      <c r="E34" s="31" t="s">
        <v>58</v>
      </c>
      <c r="F34" s="32">
        <f t="shared" si="4"/>
        <v>12</v>
      </c>
      <c r="G34" s="12"/>
      <c r="H34" s="20"/>
    </row>
    <row r="35" spans="1:8">
      <c r="A35" s="8">
        <f t="shared" si="5"/>
        <v>4</v>
      </c>
      <c r="B35" s="77"/>
      <c r="C35" s="9"/>
      <c r="D35" s="9"/>
      <c r="E35" s="31" t="s">
        <v>58</v>
      </c>
      <c r="F35" s="32">
        <f t="shared" si="4"/>
        <v>12</v>
      </c>
      <c r="G35" s="12"/>
      <c r="H35" s="20"/>
    </row>
    <row r="36" spans="1:8">
      <c r="A36" s="8">
        <f t="shared" si="5"/>
        <v>5</v>
      </c>
      <c r="B36" s="77"/>
      <c r="C36" s="9"/>
      <c r="D36" s="9"/>
      <c r="E36" s="31" t="s">
        <v>58</v>
      </c>
      <c r="F36" s="32">
        <f t="shared" si="4"/>
        <v>12</v>
      </c>
      <c r="G36" s="12"/>
      <c r="H36" s="20"/>
    </row>
    <row r="37" spans="1:8">
      <c r="A37" s="8">
        <f t="shared" si="5"/>
        <v>6</v>
      </c>
      <c r="B37" s="77"/>
      <c r="C37" s="9"/>
      <c r="D37" s="9"/>
      <c r="E37" s="31" t="s">
        <v>58</v>
      </c>
      <c r="F37" s="32">
        <f t="shared" si="4"/>
        <v>12</v>
      </c>
      <c r="G37" s="12"/>
      <c r="H37" s="20"/>
    </row>
    <row r="38" spans="1:8">
      <c r="A38" s="8">
        <f t="shared" si="5"/>
        <v>7</v>
      </c>
      <c r="B38" s="77"/>
      <c r="C38" s="9"/>
      <c r="D38" s="9"/>
      <c r="E38" s="31" t="s">
        <v>58</v>
      </c>
      <c r="F38" s="32">
        <f t="shared" si="4"/>
        <v>12</v>
      </c>
      <c r="G38" s="12"/>
      <c r="H38" s="20"/>
    </row>
    <row r="39" spans="1:8">
      <c r="A39" s="8">
        <f t="shared" si="5"/>
        <v>8</v>
      </c>
      <c r="B39" s="77"/>
      <c r="C39" s="9"/>
      <c r="D39" s="9"/>
      <c r="E39" s="31" t="s">
        <v>58</v>
      </c>
      <c r="F39" s="32">
        <f t="shared" si="4"/>
        <v>12</v>
      </c>
      <c r="G39" s="12"/>
      <c r="H39" s="20"/>
    </row>
    <row r="40" spans="1:8">
      <c r="A40" s="8">
        <f t="shared" si="5"/>
        <v>9</v>
      </c>
      <c r="B40" s="77"/>
      <c r="C40" s="9"/>
      <c r="D40" s="9"/>
      <c r="E40" s="31" t="s">
        <v>58</v>
      </c>
      <c r="F40" s="32">
        <f t="shared" si="4"/>
        <v>12</v>
      </c>
      <c r="G40" s="12"/>
      <c r="H40" s="20"/>
    </row>
    <row r="41" spans="1:8">
      <c r="A41" s="8">
        <f t="shared" si="5"/>
        <v>10</v>
      </c>
      <c r="B41" s="77"/>
      <c r="C41" s="9"/>
      <c r="D41" s="9"/>
      <c r="E41" s="31" t="s">
        <v>58</v>
      </c>
      <c r="F41" s="32">
        <f t="shared" si="4"/>
        <v>12</v>
      </c>
      <c r="G41" s="12"/>
      <c r="H41" s="20"/>
    </row>
    <row r="42" spans="1:8">
      <c r="A42" s="8">
        <f t="shared" si="5"/>
        <v>11</v>
      </c>
      <c r="B42" s="77"/>
      <c r="C42" s="9"/>
      <c r="D42" s="9"/>
      <c r="E42" s="31" t="s">
        <v>58</v>
      </c>
      <c r="F42" s="32">
        <f t="shared" si="4"/>
        <v>12</v>
      </c>
      <c r="G42" s="12"/>
      <c r="H42" s="20"/>
    </row>
    <row r="43" spans="1:8">
      <c r="A43" s="8">
        <f t="shared" si="5"/>
        <v>12</v>
      </c>
      <c r="B43" s="77"/>
      <c r="C43" s="9"/>
      <c r="D43" s="9"/>
      <c r="E43" s="31" t="s">
        <v>58</v>
      </c>
      <c r="F43" s="32">
        <f t="shared" si="4"/>
        <v>12</v>
      </c>
      <c r="G43" s="12"/>
      <c r="H43" s="20"/>
    </row>
    <row r="44" spans="1:8">
      <c r="A44" s="8">
        <f t="shared" si="5"/>
        <v>13</v>
      </c>
      <c r="B44" s="77"/>
      <c r="C44" s="9"/>
      <c r="D44" s="9"/>
      <c r="E44" s="31" t="s">
        <v>58</v>
      </c>
      <c r="F44" s="32">
        <f t="shared" si="4"/>
        <v>12</v>
      </c>
      <c r="G44" s="12"/>
      <c r="H44" s="20"/>
    </row>
    <row r="45" spans="1:8">
      <c r="A45" s="8">
        <f t="shared" si="5"/>
        <v>14</v>
      </c>
      <c r="B45" s="77"/>
      <c r="C45" s="9"/>
      <c r="D45" s="9"/>
      <c r="E45" s="31" t="s">
        <v>58</v>
      </c>
      <c r="F45" s="32">
        <f t="shared" si="4"/>
        <v>12</v>
      </c>
      <c r="G45" s="12"/>
      <c r="H45" s="20"/>
    </row>
    <row r="46" spans="1:8">
      <c r="A46" s="8">
        <f t="shared" si="5"/>
        <v>15</v>
      </c>
      <c r="B46" s="77"/>
      <c r="C46" s="9"/>
      <c r="D46" s="9"/>
      <c r="E46" s="31" t="s">
        <v>58</v>
      </c>
      <c r="F46" s="32">
        <f t="shared" si="4"/>
        <v>12</v>
      </c>
      <c r="G46" s="12"/>
      <c r="H46" s="20"/>
    </row>
    <row r="47" spans="1:8">
      <c r="A47" s="8">
        <f t="shared" si="5"/>
        <v>16</v>
      </c>
      <c r="B47" s="77"/>
      <c r="C47" s="9"/>
      <c r="D47" s="9"/>
      <c r="E47" s="31" t="s">
        <v>58</v>
      </c>
      <c r="F47" s="32">
        <f t="shared" si="4"/>
        <v>12</v>
      </c>
      <c r="G47" s="12"/>
      <c r="H47" s="20"/>
    </row>
    <row r="48" spans="1:8">
      <c r="A48" s="8">
        <f t="shared" si="5"/>
        <v>17</v>
      </c>
      <c r="B48" s="77"/>
      <c r="C48" s="9"/>
      <c r="D48" s="9"/>
      <c r="E48" s="31" t="s">
        <v>58</v>
      </c>
      <c r="F48" s="32">
        <f t="shared" si="4"/>
        <v>12</v>
      </c>
      <c r="G48" s="12"/>
      <c r="H48" s="20"/>
    </row>
    <row r="49" spans="1:41">
      <c r="A49" s="8">
        <f t="shared" si="5"/>
        <v>18</v>
      </c>
      <c r="B49" s="77"/>
      <c r="C49" s="9"/>
      <c r="D49" s="9"/>
      <c r="E49" s="31" t="s">
        <v>58</v>
      </c>
      <c r="F49" s="32">
        <f t="shared" si="4"/>
        <v>12</v>
      </c>
      <c r="G49" s="12"/>
      <c r="H49" s="20"/>
    </row>
    <row r="50" spans="1:41">
      <c r="A50" s="8">
        <f t="shared" si="5"/>
        <v>19</v>
      </c>
      <c r="B50" s="77"/>
      <c r="C50" s="9"/>
      <c r="D50" s="9"/>
      <c r="E50" s="31" t="s">
        <v>58</v>
      </c>
      <c r="F50" s="32">
        <f t="shared" si="4"/>
        <v>12</v>
      </c>
      <c r="G50" s="12"/>
      <c r="H50" s="20"/>
    </row>
    <row r="51" spans="1:41" s="8" customFormat="1">
      <c r="A51" s="8">
        <f t="shared" si="5"/>
        <v>20</v>
      </c>
      <c r="B51" s="78"/>
      <c r="C51" s="9"/>
      <c r="D51" s="9"/>
      <c r="E51" s="31" t="s">
        <v>58</v>
      </c>
      <c r="F51" s="32">
        <f t="shared" si="4"/>
        <v>12</v>
      </c>
      <c r="G51" s="12"/>
      <c r="H51" s="20"/>
      <c r="AM51"/>
      <c r="AN51"/>
      <c r="AO51"/>
    </row>
    <row r="52" spans="1:41" ht="15" customHeight="1">
      <c r="H52" s="22"/>
    </row>
    <row r="53" spans="1:41" ht="15" customHeight="1">
      <c r="H53" s="22"/>
    </row>
    <row r="54" spans="1:41" ht="15" customHeight="1">
      <c r="H54" s="22"/>
      <c r="AM54" s="30"/>
      <c r="AN54" s="30"/>
    </row>
    <row r="55" spans="1:41" ht="15" customHeight="1">
      <c r="H55" s="22"/>
      <c r="AM55" s="30"/>
      <c r="AN55" s="30"/>
    </row>
    <row r="56" spans="1:41" ht="15" customHeight="1">
      <c r="H56" s="22"/>
      <c r="AM56" s="30"/>
      <c r="AN56" s="30"/>
    </row>
    <row r="57" spans="1:41" ht="15" customHeight="1">
      <c r="H57" s="22"/>
      <c r="AM57" s="30"/>
      <c r="AN57" s="30"/>
    </row>
    <row r="58" spans="1:41" ht="15" customHeight="1">
      <c r="H58" s="22"/>
      <c r="AM58" s="30"/>
      <c r="AN58" s="30"/>
    </row>
    <row r="59" spans="1:41" ht="15" customHeight="1">
      <c r="H59" s="22"/>
      <c r="AM59" s="30"/>
      <c r="AN59" s="30"/>
    </row>
    <row r="60" spans="1:41" ht="15" customHeight="1">
      <c r="H60" s="22"/>
      <c r="AM60" s="30"/>
      <c r="AN60" s="30"/>
    </row>
    <row r="61" spans="1:41" ht="15" customHeight="1">
      <c r="H61" s="22"/>
      <c r="AM61" s="30"/>
      <c r="AN61" s="30"/>
    </row>
    <row r="62" spans="1:41" ht="15" customHeight="1">
      <c r="H62" s="22"/>
      <c r="AM62" s="30"/>
      <c r="AN62" s="30"/>
    </row>
    <row r="63" spans="1:41" s="3" customFormat="1" ht="15" customHeight="1">
      <c r="G63" s="10"/>
      <c r="H63" s="22"/>
      <c r="I63" s="1"/>
      <c r="J63" s="1"/>
      <c r="K63" s="1"/>
      <c r="L63" s="1"/>
      <c r="AM63" s="30"/>
      <c r="AN63" s="30"/>
      <c r="AO63"/>
    </row>
    <row r="64" spans="1:41" s="3" customFormat="1" ht="15" customHeight="1">
      <c r="G64" s="10"/>
      <c r="H64" s="22"/>
      <c r="I64" s="1"/>
      <c r="J64" s="1"/>
      <c r="K64" s="1"/>
      <c r="L64" s="1"/>
      <c r="AM64" s="30"/>
      <c r="AN64" s="30"/>
      <c r="AO64"/>
    </row>
    <row r="65" spans="7:41" s="3" customFormat="1" ht="15" customHeight="1">
      <c r="G65" s="10"/>
      <c r="H65" s="22"/>
      <c r="I65" s="1"/>
      <c r="J65" s="1"/>
      <c r="K65" s="1"/>
      <c r="L65" s="1"/>
      <c r="AM65"/>
      <c r="AN65"/>
      <c r="AO65"/>
    </row>
    <row r="66" spans="7:41" s="3" customFormat="1" ht="15" customHeight="1">
      <c r="G66" s="10"/>
      <c r="H66" s="22"/>
      <c r="I66" s="1"/>
      <c r="J66" s="1"/>
      <c r="K66" s="1"/>
      <c r="L66" s="1"/>
      <c r="AM66"/>
      <c r="AN66"/>
      <c r="AO66"/>
    </row>
    <row r="67" spans="7:41" s="3" customFormat="1" ht="15" customHeight="1">
      <c r="G67" s="10"/>
      <c r="H67" s="22"/>
      <c r="I67" s="1"/>
      <c r="J67" s="1"/>
      <c r="K67" s="1"/>
      <c r="L67" s="1"/>
      <c r="AM67"/>
      <c r="AN67"/>
      <c r="AO67"/>
    </row>
    <row r="68" spans="7:41" s="3" customFormat="1" ht="15" customHeight="1">
      <c r="G68" s="10"/>
      <c r="H68" s="22"/>
      <c r="I68" s="1"/>
      <c r="J68" s="1"/>
      <c r="K68" s="1"/>
      <c r="L68" s="1"/>
      <c r="AM68"/>
      <c r="AN68"/>
      <c r="AO68"/>
    </row>
    <row r="69" spans="7:41" s="3" customFormat="1" ht="15" customHeight="1">
      <c r="G69" s="10"/>
      <c r="H69" s="22"/>
      <c r="I69" s="1"/>
      <c r="J69" s="1"/>
      <c r="K69" s="1"/>
      <c r="L69" s="1"/>
      <c r="AM69"/>
      <c r="AN69"/>
      <c r="AO69"/>
    </row>
    <row r="70" spans="7:41" s="3" customFormat="1" ht="15" customHeight="1">
      <c r="G70" s="10"/>
      <c r="H70" s="22"/>
      <c r="I70" s="1"/>
      <c r="J70" s="1"/>
      <c r="K70" s="1"/>
      <c r="L70" s="1"/>
      <c r="AM70"/>
      <c r="AN70"/>
      <c r="AO70"/>
    </row>
    <row r="71" spans="7:41" s="3" customFormat="1" ht="15" customHeight="1">
      <c r="G71" s="10"/>
      <c r="H71" s="2"/>
      <c r="I71" s="1"/>
      <c r="J71" s="1"/>
      <c r="K71" s="1"/>
      <c r="L71" s="1"/>
      <c r="AM71"/>
      <c r="AN71"/>
      <c r="AO71"/>
    </row>
    <row r="72" spans="7:41" s="3" customFormat="1" ht="15" customHeight="1">
      <c r="G72" s="10"/>
      <c r="H72" s="2"/>
      <c r="I72" s="1"/>
      <c r="J72" s="1"/>
      <c r="K72" s="1"/>
      <c r="L72" s="1"/>
      <c r="AM72"/>
      <c r="AN72"/>
      <c r="AO72"/>
    </row>
    <row r="73" spans="7:41" s="3" customFormat="1" ht="15" customHeight="1">
      <c r="G73" s="10"/>
      <c r="H73" s="2"/>
      <c r="I73" s="1"/>
      <c r="J73" s="1"/>
      <c r="K73" s="1"/>
      <c r="L73" s="1"/>
      <c r="AM73"/>
      <c r="AN73"/>
      <c r="AO73"/>
    </row>
    <row r="74" spans="7:41" s="3" customFormat="1" ht="15" customHeight="1">
      <c r="G74" s="10"/>
      <c r="H74" s="2"/>
      <c r="I74" s="1"/>
      <c r="J74" s="1"/>
      <c r="K74" s="1"/>
      <c r="L74" s="1"/>
      <c r="AM74"/>
      <c r="AN74"/>
      <c r="AO74"/>
    </row>
    <row r="75" spans="7:41" s="3" customFormat="1" ht="15" customHeight="1">
      <c r="G75" s="10"/>
      <c r="H75" s="2"/>
      <c r="I75" s="1"/>
      <c r="J75" s="1"/>
      <c r="K75" s="1"/>
      <c r="L75" s="1"/>
      <c r="AM75"/>
      <c r="AN75"/>
      <c r="AO75"/>
    </row>
    <row r="76" spans="7:41" s="3" customFormat="1" ht="15" customHeight="1">
      <c r="G76" s="10"/>
      <c r="H76" s="2"/>
      <c r="I76" s="1"/>
      <c r="J76" s="1"/>
      <c r="K76" s="1"/>
      <c r="L76" s="1"/>
      <c r="AM76"/>
      <c r="AN76"/>
      <c r="AO76"/>
    </row>
    <row r="77" spans="7:41" s="3" customFormat="1" ht="15" customHeight="1">
      <c r="G77" s="10"/>
      <c r="H77" s="2"/>
      <c r="I77" s="1"/>
      <c r="J77" s="1"/>
      <c r="K77" s="1"/>
      <c r="L77" s="1"/>
      <c r="AM77"/>
      <c r="AN77"/>
      <c r="AO77"/>
    </row>
    <row r="78" spans="7:41" s="3" customFormat="1" ht="15" customHeight="1">
      <c r="G78" s="10"/>
      <c r="H78" s="2"/>
      <c r="I78" s="1"/>
      <c r="J78" s="1"/>
      <c r="K78" s="1"/>
      <c r="L78" s="1"/>
      <c r="AM78"/>
      <c r="AN78"/>
      <c r="AO78"/>
    </row>
    <row r="79" spans="7:41" ht="15" customHeight="1"/>
    <row r="80" spans="7:41" ht="15" customHeight="1"/>
    <row r="81" spans="8:8" ht="15" customHeight="1"/>
    <row r="83" spans="8:8" ht="15.75" thickBot="1"/>
    <row r="84" spans="8:8" ht="18.75" thickBot="1">
      <c r="H84" s="18"/>
    </row>
    <row r="85" spans="8:8">
      <c r="H85" s="5"/>
    </row>
    <row r="86" spans="8:8">
      <c r="H86" s="5"/>
    </row>
    <row r="87" spans="8:8">
      <c r="H87" s="5"/>
    </row>
    <row r="88" spans="8:8">
      <c r="H88" s="5"/>
    </row>
    <row r="89" spans="8:8">
      <c r="H89" s="5"/>
    </row>
    <row r="90" spans="8:8">
      <c r="H90" s="5"/>
    </row>
    <row r="91" spans="8:8">
      <c r="H91" s="4"/>
    </row>
    <row r="92" spans="8:8">
      <c r="H92" s="5"/>
    </row>
    <row r="93" spans="8:8">
      <c r="H93" s="5"/>
    </row>
    <row r="94" spans="8:8">
      <c r="H94" s="5"/>
    </row>
    <row r="95" spans="8:8">
      <c r="H95" s="5"/>
    </row>
    <row r="96" spans="8:8">
      <c r="H96" s="5"/>
    </row>
    <row r="97" spans="8:8">
      <c r="H97" s="5"/>
    </row>
    <row r="98" spans="8:8">
      <c r="H98" s="5"/>
    </row>
    <row r="99" spans="8:8">
      <c r="H99" s="5"/>
    </row>
    <row r="100" spans="8:8">
      <c r="H100" s="5"/>
    </row>
    <row r="101" spans="8:8">
      <c r="H101" s="5"/>
    </row>
    <row r="102" spans="8:8">
      <c r="H102" s="5"/>
    </row>
    <row r="103" spans="8:8">
      <c r="H103" s="5"/>
    </row>
    <row r="104" spans="8:8">
      <c r="H104" s="5"/>
    </row>
    <row r="105" spans="8:8">
      <c r="H105" s="5"/>
    </row>
  </sheetData>
  <protectedRanges>
    <protectedRange sqref="E4:E9 E11:E30 E32:E51" name="Ingreso"/>
  </protectedRanges>
  <mergeCells count="4">
    <mergeCell ref="D2:G2"/>
    <mergeCell ref="B4:B9"/>
    <mergeCell ref="B11:B30"/>
    <mergeCell ref="B32:B51"/>
  </mergeCells>
  <conditionalFormatting sqref="F4">
    <cfRule type="cellIs" dxfId="3" priority="5" stopIfTrue="1" operator="equal">
      <formula>0</formula>
    </cfRule>
  </conditionalFormatting>
  <conditionalFormatting sqref="F5:F9">
    <cfRule type="cellIs" dxfId="2" priority="4" stopIfTrue="1" operator="equal">
      <formula>0</formula>
    </cfRule>
  </conditionalFormatting>
  <conditionalFormatting sqref="F11:F30">
    <cfRule type="cellIs" dxfId="1" priority="3" stopIfTrue="1" operator="equal">
      <formula>0</formula>
    </cfRule>
  </conditionalFormatting>
  <conditionalFormatting sqref="F32:F51">
    <cfRule type="cellIs" dxfId="0" priority="2" stopIfTrue="1" operator="equal">
      <formula>0</formula>
    </cfRule>
  </conditionalFormatting>
  <dataValidations count="1">
    <dataValidation type="list" allowBlank="1" showInputMessage="1" showErrorMessage="1" error="Por favor especifique &quot;Otro&quot; y en la siguiente columna especifíquelo" sqref="E4:E9 E11:E30 E32:E51">
      <formula1>$AN$1:$AN$22</formula1>
    </dataValidation>
  </dataValidations>
  <printOptions horizontalCentered="1" verticalCentered="1"/>
  <pageMargins left="0.74803149606299213" right="0.31496062992125984" top="0.70866141732283472" bottom="0.64" header="0.39370078740157483" footer="0.42"/>
  <pageSetup scale="48" orientation="portrait" r:id="rId1"/>
  <headerFooter alignWithMargins="0">
    <oddHeader>&amp;C&amp;"Arial,Negrita Cursiva"&amp;18LISTADO DE PRECIOS DE REFERENCIA - HOGARES DE BIENESTAR</oddHeader>
    <oddFooter>Página &amp;P de &amp;F</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1. Muestra a Realizar</vt:lpstr>
      <vt:lpstr>2. Mod. Inst. CDI, HI Y LP</vt:lpstr>
      <vt:lpstr>3. Servicios de HCB </vt:lpstr>
      <vt:lpstr>4. Mod. Familiar DIMF</vt:lpstr>
      <vt:lpstr>'2. Mod. Inst. CDI, HI Y LP'!Área_de_impresión</vt:lpstr>
      <vt:lpstr>'3. Servicios de HCB '!Área_de_impresión</vt:lpstr>
      <vt:lpstr>'4. Mod. Familiar DIMF'!Área_de_impresión</vt:lpstr>
      <vt:lpstr>'2. Mod. Inst. CDI, HI Y LP'!Títulos_a_imprimir</vt:lpstr>
      <vt:lpstr>'3. Servicios de HCB '!Títulos_a_imprimir</vt:lpstr>
      <vt:lpstr>'4. Mod. Familiar DIMF'!Títulos_a_imprimir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AndresMutis</dc:creator>
  <cp:lastModifiedBy>Robinson Hernan Parada Barajas</cp:lastModifiedBy>
  <cp:lastPrinted>2017-05-08T22:52:12Z</cp:lastPrinted>
  <dcterms:created xsi:type="dcterms:W3CDTF">2014-08-27T18:56:17Z</dcterms:created>
  <dcterms:modified xsi:type="dcterms:W3CDTF">2017-09-19T20:43:10Z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96 96 1366 768</vt:lpwstr>
  </property>
</Properties>
</file>