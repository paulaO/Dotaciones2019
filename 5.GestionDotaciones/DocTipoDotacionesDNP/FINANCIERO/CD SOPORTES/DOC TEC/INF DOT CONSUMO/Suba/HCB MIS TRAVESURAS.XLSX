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
    </mc:Choice>
  </mc:AlternateContent>
  <bookViews>
    <workbookView xWindow="0" yWindow="0" windowWidth="16530" windowHeight="6945" tabRatio="784" activeTab="2"/>
  </bookViews>
  <sheets>
    <sheet name="1. Muestra a Realizar" sheetId="7" r:id="rId1"/>
    <sheet name="2. Mod. Inst. CDI, HI Y LP" sheetId="1" r:id="rId2"/>
    <sheet name="3. Servicios de HCB " sheetId="9" r:id="rId3"/>
    <sheet name="4. Mod. Familiar DIMF" sheetId="10"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_INDEX_SHEET___ASAP_Utilities" localSheetId="1">#N/A</definedName>
    <definedName name="___INDEX_SHEET___ASAP_Utilities" localSheetId="2">#N/A</definedName>
    <definedName name="___INDEX_SHEET___ASAP_Utilities" localSheetId="3">#N/A</definedName>
    <definedName name="___INDEX_SHEET___ASAP_Utilities">#N/A</definedName>
    <definedName name="_AMAZONAS" localSheetId="1">#REF!</definedName>
    <definedName name="_AMAZONAS" localSheetId="2">#REF!</definedName>
    <definedName name="_AMAZONAS" localSheetId="3">#REF!</definedName>
    <definedName name="_AMAZONAS">#REF!</definedName>
    <definedName name="_amazonas_" localSheetId="1">#REF!</definedName>
    <definedName name="_amazonas_" localSheetId="2">#REF!</definedName>
    <definedName name="_amazonas_" localSheetId="3">#REF!</definedName>
    <definedName name="_amazonas_">#REF!</definedName>
    <definedName name="_ANTIOQUIA" localSheetId="1">#REF!</definedName>
    <definedName name="_ANTIOQUIA" localSheetId="2">#REF!</definedName>
    <definedName name="_ANTIOQUIA" localSheetId="3">#REF!</definedName>
    <definedName name="_ANTIOQUIA">#REF!</definedName>
    <definedName name="_ARAUCA" localSheetId="1">#REF!</definedName>
    <definedName name="_ARAUCA" localSheetId="2">#REF!</definedName>
    <definedName name="_ARAUCA" localSheetId="3">#REF!</definedName>
    <definedName name="_ARAUCA">#REF!</definedName>
    <definedName name="_ATLANTICO" localSheetId="1">#REF!</definedName>
    <definedName name="_ATLANTICO" localSheetId="2">#REF!</definedName>
    <definedName name="_ATLANTICO" localSheetId="3">#REF!</definedName>
    <definedName name="_ATLANTICO">#REF!</definedName>
    <definedName name="_BOGOTADC" localSheetId="1">#REF!</definedName>
    <definedName name="_BOGOTADC" localSheetId="2">#REF!</definedName>
    <definedName name="_BOGOTADC" localSheetId="3">#REF!</definedName>
    <definedName name="_BOGOTADC">#REF!</definedName>
    <definedName name="_BOLIVAR" localSheetId="1">#REF!</definedName>
    <definedName name="_BOLIVAR" localSheetId="2">#REF!</definedName>
    <definedName name="_BOLIVAR" localSheetId="3">#REF!</definedName>
    <definedName name="_BOLIVAR">#REF!</definedName>
    <definedName name="_BOYACA" localSheetId="1">#REF!</definedName>
    <definedName name="_BOYACA" localSheetId="2">#REF!</definedName>
    <definedName name="_BOYACA" localSheetId="3">#REF!</definedName>
    <definedName name="_BOYACA">#REF!</definedName>
    <definedName name="_CALDAS" localSheetId="1">#REF!</definedName>
    <definedName name="_CALDAS" localSheetId="2">#REF!</definedName>
    <definedName name="_CALDAS" localSheetId="3">#REF!</definedName>
    <definedName name="_CALDAS">#REF!</definedName>
    <definedName name="_CAQUETA" localSheetId="1">#REF!</definedName>
    <definedName name="_CAQUETA" localSheetId="2">#REF!</definedName>
    <definedName name="_CAQUETA" localSheetId="3">#REF!</definedName>
    <definedName name="_CAQUETA">#REF!</definedName>
    <definedName name="_CASANARE" localSheetId="1">#REF!</definedName>
    <definedName name="_CASANARE" localSheetId="2">#REF!</definedName>
    <definedName name="_CASANARE" localSheetId="3">#REF!</definedName>
    <definedName name="_CASANARE">#REF!</definedName>
    <definedName name="_CAUCA" localSheetId="1">#REF!</definedName>
    <definedName name="_CAUCA" localSheetId="2">#REF!</definedName>
    <definedName name="_CAUCA" localSheetId="3">#REF!</definedName>
    <definedName name="_CAUCA">#REF!</definedName>
    <definedName name="_CESAR" localSheetId="1">#REF!</definedName>
    <definedName name="_CESAR" localSheetId="2">#REF!</definedName>
    <definedName name="_CESAR" localSheetId="3">#REF!</definedName>
    <definedName name="_CESAR">#REF!</definedName>
    <definedName name="_CHOCO" localSheetId="1">#REF!</definedName>
    <definedName name="_CHOCO" localSheetId="2">#REF!</definedName>
    <definedName name="_CHOCO" localSheetId="3">#REF!</definedName>
    <definedName name="_CHOCO">#REF!</definedName>
    <definedName name="_CORDOBA" localSheetId="1">#REF!</definedName>
    <definedName name="_CORDOBA" localSheetId="2">#REF!</definedName>
    <definedName name="_CORDOBA" localSheetId="3">#REF!</definedName>
    <definedName name="_CORDOBA">#REF!</definedName>
    <definedName name="_CUNDINAMARCA" localSheetId="1">#REF!</definedName>
    <definedName name="_CUNDINAMARCA" localSheetId="2">#REF!</definedName>
    <definedName name="_CUNDINAMARCA" localSheetId="3">#REF!</definedName>
    <definedName name="_CUNDINAMARCA">#REF!</definedName>
    <definedName name="_xlnm._FilterDatabase" localSheetId="0" hidden="1">'1. Muestra a Realizar'!$A$2:$Q$36</definedName>
    <definedName name="_xlnm._FilterDatabase" localSheetId="1" hidden="1">'2. Mod. Inst. CDI, HI Y LP'!$B$4:$L$74</definedName>
    <definedName name="_xlnm._FilterDatabase" localSheetId="2" hidden="1">'3. Servicios de HCB '!$B$4:$L$30</definedName>
    <definedName name="_xlnm._FilterDatabase" localSheetId="3" hidden="1">'4. Mod. Familiar DIMF'!$B$4:$L$51</definedName>
    <definedName name="_GUAINIA" localSheetId="1">#REF!</definedName>
    <definedName name="_GUAINIA" localSheetId="2">#REF!</definedName>
    <definedName name="_GUAINIA" localSheetId="3">#REF!</definedName>
    <definedName name="_GUAINIA">#REF!</definedName>
    <definedName name="_GUAVIARE" localSheetId="1">#REF!</definedName>
    <definedName name="_GUAVIARE" localSheetId="2">#REF!</definedName>
    <definedName name="_GUAVIARE" localSheetId="3">#REF!</definedName>
    <definedName name="_GUAVIARE">#REF!</definedName>
    <definedName name="_HUILA" localSheetId="1">#REF!</definedName>
    <definedName name="_HUILA" localSheetId="2">#REF!</definedName>
    <definedName name="_HUILA" localSheetId="3">#REF!</definedName>
    <definedName name="_HUILA">#REF!</definedName>
    <definedName name="_LAGUAJIRA" localSheetId="1">#REF!</definedName>
    <definedName name="_LAGUAJIRA" localSheetId="2">#REF!</definedName>
    <definedName name="_LAGUAJIRA" localSheetId="3">#REF!</definedName>
    <definedName name="_LAGUAJIRA">#REF!</definedName>
    <definedName name="_MAGDALENA" localSheetId="1">#REF!</definedName>
    <definedName name="_MAGDALENA" localSheetId="2">#REF!</definedName>
    <definedName name="_MAGDALENA" localSheetId="3">#REF!</definedName>
    <definedName name="_MAGDALENA">#REF!</definedName>
    <definedName name="_META" localSheetId="1">#REF!</definedName>
    <definedName name="_META" localSheetId="2">#REF!</definedName>
    <definedName name="_META" localSheetId="3">#REF!</definedName>
    <definedName name="_META">#REF!</definedName>
    <definedName name="_NARIÑO" localSheetId="1">#REF!</definedName>
    <definedName name="_NARIÑO" localSheetId="2">#REF!</definedName>
    <definedName name="_NARIÑO" localSheetId="3">#REF!</definedName>
    <definedName name="_NARIÑO">#REF!</definedName>
    <definedName name="_NORTEDESANTANDER" localSheetId="1">#REF!</definedName>
    <definedName name="_NORTEDESANTANDER" localSheetId="2">#REF!</definedName>
    <definedName name="_NORTEDESANTANDER" localSheetId="3">#REF!</definedName>
    <definedName name="_NORTEDESANTANDER">#REF!</definedName>
    <definedName name="_PUTUMAYO" localSheetId="1">#REF!</definedName>
    <definedName name="_PUTUMAYO" localSheetId="2">#REF!</definedName>
    <definedName name="_PUTUMAYO" localSheetId="3">#REF!</definedName>
    <definedName name="_PUTUMAYO">#REF!</definedName>
    <definedName name="_QUINDIO" localSheetId="1">#REF!</definedName>
    <definedName name="_QUINDIO" localSheetId="2">#REF!</definedName>
    <definedName name="_QUINDIO" localSheetId="3">#REF!</definedName>
    <definedName name="_QUINDIO">#REF!</definedName>
    <definedName name="_RISARALDA" localSheetId="1">#REF!</definedName>
    <definedName name="_RISARALDA" localSheetId="2">#REF!</definedName>
    <definedName name="_RISARALDA" localSheetId="3">#REF!</definedName>
    <definedName name="_RISARALDA">#REF!</definedName>
    <definedName name="_SANANDRES" localSheetId="1">#REF!</definedName>
    <definedName name="_SANANDRES" localSheetId="2">#REF!</definedName>
    <definedName name="_SANANDRES" localSheetId="3">#REF!</definedName>
    <definedName name="_SANANDRES">#REF!</definedName>
    <definedName name="_SANTANDER" localSheetId="1">#REF!</definedName>
    <definedName name="_SANTANDER" localSheetId="2">#REF!</definedName>
    <definedName name="_SANTANDER" localSheetId="3">#REF!</definedName>
    <definedName name="_SANTANDER">#REF!</definedName>
    <definedName name="_SUCRE" localSheetId="1">#REF!</definedName>
    <definedName name="_SUCRE" localSheetId="2">#REF!</definedName>
    <definedName name="_SUCRE" localSheetId="3">#REF!</definedName>
    <definedName name="_SUCRE">#REF!</definedName>
    <definedName name="_TOLIMA" localSheetId="1">#REF!</definedName>
    <definedName name="_TOLIMA" localSheetId="2">#REF!</definedName>
    <definedName name="_TOLIMA" localSheetId="3">#REF!</definedName>
    <definedName name="_TOLIMA">#REF!</definedName>
    <definedName name="_UDS3" localSheetId="1">#REF!</definedName>
    <definedName name="_UDS3" localSheetId="2">#REF!</definedName>
    <definedName name="_UDS3" localSheetId="3">#REF!</definedName>
    <definedName name="_UDS3">#REF!</definedName>
    <definedName name="_VALLEDELCAUCA" localSheetId="1">#REF!</definedName>
    <definedName name="_VALLEDELCAUCA" localSheetId="2">#REF!</definedName>
    <definedName name="_VALLEDELCAUCA" localSheetId="3">#REF!</definedName>
    <definedName name="_VALLEDELCAUCA">#REF!</definedName>
    <definedName name="_VAUPES" localSheetId="1">#REF!</definedName>
    <definedName name="_VAUPES" localSheetId="2">#REF!</definedName>
    <definedName name="_VAUPES" localSheetId="3">#REF!</definedName>
    <definedName name="_VAUPES">#REF!</definedName>
    <definedName name="_VICHADA" localSheetId="1">#REF!</definedName>
    <definedName name="_VICHADA" localSheetId="2">#REF!</definedName>
    <definedName name="_VICHADA" localSheetId="3">#REF!</definedName>
    <definedName name="_VICHADA">#REF!</definedName>
    <definedName name="¿Quiénes_están_inscritos_dentro_del_sistema__incluye_desinscr___" localSheetId="1">#REF!</definedName>
    <definedName name="¿Quiénes_están_inscritos_dentro_del_sistema__incluye_desinscr___" localSheetId="2">#REF!</definedName>
    <definedName name="¿Quiénes_están_inscritos_dentro_del_sistema__incluye_desinscr___" localSheetId="3">#REF!</definedName>
    <definedName name="¿Quiénes_están_inscritos_dentro_del_sistema__incluye_desinscr___">#REF!</definedName>
    <definedName name="ActividadRE" localSheetId="1">#REF!</definedName>
    <definedName name="ActividadRE" localSheetId="2">#REF!</definedName>
    <definedName name="ActividadRE" localSheetId="3">#REF!</definedName>
    <definedName name="ActividadRE">#REF!</definedName>
    <definedName name="ALMUERZO">'[1]Resumen Preparaciones'!$C$52:$C$113</definedName>
    <definedName name="almuerzocena">'[1]Resumen Preparaciones'!$C$52:$C$141</definedName>
    <definedName name="AMAZONAS" localSheetId="1">#REF!</definedName>
    <definedName name="AMAZONAS" localSheetId="2">#REF!</definedName>
    <definedName name="AMAZONAS" localSheetId="3">#REF!</definedName>
    <definedName name="AMAZONAS">#REF!</definedName>
    <definedName name="ANTIOQUIA" localSheetId="1">#REF!</definedName>
    <definedName name="ANTIOQUIA" localSheetId="2">#REF!</definedName>
    <definedName name="ANTIOQUIA" localSheetId="3">#REF!</definedName>
    <definedName name="ANTIOQUIA">#REF!</definedName>
    <definedName name="ARAUCA" localSheetId="1">#REF!</definedName>
    <definedName name="ARAUCA" localSheetId="2">#REF!</definedName>
    <definedName name="ARAUCA" localSheetId="3">#REF!</definedName>
    <definedName name="ARAUCA">#REF!</definedName>
    <definedName name="_xlnm.Print_Area" localSheetId="1">'2. Mod. Inst. CDI, HI Y LP'!$B$2:$H$74</definedName>
    <definedName name="_xlnm.Print_Area" localSheetId="2">'3. Servicios de HCB '!$B$2:$H$30</definedName>
    <definedName name="_xlnm.Print_Area" localSheetId="3">'4. Mod. Familiar DIMF'!$B$2:$H$51</definedName>
    <definedName name="ATLANTICO" localSheetId="1">#REF!</definedName>
    <definedName name="ATLANTICO" localSheetId="2">#REF!</definedName>
    <definedName name="ATLANTICO" localSheetId="3">#REF!</definedName>
    <definedName name="ATLANTICO">#REF!</definedName>
    <definedName name="_xlnm.Database" localSheetId="1">#REF!</definedName>
    <definedName name="_xlnm.Database" localSheetId="2">#REF!</definedName>
    <definedName name="_xlnm.Database" localSheetId="3">#REF!</definedName>
    <definedName name="_xlnm.Database">#REF!</definedName>
    <definedName name="BOGOTA">[2]LISTAS!$J$2:$J$18</definedName>
    <definedName name="BOGOTA_DC" localSheetId="1">#REF!</definedName>
    <definedName name="BOGOTA_DC" localSheetId="2">#REF!</definedName>
    <definedName name="BOGOTA_DC" localSheetId="3">#REF!</definedName>
    <definedName name="BOGOTA_DC">#REF!</definedName>
    <definedName name="BOGOTADC" localSheetId="1">#REF!</definedName>
    <definedName name="BOGOTADC" localSheetId="2">#REF!</definedName>
    <definedName name="BOGOTADC" localSheetId="3">#REF!</definedName>
    <definedName name="BOGOTADC">#REF!</definedName>
    <definedName name="BOLIVAR" localSheetId="1">#REF!</definedName>
    <definedName name="BOLIVAR" localSheetId="2">#REF!</definedName>
    <definedName name="BOLIVAR" localSheetId="3">#REF!</definedName>
    <definedName name="BOLIVAR">#REF!</definedName>
    <definedName name="Borrar" localSheetId="1">#REF!</definedName>
    <definedName name="Borrar" localSheetId="2">#REF!</definedName>
    <definedName name="Borrar" localSheetId="3">#REF!</definedName>
    <definedName name="Borrar">#REF!</definedName>
    <definedName name="BOYACA" localSheetId="1">#REF!</definedName>
    <definedName name="BOYACA" localSheetId="2">#REF!</definedName>
    <definedName name="BOYACA" localSheetId="3">#REF!</definedName>
    <definedName name="BOYACA">#REF!</definedName>
    <definedName name="CALDAS" localSheetId="1">#REF!</definedName>
    <definedName name="CALDAS" localSheetId="2">#REF!</definedName>
    <definedName name="CALDAS" localSheetId="3">#REF!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1">#REF!</definedName>
    <definedName name="CAPITALES2" localSheetId="2">#REF!</definedName>
    <definedName name="CAPITALES2" localSheetId="3">#REF!</definedName>
    <definedName name="CAPITALES2">#REF!</definedName>
    <definedName name="CAQUETA" localSheetId="1">#REF!</definedName>
    <definedName name="CAQUETA" localSheetId="2">#REF!</definedName>
    <definedName name="CAQUETA" localSheetId="3">#REF!</definedName>
    <definedName name="CAQUETA">#REF!</definedName>
    <definedName name="CASANARE" localSheetId="1">#REF!</definedName>
    <definedName name="CASANARE" localSheetId="2">#REF!</definedName>
    <definedName name="CASANARE" localSheetId="3">#REF!</definedName>
    <definedName name="CASANARE">#REF!</definedName>
    <definedName name="CAUCA" localSheetId="1">#REF!</definedName>
    <definedName name="CAUCA" localSheetId="2">#REF!</definedName>
    <definedName name="CAUCA" localSheetId="3">#REF!</definedName>
    <definedName name="CAUCA">#REF!</definedName>
    <definedName name="CentroZonal" localSheetId="1">#REF!</definedName>
    <definedName name="CentroZonal" localSheetId="2">#REF!</definedName>
    <definedName name="CentroZonal" localSheetId="3">#REF!</definedName>
    <definedName name="CentroZonal">#REF!</definedName>
    <definedName name="CESAR" localSheetId="1">#REF!</definedName>
    <definedName name="CESAR" localSheetId="2">#REF!</definedName>
    <definedName name="CESAR" localSheetId="3">#REF!</definedName>
    <definedName name="CESAR">#REF!</definedName>
    <definedName name="CHOCO" localSheetId="1">#REF!</definedName>
    <definedName name="CHOCO" localSheetId="2">#REF!</definedName>
    <definedName name="CHOCO" localSheetId="3">#REF!</definedName>
    <definedName name="CHOCO">#REF!</definedName>
    <definedName name="CODIGO" localSheetId="1">#REF!</definedName>
    <definedName name="CODIGO" localSheetId="2">#REF!</definedName>
    <definedName name="CODIGO" localSheetId="3">#REF!</definedName>
    <definedName name="CODIGO">#REF!</definedName>
    <definedName name="Consulta1" localSheetId="1">#REF!</definedName>
    <definedName name="Consulta1" localSheetId="2">#REF!</definedName>
    <definedName name="Consulta1" localSheetId="3">#REF!</definedName>
    <definedName name="Consulta1">#REF!</definedName>
    <definedName name="CORDOBA" localSheetId="1">#REF!</definedName>
    <definedName name="CORDOBA" localSheetId="2">#REF!</definedName>
    <definedName name="CORDOBA" localSheetId="3">#REF!</definedName>
    <definedName name="CORDOBA">#REF!</definedName>
    <definedName name="CostoDirectoObra" localSheetId="1">#REF!</definedName>
    <definedName name="CostoDirectoObra" localSheetId="2">#REF!</definedName>
    <definedName name="CostoDirectoObra" localSheetId="3">#REF!</definedName>
    <definedName name="CostoDirectoObra">#REF!</definedName>
    <definedName name="CuantostieneEdSuperior" localSheetId="1">#REF!</definedName>
    <definedName name="CuantostieneEdSuperior" localSheetId="2">#REF!</definedName>
    <definedName name="CuantostieneEdSuperior" localSheetId="3">#REF!</definedName>
    <definedName name="CuantostieneEdSuperior">#REF!</definedName>
    <definedName name="CUNDINAMARCA" localSheetId="1">#REF!</definedName>
    <definedName name="CUNDINAMARCA" localSheetId="2">#REF!</definedName>
    <definedName name="CUNDINAMARCA" localSheetId="3">#REF!</definedName>
    <definedName name="CUNDINAMARCA">#REF!</definedName>
    <definedName name="CUPOS" localSheetId="1">#REF!</definedName>
    <definedName name="CUPOS" localSheetId="2">#REF!</definedName>
    <definedName name="CUPOS" localSheetId="3">#REF!</definedName>
    <definedName name="CUPOS">#REF!</definedName>
    <definedName name="CURSO">[2]LISTAS!$E$2:$E$68</definedName>
    <definedName name="dbo_trmunici" localSheetId="1">#REF!</definedName>
    <definedName name="dbo_trmunici" localSheetId="2">#REF!</definedName>
    <definedName name="dbo_trmunici" localSheetId="3">#REF!</definedName>
    <definedName name="dbo_trmunici">#REF!</definedName>
    <definedName name="Decision">[5]lista!$A$6:$A$7</definedName>
    <definedName name="Dedicacion" localSheetId="1">'[6]Tal Humano'!#REF!</definedName>
    <definedName name="Dedicacion" localSheetId="2">'[6]Tal Humano'!#REF!</definedName>
    <definedName name="Dedicacion" localSheetId="3">'[6]Tal Humano'!#REF!</definedName>
    <definedName name="Dedicacion">'[6]Tal Humano'!#REF!</definedName>
    <definedName name="Departamento" localSheetId="1">#REF!</definedName>
    <definedName name="Departamento" localSheetId="2">#REF!</definedName>
    <definedName name="Departamento" localSheetId="3">#REF!</definedName>
    <definedName name="Departamento">#REF!</definedName>
    <definedName name="Departamentos" localSheetId="1">#REF!</definedName>
    <definedName name="Departamentos" localSheetId="2">#REF!</definedName>
    <definedName name="Departamentos" localSheetId="3">#REF!</definedName>
    <definedName name="Departamentos">#REF!</definedName>
    <definedName name="desayuno">'[1]Resumen Preparaciones'!$C$5:$C$50</definedName>
    <definedName name="DESAYUNOS">'[1]Resumen Preparaciones'!$C$5:$C$33</definedName>
    <definedName name="DeseanCapacitacionEn" localSheetId="1">#REF!</definedName>
    <definedName name="DeseanCapacitacionEn" localSheetId="2">#REF!</definedName>
    <definedName name="DeseanCapacitacionEn" localSheetId="3">#REF!</definedName>
    <definedName name="DeseanCapacitacionEn">#REF!</definedName>
    <definedName name="DESINSCRITOS" localSheetId="1">#REF!</definedName>
    <definedName name="DESINSCRITOS" localSheetId="2">#REF!</definedName>
    <definedName name="DESINSCRITOS" localSheetId="3">#REF!</definedName>
    <definedName name="DESINSCRITOS">#REF!</definedName>
    <definedName name="DIAS" localSheetId="1">#REF!</definedName>
    <definedName name="DIAS" localSheetId="2">#REF!</definedName>
    <definedName name="DIAS" localSheetId="3">#REF!</definedName>
    <definedName name="DIAS">#REF!</definedName>
    <definedName name="DIASPRESTACION" localSheetId="1">#REF!</definedName>
    <definedName name="DIASPRESTACION" localSheetId="2">#REF!</definedName>
    <definedName name="DIASPRESTACION" localSheetId="3">#REF!</definedName>
    <definedName name="DIASPRESTACION">#REF!</definedName>
    <definedName name="DISTRIBUCIONPORTIPOCONTRATO" localSheetId="1">#REF!</definedName>
    <definedName name="DISTRIBUCIONPORTIPOCONTRATO" localSheetId="2">#REF!</definedName>
    <definedName name="DISTRIBUCIONPORTIPOCONTRATO" localSheetId="3">#REF!</definedName>
    <definedName name="DISTRIBUCIONPORTIPOCONTRATO">#REF!</definedName>
    <definedName name="Ed_cons_empr_CodEntidad" localSheetId="1">#REF!</definedName>
    <definedName name="Ed_cons_empr_CodEntidad" localSheetId="2">#REF!</definedName>
    <definedName name="Ed_cons_empr_CodEntidad" localSheetId="3">#REF!</definedName>
    <definedName name="Ed_cons_empr_CodEntidad">#REF!</definedName>
    <definedName name="Ed_emp_codemp" localSheetId="1">#REF!</definedName>
    <definedName name="Ed_emp_codemp" localSheetId="2">#REF!</definedName>
    <definedName name="Ed_emp_codemp" localSheetId="3">#REF!</definedName>
    <definedName name="Ed_emp_codemp">#REF!</definedName>
    <definedName name="EdSuperior2" localSheetId="1">#REF!</definedName>
    <definedName name="EdSuperior2" localSheetId="2">#REF!</definedName>
    <definedName name="EdSuperior2" localSheetId="3">#REF!</definedName>
    <definedName name="EdSuperior2">#REF!</definedName>
    <definedName name="EdSuperior3" localSheetId="1">#REF!</definedName>
    <definedName name="EdSuperior3" localSheetId="2">#REF!</definedName>
    <definedName name="EdSuperior3" localSheetId="3">#REF!</definedName>
    <definedName name="EdSuperior3">#REF!</definedName>
    <definedName name="Empresa" localSheetId="1">#REF!</definedName>
    <definedName name="Empresa" localSheetId="2">#REF!</definedName>
    <definedName name="Empresa" localSheetId="3">#REF!</definedName>
    <definedName name="Empresa">#REF!</definedName>
    <definedName name="Ensayos">[3]PERSONAL!$P$100</definedName>
    <definedName name="ESPACIOS">[2]LISTAS!$F$3:$F$22</definedName>
    <definedName name="EstadoMadCabFamilia" localSheetId="1">#REF!</definedName>
    <definedName name="EstadoMadCabFamilia" localSheetId="2">#REF!</definedName>
    <definedName name="EstadoMadCabFamilia" localSheetId="3">#REF!</definedName>
    <definedName name="EstadoMadCabFamilia">#REF!</definedName>
    <definedName name="Estrategia">[7]Tablas!$F$2:$F$34</definedName>
    <definedName name="Fuente">[7]Tablas!$D$2:$D$10</definedName>
    <definedName name="Funcionario" localSheetId="1">[8]frmFuncionario!#REF!</definedName>
    <definedName name="Funcionario" localSheetId="2">[8]frmFuncionario!#REF!</definedName>
    <definedName name="Funcionario" localSheetId="3">[8]frmFuncionario!#REF!</definedName>
    <definedName name="Funcionario">[8]frmFuncionario!#REF!</definedName>
    <definedName name="GruporUPS" localSheetId="1">#REF!</definedName>
    <definedName name="GruporUPS" localSheetId="2">#REF!</definedName>
    <definedName name="GruporUPS" localSheetId="3">#REF!</definedName>
    <definedName name="GruporUPS">#REF!</definedName>
    <definedName name="GUAINIA" localSheetId="1">#REF!</definedName>
    <definedName name="GUAINIA" localSheetId="2">#REF!</definedName>
    <definedName name="GUAINIA" localSheetId="3">#REF!</definedName>
    <definedName name="GUAINIA">#REF!</definedName>
    <definedName name="GUAVIARE" localSheetId="1">#REF!</definedName>
    <definedName name="GUAVIARE" localSheetId="2">#REF!</definedName>
    <definedName name="GUAVIARE" localSheetId="3">#REF!</definedName>
    <definedName name="GUAVIARE">#REF!</definedName>
    <definedName name="HA">#N/A</definedName>
    <definedName name="HCB_FAMI">#N/A</definedName>
    <definedName name="HFGHGFH3" localSheetId="1">[9]Planta_Super!#REF!</definedName>
    <definedName name="HFGHGFH3" localSheetId="2">[9]Planta_Super!#REF!</definedName>
    <definedName name="HFGHGFH3" localSheetId="3">[9]Planta_Super!#REF!</definedName>
    <definedName name="HFGHGFH3">[9]Planta_Super!#REF!</definedName>
    <definedName name="HOLA" localSheetId="1">#REF!</definedName>
    <definedName name="HOLA" localSheetId="2">#REF!</definedName>
    <definedName name="HOLA" localSheetId="3">#REF!</definedName>
    <definedName name="HOLA">#REF!</definedName>
    <definedName name="Horas" localSheetId="1">'[10]Tal Humano'!#REF!</definedName>
    <definedName name="Horas" localSheetId="2">'[10]Tal Humano'!#REF!</definedName>
    <definedName name="Horas" localSheetId="3">'[10]Tal Humano'!#REF!</definedName>
    <definedName name="Horas">'[10]Tal Humano'!#REF!</definedName>
    <definedName name="hrgc" localSheetId="1">#REF!</definedName>
    <definedName name="hrgc" localSheetId="2">#REF!</definedName>
    <definedName name="hrgc" localSheetId="3">#REF!</definedName>
    <definedName name="hrgc">#REF!</definedName>
    <definedName name="HUILA" localSheetId="1">#REF!</definedName>
    <definedName name="HUILA" localSheetId="2">#REF!</definedName>
    <definedName name="HUILA" localSheetId="3">#REF!</definedName>
    <definedName name="HUILA">#REF!</definedName>
    <definedName name="Incre" localSheetId="1">#REF!</definedName>
    <definedName name="Incre" localSheetId="2">#REF!</definedName>
    <definedName name="Incre" localSheetId="3">#REF!</definedName>
    <definedName name="Incre">#REF!</definedName>
    <definedName name="INCREMENTO" localSheetId="1">#REF!</definedName>
    <definedName name="INCREMENTO" localSheetId="2">#REF!</definedName>
    <definedName name="INCREMENTO" localSheetId="3">#REF!</definedName>
    <definedName name="INCREMENTO">#REF!</definedName>
    <definedName name="INCREMENTOS" localSheetId="1">#REF!</definedName>
    <definedName name="INCREMENTOS" localSheetId="2">#REF!</definedName>
    <definedName name="INCREMENTOS" localSheetId="3">#REF!</definedName>
    <definedName name="INCREMENTOS">#REF!</definedName>
    <definedName name="Indemnizacion" localSheetId="1">#REF!</definedName>
    <definedName name="Indemnizacion" localSheetId="2">#REF!</definedName>
    <definedName name="Indemnizacion" localSheetId="3">#REF!</definedName>
    <definedName name="Indemnizacion">#REF!</definedName>
    <definedName name="InfLaboral" localSheetId="1">#REF!</definedName>
    <definedName name="InfLaboral" localSheetId="2">#REF!</definedName>
    <definedName name="InfLaboral" localSheetId="3">#REF!</definedName>
    <definedName name="InfLaboral">#REF!</definedName>
    <definedName name="InfLabrl" localSheetId="1">#REF!</definedName>
    <definedName name="InfLabrl" localSheetId="2">#REF!</definedName>
    <definedName name="InfLabrl" localSheetId="3">#REF!</definedName>
    <definedName name="InfLabrl">#REF!</definedName>
    <definedName name="Ins" localSheetId="1">#REF!</definedName>
    <definedName name="Ins" localSheetId="2">#REF!</definedName>
    <definedName name="Ins" localSheetId="3">#REF!</definedName>
    <definedName name="Ins">#REF!</definedName>
    <definedName name="InsEnt" localSheetId="1">#REF!</definedName>
    <definedName name="InsEnt" localSheetId="2">#REF!</definedName>
    <definedName name="InsEnt" localSheetId="3">#REF!</definedName>
    <definedName name="InsEnt">#REF!</definedName>
    <definedName name="InsFisMag" localSheetId="1">#REF!</definedName>
    <definedName name="InsFisMag" localSheetId="2">#REF!</definedName>
    <definedName name="InsFisMag" localSheetId="3">#REF!</definedName>
    <definedName name="InsFisMag">#REF!</definedName>
    <definedName name="IVASobreUtilidad">[3]IMPUESTOS!$E$16</definedName>
    <definedName name="JARDIN_COMUNIT_DESAYUNO" localSheetId="1">#REF!</definedName>
    <definedName name="JARDIN_COMUNIT_DESAYUNO" localSheetId="2">#REF!</definedName>
    <definedName name="JARDIN_COMUNIT_DESAYUNO" localSheetId="3">#REF!</definedName>
    <definedName name="JARDIN_COMUNIT_DESAYUNO">#REF!</definedName>
    <definedName name="LA_GUAJIRA" localSheetId="1">#REF!</definedName>
    <definedName name="LA_GUAJIRA" localSheetId="2">#REF!</definedName>
    <definedName name="LA_GUAJIRA" localSheetId="3">#REF!</definedName>
    <definedName name="LA_GUAJIRA">#REF!</definedName>
    <definedName name="LimitacionAuditiva" localSheetId="1">#REF!</definedName>
    <definedName name="LimitacionAuditiva" localSheetId="2">#REF!</definedName>
    <definedName name="LimitacionAuditiva" localSheetId="3">#REF!</definedName>
    <definedName name="LimitacionAuditiva">#REF!</definedName>
    <definedName name="LimitacionFisicaOMental" localSheetId="1">#REF!</definedName>
    <definedName name="LimitacionFisicaOMental" localSheetId="2">#REF!</definedName>
    <definedName name="LimitacionFisicaOMental" localSheetId="3">#REF!</definedName>
    <definedName name="LimitacionFisicaOMental">#REF!</definedName>
    <definedName name="LimitacionVisual" localSheetId="1">#REF!</definedName>
    <definedName name="LimitacionVisual" localSheetId="2">#REF!</definedName>
    <definedName name="LimitacionVisual" localSheetId="3">#REF!</definedName>
    <definedName name="LimitacionVisual">#REF!</definedName>
    <definedName name="LISTA_1" localSheetId="1">#REF!</definedName>
    <definedName name="LISTA_1" localSheetId="2">#REF!</definedName>
    <definedName name="LISTA_1" localSheetId="3">#REF!</definedName>
    <definedName name="LISTA_1">#REF!</definedName>
    <definedName name="LISTA_2" localSheetId="1">#REF!</definedName>
    <definedName name="LISTA_2" localSheetId="2">#REF!</definedName>
    <definedName name="LISTA_2" localSheetId="3">#REF!</definedName>
    <definedName name="LISTA_2">#REF!</definedName>
    <definedName name="LISTA_PROM" localSheetId="1">#REF!</definedName>
    <definedName name="LISTA_PROM" localSheetId="2">#REF!</definedName>
    <definedName name="LISTA_PROM" localSheetId="3">#REF!</definedName>
    <definedName name="LISTA_PROM">#REF!</definedName>
    <definedName name="MadreCabezaFamilia" localSheetId="1">#REF!</definedName>
    <definedName name="MadreCabezaFamilia" localSheetId="2">#REF!</definedName>
    <definedName name="MadreCabezaFamilia" localSheetId="3">#REF!</definedName>
    <definedName name="MadreCabezaFamilia">#REF!</definedName>
    <definedName name="MAGDALENA" localSheetId="1">#REF!</definedName>
    <definedName name="MAGDALENA" localSheetId="2">#REF!</definedName>
    <definedName name="MAGDALENA" localSheetId="3">#REF!</definedName>
    <definedName name="MAGDALENA">#REF!</definedName>
    <definedName name="Mas_Bajo_Adminstración" localSheetId="1">'[11]Costo Total'!#REF!</definedName>
    <definedName name="Mas_Bajo_Adminstración" localSheetId="2">'[11]Costo Total'!#REF!</definedName>
    <definedName name="Mas_Bajo_Adminstración" localSheetId="3">'[11]Costo Total'!#REF!</definedName>
    <definedName name="Mas_Bajo_Adminstración">'[11]Costo Total'!#REF!</definedName>
    <definedName name="Mas_Bajo_Imprevistos" localSheetId="1">'[11]Costo Total'!#REF!</definedName>
    <definedName name="Mas_Bajo_Imprevistos" localSheetId="2">'[11]Costo Total'!#REF!</definedName>
    <definedName name="Mas_Bajo_Imprevistos" localSheetId="3">'[11]Costo Total'!#REF!</definedName>
    <definedName name="Mas_Bajo_Imprevistos">'[11]Costo Total'!#REF!</definedName>
    <definedName name="META" localSheetId="1">#REF!</definedName>
    <definedName name="META" localSheetId="2">#REF!</definedName>
    <definedName name="META" localSheetId="3">#REF!</definedName>
    <definedName name="META">#REF!</definedName>
    <definedName name="MMM" localSheetId="1">#REF!</definedName>
    <definedName name="MMM" localSheetId="2">#REF!</definedName>
    <definedName name="MMM" localSheetId="3">#REF!</definedName>
    <definedName name="MMM">#REF!</definedName>
    <definedName name="MUNI" localSheetId="1">#REF!</definedName>
    <definedName name="MUNI" localSheetId="2">#REF!</definedName>
    <definedName name="MUNI" localSheetId="3">#REF!</definedName>
    <definedName name="MUNI">#REF!</definedName>
    <definedName name="MUNI2" localSheetId="1">#REF!</definedName>
    <definedName name="MUNI2" localSheetId="2">#REF!</definedName>
    <definedName name="MUNI2" localSheetId="3">#REF!</definedName>
    <definedName name="MUNI2">#REF!</definedName>
    <definedName name="Municipio" localSheetId="1">#REF!</definedName>
    <definedName name="Municipio" localSheetId="2">#REF!</definedName>
    <definedName name="Municipio" localSheetId="3">#REF!</definedName>
    <definedName name="Municipio">#REF!</definedName>
    <definedName name="NARIÑO" localSheetId="1">#REF!</definedName>
    <definedName name="NARIÑO" localSheetId="2">#REF!</definedName>
    <definedName name="NARIÑO" localSheetId="3">#REF!</definedName>
    <definedName name="NARIÑO">#REF!</definedName>
    <definedName name="NEW_Centro_Acogida_Dllo">#N/A</definedName>
    <definedName name="Ninos">[2]LISTAS!$G$2:$G$17</definedName>
    <definedName name="NIVEL">[2]LISTAS!$H$8:$H$11</definedName>
    <definedName name="NivelEducacionBasica" localSheetId="1">#REF!</definedName>
    <definedName name="NivelEducacionBasica" localSheetId="2">#REF!</definedName>
    <definedName name="NivelEducacionBasica" localSheetId="3">#REF!</definedName>
    <definedName name="NivelEducacionBasica">#REF!</definedName>
    <definedName name="NIVELEDUCACIONSUP" localSheetId="1">#REF!</definedName>
    <definedName name="NIVELEDUCACIONSUP" localSheetId="2">#REF!</definedName>
    <definedName name="NIVELEDUCACIONSUP" localSheetId="3">#REF!</definedName>
    <definedName name="NIVELEDUCACIONSUP">#REF!</definedName>
    <definedName name="NivelEducacionSuperior" localSheetId="1">#REF!</definedName>
    <definedName name="NivelEducacionSuperior" localSheetId="2">#REF!</definedName>
    <definedName name="NivelEducacionSuperior" localSheetId="3">#REF!</definedName>
    <definedName name="NivelEducacionSuperior">#REF!</definedName>
    <definedName name="nn">#N/A</definedName>
    <definedName name="NNN" localSheetId="1">#REF!</definedName>
    <definedName name="NNN" localSheetId="2">#REF!</definedName>
    <definedName name="NNN" localSheetId="3">#REF!</definedName>
    <definedName name="NNN">#REF!</definedName>
    <definedName name="NO">[2]LISTAS!$G$2</definedName>
    <definedName name="NoFacturable">[3]PERSONAL!$P$46</definedName>
    <definedName name="NoNOInscritos" localSheetId="1">#REF!</definedName>
    <definedName name="NoNOInscritos" localSheetId="2">#REF!</definedName>
    <definedName name="NoNOInscritos" localSheetId="3">#REF!</definedName>
    <definedName name="NoNOInscritos">#REF!</definedName>
    <definedName name="NORTE_DE_SANTANDER" localSheetId="1">#REF!</definedName>
    <definedName name="NORTE_DE_SANTANDER" localSheetId="2">#REF!</definedName>
    <definedName name="NORTE_DE_SANTANDER" localSheetId="3">#REF!</definedName>
    <definedName name="NORTE_DE_SANTANDER">#REF!</definedName>
    <definedName name="NUMERO" localSheetId="1">[9]Planta_Super!#REF!</definedName>
    <definedName name="NUMERO" localSheetId="2">[9]Planta_Super!#REF!</definedName>
    <definedName name="NUMERO" localSheetId="3">[9]Planta_Super!#REF!</definedName>
    <definedName name="NUMERO">[9]Planta_Super!#REF!</definedName>
    <definedName name="Objetivos">[7]Tablas!$E$2:$E$17</definedName>
    <definedName name="Oficina">[3]PERSONAL!$P$69</definedName>
    <definedName name="opciones" localSheetId="1">#REF!</definedName>
    <definedName name="opciones" localSheetId="2">#REF!</definedName>
    <definedName name="opciones" localSheetId="3">#REF!</definedName>
    <definedName name="opciones">#REF!</definedName>
    <definedName name="Operador" localSheetId="1">#REF!</definedName>
    <definedName name="Operador" localSheetId="2">#REF!</definedName>
    <definedName name="Operador" localSheetId="3">#REF!</definedName>
    <definedName name="Operador">#REF!</definedName>
    <definedName name="PagoRE" localSheetId="1">#REF!</definedName>
    <definedName name="PagoRE" localSheetId="2">#REF!</definedName>
    <definedName name="PagoRE" localSheetId="3">#REF!</definedName>
    <definedName name="PagoRE">#REF!</definedName>
    <definedName name="PARTICIPACION">[5]lista!$A$15:$A$17</definedName>
    <definedName name="PERFILES">'[12]Salarios de Ref'!$B$6:$B$120</definedName>
    <definedName name="pilares">[7]Tablas!$G$2:$G$6</definedName>
    <definedName name="PMCL" localSheetId="1">#REF!</definedName>
    <definedName name="PMCL" localSheetId="2">#REF!</definedName>
    <definedName name="PMCL" localSheetId="3">#REF!</definedName>
    <definedName name="PMCL">#REF!</definedName>
    <definedName name="Procedencia">[5]lista!$A$2:$A$3</definedName>
    <definedName name="Producto" localSheetId="1">#REF!</definedName>
    <definedName name="Producto" localSheetId="2">#REF!</definedName>
    <definedName name="Producto" localSheetId="3">#REF!</definedName>
    <definedName name="Producto">#REF!</definedName>
    <definedName name="productosdef">'[1]Precios Alimentos'!$A$5031:$A$5730</definedName>
    <definedName name="Profesional">[3]PERSONAL!$P$12</definedName>
    <definedName name="Promd_Administración" localSheetId="1">'[11]Costo Total'!#REF!</definedName>
    <definedName name="Promd_Administración" localSheetId="2">'[11]Costo Total'!#REF!</definedName>
    <definedName name="Promd_Administración" localSheetId="3">'[11]Costo Total'!#REF!</definedName>
    <definedName name="Promd_Administración">'[11]Costo Total'!#REF!</definedName>
    <definedName name="Promd_Adnimistración" localSheetId="1">'[11]Costo Total'!#REF!</definedName>
    <definedName name="Promd_Adnimistración" localSheetId="2">'[11]Costo Total'!#REF!</definedName>
    <definedName name="Promd_Adnimistración" localSheetId="3">'[11]Costo Total'!#REF!</definedName>
    <definedName name="Promd_Adnimistración">'[11]Costo Total'!#REF!</definedName>
    <definedName name="Promd_Imprevistos" localSheetId="1">'[11]Costo Total'!#REF!</definedName>
    <definedName name="Promd_Imprevistos" localSheetId="2">'[11]Costo Total'!#REF!</definedName>
    <definedName name="Promd_Imprevistos" localSheetId="3">'[11]Costo Total'!#REF!</definedName>
    <definedName name="Promd_Imprevistos">'[11]Costo Total'!#REF!</definedName>
    <definedName name="Promd_Utilidad" localSheetId="1">'[11]Costo Total'!#REF!</definedName>
    <definedName name="Promd_Utilidad" localSheetId="2">'[11]Costo Total'!#REF!</definedName>
    <definedName name="Promd_Utilidad" localSheetId="3">'[11]Costo Total'!#REF!</definedName>
    <definedName name="Promd_Utilidad">'[11]Costo Total'!#REF!</definedName>
    <definedName name="promedios" localSheetId="1">'[13]Proyección valor Lacteo MADR'!#REF!</definedName>
    <definedName name="promedios" localSheetId="2">'[13]Proyección valor Lacteo MADR'!#REF!</definedName>
    <definedName name="promedios" localSheetId="3">'[13]Proyección valor Lacteo MADR'!#REF!</definedName>
    <definedName name="promedios">'[13]Proyección valor Lacteo MADR'!#REF!</definedName>
    <definedName name="Proporcionalidad" localSheetId="1">'[6]Tal Humano'!#REF!</definedName>
    <definedName name="Proporcionalidad" localSheetId="2">'[6]Tal Humano'!#REF!</definedName>
    <definedName name="Proporcionalidad" localSheetId="3">'[6]Tal Humano'!#REF!</definedName>
    <definedName name="Proporcionalidad">'[6]Tal Humano'!#REF!</definedName>
    <definedName name="ProximoPension" localSheetId="1">#REF!</definedName>
    <definedName name="ProximoPension" localSheetId="2">#REF!</definedName>
    <definedName name="ProximoPension" localSheetId="3">#REF!</definedName>
    <definedName name="ProximoPension">#REF!</definedName>
    <definedName name="prueba" localSheetId="1">#REF!</definedName>
    <definedName name="prueba" localSheetId="2">#REF!</definedName>
    <definedName name="prueba" localSheetId="3">#REF!</definedName>
    <definedName name="prueba">#REF!</definedName>
    <definedName name="PUTUMAYO" localSheetId="1">#REF!</definedName>
    <definedName name="PUTUMAYO" localSheetId="2">#REF!</definedName>
    <definedName name="PUTUMAYO" localSheetId="3">#REF!</definedName>
    <definedName name="PUTUMAYO">#REF!</definedName>
    <definedName name="q" localSheetId="1">#REF!</definedName>
    <definedName name="q" localSheetId="2">#REF!</definedName>
    <definedName name="q" localSheetId="3">#REF!</definedName>
    <definedName name="q">#REF!</definedName>
    <definedName name="QUINDIO" localSheetId="1">#REF!</definedName>
    <definedName name="QUINDIO" localSheetId="2">#REF!</definedName>
    <definedName name="QUINDIO" localSheetId="3">#REF!</definedName>
    <definedName name="QUINDIO">#REF!</definedName>
    <definedName name="RANGO">[14]PILOTO!$A$2:$H$54</definedName>
    <definedName name="RECapacitacion" localSheetId="1">#REF!</definedName>
    <definedName name="RECapacitacion" localSheetId="2">#REF!</definedName>
    <definedName name="RECapacitacion" localSheetId="3">#REF!</definedName>
    <definedName name="RECapacitacion">#REF!</definedName>
    <definedName name="REContPrivada" localSheetId="1">#REF!</definedName>
    <definedName name="REContPrivada" localSheetId="2">#REF!</definedName>
    <definedName name="REContPrivada" localSheetId="3">#REF!</definedName>
    <definedName name="REContPrivada">#REF!</definedName>
    <definedName name="Reg" localSheetId="1">#REF!</definedName>
    <definedName name="Reg" localSheetId="2">#REF!</definedName>
    <definedName name="Reg" localSheetId="3">#REF!</definedName>
    <definedName name="Reg">#REF!</definedName>
    <definedName name="Regional" localSheetId="1">#REF!</definedName>
    <definedName name="Regional" localSheetId="2">#REF!</definedName>
    <definedName name="Regional" localSheetId="3">#REF!</definedName>
    <definedName name="Regional">#REF!</definedName>
    <definedName name="REGIONALCZ" localSheetId="1">#REF!</definedName>
    <definedName name="REGIONALCZ" localSheetId="2">#REF!</definedName>
    <definedName name="REGIONALCZ" localSheetId="3">#REF!</definedName>
    <definedName name="REGIONALCZ">#REF!</definedName>
    <definedName name="RegSeccional" localSheetId="1">#REF!</definedName>
    <definedName name="RegSeccional" localSheetId="2">#REF!</definedName>
    <definedName name="RegSeccional" localSheetId="3">#REF!</definedName>
    <definedName name="RegSeccional">#REF!</definedName>
    <definedName name="RISARALDA" localSheetId="1">#REF!</definedName>
    <definedName name="RISARALDA" localSheetId="2">#REF!</definedName>
    <definedName name="RISARALDA" localSheetId="3">#REF!</definedName>
    <definedName name="RISARALDA">#REF!</definedName>
    <definedName name="RURAL" localSheetId="1">#REF!</definedName>
    <definedName name="RURAL" localSheetId="2">#REF!</definedName>
    <definedName name="RURAL" localSheetId="3">#REF!</definedName>
    <definedName name="RURAL">#REF!</definedName>
    <definedName name="salariosref">'[11]Salarios de Referencia'!$B$7:$B$120</definedName>
    <definedName name="SalarioSuperora3SMLVMyProfesionalidad" localSheetId="1">#REF!</definedName>
    <definedName name="SalarioSuperora3SMLVMyProfesionalidad" localSheetId="2">#REF!</definedName>
    <definedName name="SalarioSuperora3SMLVMyProfesionalidad" localSheetId="3">#REF!</definedName>
    <definedName name="SalarioSuperora3SMLVMyProfesionalidad">#REF!</definedName>
    <definedName name="SAN_ANDRES" localSheetId="1">#REF!</definedName>
    <definedName name="SAN_ANDRES" localSheetId="2">#REF!</definedName>
    <definedName name="SAN_ANDRES" localSheetId="3">#REF!</definedName>
    <definedName name="SAN_ANDRES">#REF!</definedName>
    <definedName name="sanitario">[2]LISTAS!$F$3:$F$12</definedName>
    <definedName name="SANTANDER" localSheetId="1">#REF!</definedName>
    <definedName name="SANTANDER" localSheetId="2">#REF!</definedName>
    <definedName name="SANTANDER" localSheetId="3">#REF!</definedName>
    <definedName name="SANTANDER">#REF!</definedName>
    <definedName name="Seguimiento" localSheetId="1">#REF!</definedName>
    <definedName name="Seguimiento" localSheetId="2">#REF!</definedName>
    <definedName name="Seguimiento" localSheetId="3">#REF!</definedName>
    <definedName name="Seguimiento">#REF!</definedName>
    <definedName name="Sexo" localSheetId="1">#REF!</definedName>
    <definedName name="Sexo" localSheetId="2">#REF!</definedName>
    <definedName name="Sexo" localSheetId="3">#REF!</definedName>
    <definedName name="Sexo">#REF!</definedName>
    <definedName name="sininteres">[2]LISTAS!$E$69</definedName>
    <definedName name="SINO">[2]LISTAS!$H$13:$H$14</definedName>
    <definedName name="SSSS" localSheetId="1">#REF!</definedName>
    <definedName name="SSSS" localSheetId="2">#REF!</definedName>
    <definedName name="SSSS" localSheetId="3">#REF!</definedName>
    <definedName name="SSSS">#REF!</definedName>
    <definedName name="SUCRE" localSheetId="1">#REF!</definedName>
    <definedName name="SUCRE" localSheetId="2">#REF!</definedName>
    <definedName name="SUCRE" localSheetId="3">#REF!</definedName>
    <definedName name="SUCRE">#REF!</definedName>
    <definedName name="Sueldos" localSheetId="1">#REF!</definedName>
    <definedName name="Sueldos" localSheetId="2">#REF!</definedName>
    <definedName name="Sueldos" localSheetId="3">#REF!</definedName>
    <definedName name="Sueldos">#REF!</definedName>
    <definedName name="Tecnico">[3]PERSONAL!$P$34</definedName>
    <definedName name="Telefono" localSheetId="1">#REF!</definedName>
    <definedName name="Telefono" localSheetId="2">#REF!</definedName>
    <definedName name="Telefono" localSheetId="3">#REF!</definedName>
    <definedName name="Telefono">#REF!</definedName>
    <definedName name="tipo">[5]lista!$A$11:$A$13</definedName>
    <definedName name="TIPOCONT" localSheetId="1">#REF!</definedName>
    <definedName name="TIPOCONT" localSheetId="2">#REF!</definedName>
    <definedName name="TIPOCONT" localSheetId="3">#REF!</definedName>
    <definedName name="TIPOCONT">#REF!</definedName>
    <definedName name="tipodeanalisis">'[1]Analisis microbiologico'!$A$110:$A$182</definedName>
    <definedName name="TipoEmpresa" localSheetId="1">#REF!</definedName>
    <definedName name="TipoEmpresa" localSheetId="2">#REF!</definedName>
    <definedName name="TipoEmpresa" localSheetId="3">#REF!</definedName>
    <definedName name="TipoEmpresa">#REF!</definedName>
    <definedName name="TIPOOPERADOR" localSheetId="1">#REF!</definedName>
    <definedName name="TIPOOPERADOR" localSheetId="2">#REF!</definedName>
    <definedName name="TIPOOPERADOR" localSheetId="3">#REF!</definedName>
    <definedName name="TIPOOPERADOR">#REF!</definedName>
    <definedName name="_xlnm.Print_Titles" localSheetId="1">'2. Mod. Inst. CDI, HI Y LP'!$2:$3</definedName>
    <definedName name="_xlnm.Print_Titles" localSheetId="2">'3. Servicios de HCB '!$2:$3</definedName>
    <definedName name="_xlnm.Print_Titles" localSheetId="3">'4. Mod. Familiar DIMF'!$2:$3</definedName>
    <definedName name="TOLIMA" localSheetId="1">#REF!</definedName>
    <definedName name="TOLIMA" localSheetId="2">#REF!</definedName>
    <definedName name="TOLIMA" localSheetId="3">#REF!</definedName>
    <definedName name="TOLIMA">#REF!</definedName>
    <definedName name="TotalContratoSinIVA" localSheetId="1">#REF!</definedName>
    <definedName name="TotalContratoSinIVA" localSheetId="2">#REF!</definedName>
    <definedName name="TotalContratoSinIVA" localSheetId="3">#REF!</definedName>
    <definedName name="TotalContratoSinIVA">#REF!</definedName>
    <definedName name="TotalImpuestosObra">[3]IMPUESTOS!$F$10</definedName>
    <definedName name="Tramite">[3]PERSONAL!$P$88</definedName>
    <definedName name="UNIDADMOBIL" localSheetId="1">#REF!</definedName>
    <definedName name="UNIDADMOBIL" localSheetId="2">#REF!</definedName>
    <definedName name="UNIDADMOBIL" localSheetId="3">#REF!</definedName>
    <definedName name="UNIDADMOBIL">#REF!</definedName>
    <definedName name="URBANA" localSheetId="1">#REF!</definedName>
    <definedName name="URBANA" localSheetId="2">#REF!</definedName>
    <definedName name="URBANA" localSheetId="3">#REF!</definedName>
    <definedName name="URBANA">#REF!</definedName>
    <definedName name="VALLE_DEL_CAUCA" localSheetId="1">#REF!</definedName>
    <definedName name="VALLE_DEL_CAUCA" localSheetId="2">#REF!</definedName>
    <definedName name="VALLE_DEL_CAUCA" localSheetId="3">#REF!</definedName>
    <definedName name="VALLE_DEL_CAUCA">#REF!</definedName>
    <definedName name="VAUPES" localSheetId="1">#REF!</definedName>
    <definedName name="VAUPES" localSheetId="2">#REF!</definedName>
    <definedName name="VAUPES" localSheetId="3">#REF!</definedName>
    <definedName name="VAUPES">#REF!</definedName>
    <definedName name="Viajes">[3]PERSONAL!$P$93</definedName>
    <definedName name="VICHADA" localSheetId="1">#REF!</definedName>
    <definedName name="VICHADA" localSheetId="2">#REF!</definedName>
    <definedName name="VICHADA" localSheetId="3">#REF!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1" l="1"/>
  <c r="F31" i="1"/>
  <c r="F32" i="1"/>
  <c r="H21" i="1" l="1"/>
  <c r="H19" i="1"/>
  <c r="H18" i="1"/>
  <c r="H16" i="1"/>
  <c r="H15" i="1"/>
  <c r="H14" i="1"/>
  <c r="H13" i="1"/>
  <c r="H12" i="1"/>
  <c r="H17" i="1"/>
  <c r="H22" i="1"/>
  <c r="H11" i="1"/>
  <c r="Q35" i="7" l="1"/>
  <c r="Q34" i="7"/>
  <c r="Q29" i="7"/>
  <c r="Q19" i="7"/>
  <c r="Q18" i="7"/>
  <c r="Q4" i="7"/>
  <c r="Q3" i="7"/>
  <c r="N35" i="7"/>
  <c r="N34" i="7"/>
  <c r="N29" i="7"/>
  <c r="N19" i="7"/>
  <c r="N12" i="7"/>
  <c r="H19" i="7"/>
  <c r="H18" i="7"/>
  <c r="H35" i="7"/>
  <c r="H34" i="7"/>
  <c r="H29" i="7"/>
  <c r="H28" i="7"/>
  <c r="H27" i="7"/>
  <c r="H23" i="7"/>
  <c r="H12" i="7"/>
  <c r="H11" i="7"/>
  <c r="H5" i="7"/>
  <c r="C36" i="7" l="1"/>
  <c r="D36" i="7"/>
  <c r="E36" i="7"/>
  <c r="F36" i="7"/>
  <c r="G36" i="7"/>
  <c r="I36" i="7"/>
  <c r="J36" i="7"/>
  <c r="K36" i="7"/>
  <c r="L36" i="7"/>
  <c r="M36" i="7"/>
  <c r="O36" i="7"/>
  <c r="P36" i="7"/>
  <c r="B36" i="7"/>
  <c r="Q5" i="7"/>
  <c r="Q6" i="7"/>
  <c r="Q7" i="7"/>
  <c r="Q8" i="7"/>
  <c r="Q9" i="7"/>
  <c r="Q10" i="7"/>
  <c r="Q11" i="7"/>
  <c r="Q12" i="7"/>
  <c r="Q13" i="7"/>
  <c r="Q14" i="7"/>
  <c r="Q15" i="7"/>
  <c r="Q16" i="7"/>
  <c r="Q17" i="7"/>
  <c r="Q20" i="7"/>
  <c r="Q21" i="7"/>
  <c r="Q22" i="7"/>
  <c r="Q23" i="7"/>
  <c r="Q24" i="7"/>
  <c r="Q25" i="7"/>
  <c r="Q26" i="7"/>
  <c r="Q27" i="7"/>
  <c r="Q28" i="7"/>
  <c r="Q30" i="7"/>
  <c r="Q31" i="7"/>
  <c r="Q32" i="7"/>
  <c r="Q33" i="7"/>
  <c r="N4" i="7"/>
  <c r="N5" i="7"/>
  <c r="N6" i="7"/>
  <c r="N7" i="7"/>
  <c r="N8" i="7"/>
  <c r="N9" i="7"/>
  <c r="N10" i="7"/>
  <c r="N11" i="7"/>
  <c r="N13" i="7"/>
  <c r="N14" i="7"/>
  <c r="N15" i="7"/>
  <c r="N16" i="7"/>
  <c r="N17" i="7"/>
  <c r="N18" i="7"/>
  <c r="R19" i="7"/>
  <c r="N20" i="7"/>
  <c r="N21" i="7"/>
  <c r="N22" i="7"/>
  <c r="N23" i="7"/>
  <c r="R23" i="7" s="1"/>
  <c r="N24" i="7"/>
  <c r="N25" i="7"/>
  <c r="N26" i="7"/>
  <c r="N27" i="7"/>
  <c r="R27" i="7" s="1"/>
  <c r="N28" i="7"/>
  <c r="N30" i="7"/>
  <c r="N31" i="7"/>
  <c r="N32" i="7"/>
  <c r="N33" i="7"/>
  <c r="R35" i="7"/>
  <c r="N3" i="7"/>
  <c r="H4" i="7"/>
  <c r="H6" i="7"/>
  <c r="H7" i="7"/>
  <c r="H8" i="7"/>
  <c r="H9" i="7"/>
  <c r="H10" i="7"/>
  <c r="R12" i="7"/>
  <c r="H13" i="7"/>
  <c r="H14" i="7"/>
  <c r="H15" i="7"/>
  <c r="H16" i="7"/>
  <c r="R16" i="7" s="1"/>
  <c r="H17" i="7"/>
  <c r="H20" i="7"/>
  <c r="H21" i="7"/>
  <c r="H22" i="7"/>
  <c r="H24" i="7"/>
  <c r="H25" i="7"/>
  <c r="H26" i="7"/>
  <c r="R28" i="7"/>
  <c r="H30" i="7"/>
  <c r="H31" i="7"/>
  <c r="H32" i="7"/>
  <c r="H33" i="7"/>
  <c r="H3" i="7"/>
  <c r="R32" i="7" l="1"/>
  <c r="R20" i="7"/>
  <c r="R24" i="7"/>
  <c r="R3" i="7"/>
  <c r="R11" i="7"/>
  <c r="R4" i="7"/>
  <c r="R8" i="7"/>
  <c r="R29" i="7"/>
  <c r="R17" i="7"/>
  <c r="R5" i="7"/>
  <c r="N36" i="7"/>
  <c r="R33" i="7"/>
  <c r="R21" i="7"/>
  <c r="R13" i="7"/>
  <c r="R31" i="7"/>
  <c r="R15" i="7"/>
  <c r="R7" i="7"/>
  <c r="R25" i="7"/>
  <c r="R9" i="7"/>
  <c r="R34" i="7"/>
  <c r="R30" i="7"/>
  <c r="R26" i="7"/>
  <c r="R22" i="7"/>
  <c r="R18" i="7"/>
  <c r="R14" i="7"/>
  <c r="R10" i="7"/>
  <c r="R6" i="7"/>
  <c r="H36" i="7"/>
  <c r="Q36" i="7"/>
  <c r="F51" i="10"/>
  <c r="F50" i="10"/>
  <c r="F49" i="10"/>
  <c r="F48" i="10"/>
  <c r="F47" i="10"/>
  <c r="F46" i="10"/>
  <c r="F45" i="10"/>
  <c r="F44" i="10"/>
  <c r="F43" i="10"/>
  <c r="F42" i="10"/>
  <c r="F41" i="10"/>
  <c r="F40" i="10"/>
  <c r="F39" i="10"/>
  <c r="F38" i="10"/>
  <c r="F37" i="10"/>
  <c r="F36" i="10"/>
  <c r="F35" i="10"/>
  <c r="F34" i="10"/>
  <c r="F33" i="10"/>
  <c r="A33" i="10"/>
  <c r="A34" i="10" s="1"/>
  <c r="A35" i="10" s="1"/>
  <c r="A36" i="10" s="1"/>
  <c r="A37" i="10" s="1"/>
  <c r="A38" i="10" s="1"/>
  <c r="A39" i="10" s="1"/>
  <c r="A40" i="10" s="1"/>
  <c r="A41" i="10" s="1"/>
  <c r="A42" i="10" s="1"/>
  <c r="A43" i="10" s="1"/>
  <c r="A44" i="10" s="1"/>
  <c r="A45" i="10" s="1"/>
  <c r="A46" i="10" s="1"/>
  <c r="A47" i="10" s="1"/>
  <c r="A48" i="10" s="1"/>
  <c r="A49" i="10" s="1"/>
  <c r="A50" i="10" s="1"/>
  <c r="A51" i="10" s="1"/>
  <c r="F32" i="10"/>
  <c r="F30" i="10"/>
  <c r="F29" i="10"/>
  <c r="F28" i="10"/>
  <c r="F27" i="10"/>
  <c r="F26" i="10"/>
  <c r="F25" i="10"/>
  <c r="F24" i="10"/>
  <c r="F23" i="10"/>
  <c r="F22" i="10"/>
  <c r="F21" i="10"/>
  <c r="F20" i="10"/>
  <c r="F19" i="10"/>
  <c r="AO18" i="10"/>
  <c r="F18" i="10"/>
  <c r="AO17" i="10"/>
  <c r="F17" i="10"/>
  <c r="AO16" i="10"/>
  <c r="F16" i="10"/>
  <c r="AO15" i="10"/>
  <c r="F15" i="10"/>
  <c r="AO14" i="10"/>
  <c r="F14" i="10"/>
  <c r="AO13" i="10"/>
  <c r="F13" i="10"/>
  <c r="AO12" i="10"/>
  <c r="F12" i="10"/>
  <c r="A12" i="10"/>
  <c r="A13" i="10" s="1"/>
  <c r="A14" i="10" s="1"/>
  <c r="A15" i="10" s="1"/>
  <c r="A16" i="10" s="1"/>
  <c r="A17" i="10" s="1"/>
  <c r="A18" i="10" s="1"/>
  <c r="A19" i="10" s="1"/>
  <c r="A20" i="10" s="1"/>
  <c r="A21" i="10" s="1"/>
  <c r="A22" i="10" s="1"/>
  <c r="A23" i="10" s="1"/>
  <c r="A24" i="10" s="1"/>
  <c r="A25" i="10" s="1"/>
  <c r="A26" i="10" s="1"/>
  <c r="A27" i="10" s="1"/>
  <c r="A28" i="10" s="1"/>
  <c r="A29" i="10" s="1"/>
  <c r="A30" i="10" s="1"/>
  <c r="AO11" i="10"/>
  <c r="F11" i="10"/>
  <c r="AO10" i="10"/>
  <c r="AO9" i="10"/>
  <c r="F9" i="10"/>
  <c r="AO8" i="10"/>
  <c r="F8" i="10"/>
  <c r="AO7" i="10"/>
  <c r="F7" i="10"/>
  <c r="AO6" i="10"/>
  <c r="F6" i="10"/>
  <c r="AO5" i="10"/>
  <c r="F5" i="10"/>
  <c r="A5" i="10"/>
  <c r="A6" i="10" s="1"/>
  <c r="A7" i="10" s="1"/>
  <c r="A8" i="10" s="1"/>
  <c r="A9" i="10" s="1"/>
  <c r="AO4" i="10"/>
  <c r="AO3" i="10"/>
  <c r="F4" i="10" s="1"/>
  <c r="AO10" i="9"/>
  <c r="F11" i="9"/>
  <c r="AO11" i="9"/>
  <c r="A12" i="9"/>
  <c r="A13" i="9" s="1"/>
  <c r="A14" i="9" s="1"/>
  <c r="A15" i="9" s="1"/>
  <c r="A16" i="9" s="1"/>
  <c r="A17" i="9" s="1"/>
  <c r="A18" i="9" s="1"/>
  <c r="A19" i="9" s="1"/>
  <c r="A20" i="9" s="1"/>
  <c r="A21" i="9" s="1"/>
  <c r="A22" i="9" s="1"/>
  <c r="A23" i="9" s="1"/>
  <c r="A24" i="9" s="1"/>
  <c r="A25" i="9" s="1"/>
  <c r="A26" i="9" s="1"/>
  <c r="A27" i="9" s="1"/>
  <c r="A28" i="9" s="1"/>
  <c r="A29" i="9" s="1"/>
  <c r="A30" i="9" s="1"/>
  <c r="AO12" i="9"/>
  <c r="F13" i="9"/>
  <c r="AO13" i="9"/>
  <c r="AO14" i="9"/>
  <c r="F15" i="9"/>
  <c r="AO15" i="9"/>
  <c r="AO16" i="9"/>
  <c r="F17" i="9"/>
  <c r="AO17" i="9"/>
  <c r="AO18" i="9"/>
  <c r="F19" i="9"/>
  <c r="F22" i="9"/>
  <c r="F23" i="9"/>
  <c r="F26" i="9"/>
  <c r="F27" i="9"/>
  <c r="F30" i="9"/>
  <c r="AO9" i="9"/>
  <c r="F9" i="9"/>
  <c r="AO8" i="9"/>
  <c r="F8" i="9"/>
  <c r="AO7" i="9"/>
  <c r="F7" i="9"/>
  <c r="AO6" i="9"/>
  <c r="F20" i="9" s="1"/>
  <c r="F6" i="9"/>
  <c r="AO5" i="9"/>
  <c r="F5" i="9"/>
  <c r="A5" i="9"/>
  <c r="A6" i="9" s="1"/>
  <c r="A7" i="9" s="1"/>
  <c r="A8" i="9" s="1"/>
  <c r="A9" i="9" s="1"/>
  <c r="AO4" i="9"/>
  <c r="AO3" i="9"/>
  <c r="F4" i="9" s="1"/>
  <c r="F29" i="9" l="1"/>
  <c r="F25" i="9"/>
  <c r="F21" i="9"/>
  <c r="F18" i="9"/>
  <c r="F16" i="9"/>
  <c r="F14" i="9"/>
  <c r="F12" i="9"/>
  <c r="F28" i="9"/>
  <c r="F24" i="9"/>
  <c r="R36" i="7"/>
  <c r="F74" i="1"/>
  <c r="F73" i="1"/>
  <c r="F72" i="1"/>
  <c r="F71" i="1"/>
  <c r="F70" i="1"/>
  <c r="F69" i="1"/>
  <c r="F68" i="1"/>
  <c r="F67" i="1"/>
  <c r="F66" i="1"/>
  <c r="F65" i="1"/>
  <c r="F64" i="1"/>
  <c r="F63" i="1"/>
  <c r="F62" i="1"/>
  <c r="F61" i="1"/>
  <c r="F60" i="1"/>
  <c r="F56" i="1"/>
  <c r="F54" i="1"/>
  <c r="F53" i="1"/>
  <c r="F52" i="1"/>
  <c r="F51" i="1"/>
  <c r="F50" i="1"/>
  <c r="F49" i="1"/>
  <c r="F46" i="1"/>
  <c r="F45" i="1"/>
  <c r="F44" i="1"/>
  <c r="F43" i="1"/>
  <c r="F42" i="1"/>
  <c r="F41" i="1"/>
  <c r="F40" i="1"/>
  <c r="F39" i="1"/>
  <c r="F38" i="1"/>
  <c r="F37" i="1"/>
  <c r="F35" i="1"/>
  <c r="F33" i="1"/>
  <c r="F29" i="1"/>
  <c r="F28" i="1"/>
  <c r="F27" i="1"/>
  <c r="F26" i="1"/>
  <c r="F25" i="1"/>
  <c r="F24" i="1"/>
  <c r="F23" i="1"/>
  <c r="F22" i="1"/>
  <c r="F21" i="1"/>
  <c r="F20" i="1"/>
  <c r="F19" i="1"/>
  <c r="F18" i="1"/>
  <c r="F17" i="1"/>
  <c r="F16" i="1"/>
  <c r="F15" i="1"/>
  <c r="F14" i="1"/>
  <c r="F13" i="1"/>
  <c r="F12" i="1"/>
  <c r="F11" i="1"/>
  <c r="F9" i="1"/>
  <c r="F8" i="1"/>
  <c r="F7" i="1"/>
  <c r="F6" i="1"/>
  <c r="F5" i="1"/>
  <c r="AO18" i="1"/>
  <c r="AO17" i="1"/>
  <c r="AO16" i="1"/>
  <c r="AO15" i="1"/>
  <c r="AO14" i="1"/>
  <c r="AO13" i="1"/>
  <c r="AO12" i="1"/>
  <c r="AO11" i="1"/>
  <c r="AO10" i="1"/>
  <c r="AO9" i="1"/>
  <c r="AO8" i="1"/>
  <c r="AO7" i="1"/>
  <c r="AO6" i="1"/>
  <c r="F47" i="1" s="1"/>
  <c r="AO5" i="1"/>
  <c r="AO4" i="1"/>
  <c r="F59" i="1" s="1"/>
  <c r="AO3" i="1"/>
  <c r="F4" i="1" s="1"/>
  <c r="F58" i="1" l="1"/>
  <c r="F48" i="1"/>
  <c r="F57" i="1"/>
  <c r="F36" i="1"/>
  <c r="A57" i="1"/>
  <c r="A58" i="1" s="1"/>
  <c r="A60" i="1" s="1"/>
  <c r="A61" i="1" s="1"/>
  <c r="A62" i="1" s="1"/>
  <c r="A63" i="1" s="1"/>
  <c r="A64" i="1" s="1"/>
  <c r="A65" i="1" s="1"/>
  <c r="A66" i="1" s="1"/>
  <c r="A67" i="1" s="1"/>
  <c r="A68" i="1" s="1"/>
  <c r="A69" i="1" s="1"/>
  <c r="A70" i="1" s="1"/>
  <c r="A71" i="1" s="1"/>
  <c r="A72" i="1" s="1"/>
  <c r="A73" i="1" s="1"/>
  <c r="A74" i="1" s="1"/>
  <c r="A36" i="1"/>
  <c r="A37" i="1" s="1"/>
  <c r="A38" i="1" s="1"/>
  <c r="A39" i="1" s="1"/>
  <c r="A40" i="1" s="1"/>
  <c r="A41" i="1" s="1"/>
  <c r="A42" i="1" s="1"/>
  <c r="A43" i="1" s="1"/>
  <c r="A44" i="1" s="1"/>
  <c r="A45" i="1" s="1"/>
  <c r="A46" i="1" s="1"/>
  <c r="A47" i="1" s="1"/>
  <c r="A48" i="1" s="1"/>
  <c r="A49" i="1" s="1"/>
  <c r="A50" i="1" s="1"/>
  <c r="A51" i="1" s="1"/>
  <c r="A52" i="1" s="1"/>
  <c r="A53" i="1" s="1"/>
  <c r="A54" i="1" s="1"/>
  <c r="A12" i="1"/>
  <c r="A13" i="1" s="1"/>
  <c r="A14" i="1" s="1"/>
  <c r="A15" i="1" s="1"/>
  <c r="A16" i="1" s="1"/>
  <c r="A17" i="1" s="1"/>
  <c r="A18" i="1" s="1"/>
  <c r="A19" i="1" s="1"/>
  <c r="A20" i="1" s="1"/>
  <c r="A21" i="1" s="1"/>
  <c r="A22" i="1" s="1"/>
  <c r="A23" i="1" s="1"/>
  <c r="A24" i="1" s="1"/>
  <c r="A25" i="1" s="1"/>
  <c r="A26" i="1" s="1"/>
  <c r="A27" i="1" s="1"/>
  <c r="A28" i="1" s="1"/>
  <c r="A29" i="1" s="1"/>
  <c r="A33" i="1" s="1"/>
  <c r="A5" i="1"/>
  <c r="A6" i="1" s="1"/>
  <c r="A7" i="1" s="1"/>
  <c r="A8" i="1" s="1"/>
  <c r="A9" i="1" s="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2.xml><?xml version="1.0" encoding="utf-8"?>
<comments xmlns="http://schemas.openxmlformats.org/spreadsheetml/2006/main">
  <authors>
    <author>Gabriel</author>
    <author>Catherine Angelica Cuenca Gomez</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C3" authorId="1" shapeId="0">
      <text>
        <r>
          <rPr>
            <sz val="9"/>
            <color indexed="81"/>
            <rFont val="Tahoma"/>
            <family val="2"/>
          </rPr>
          <t xml:space="preserve">Diligenciar el número de niños y niñas beneficiarios de la UDS
</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Para servicios públicos indicar si es facturación mensual, bimestral, etc.</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3.xml><?xml version="1.0" encoding="utf-8"?>
<comments xmlns="http://schemas.openxmlformats.org/spreadsheetml/2006/main">
  <authors>
    <author>Gabriel</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 xml:space="preserve">
Para servicios públicos indicar si es facturación mensual, bimestral, etc.
</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<sst xmlns="http://schemas.openxmlformats.org/spreadsheetml/2006/main" count="450" uniqueCount="205">
  <si>
    <t>AMAZONAS</t>
  </si>
  <si>
    <t>CDI CON ARRIENDO - INSTITUCIONAL INTEGRAL</t>
  </si>
  <si>
    <t>CDI SIN ARRIENDO -  INSTITUCIONAL INTEGRAL</t>
  </si>
  <si>
    <t>DESARROLLO INFANTIL EN MEDIO FAMILIAR CON ARRIENDO - FAMILIAR INTEGRAL</t>
  </si>
  <si>
    <t>ANTIOQUIA</t>
  </si>
  <si>
    <t>ATENCIÓN A NIÑOS HASTA LOS 3 AÑOS EN ESTABLECIMIENTOS DE RECLUSIÓN A MUJERES INTEGRAL</t>
  </si>
  <si>
    <t>HCB  AGRUPADOS -INSTITUCIONAL TRADICIONAL</t>
  </si>
  <si>
    <t>HCB FAMI-FAMILIAR TRADICIONAL</t>
  </si>
  <si>
    <t>HCB TRADICIONAL- COMUNITARIO (T)</t>
  </si>
  <si>
    <t>HOGARES EMPRESARIALES - INSTITUCIONAL INTEGRAL</t>
  </si>
  <si>
    <t>HOGARES INFANTILES - INSTITUCIONAL INTEGRAL</t>
  </si>
  <si>
    <t>JARDINES SOCIALES - INSTITUCIONAL INTEGRAL</t>
  </si>
  <si>
    <t>ARAUCA</t>
  </si>
  <si>
    <t>ATLANTICO</t>
  </si>
  <si>
    <t>HOGARES MULTIPLES - INSTITUCIONAL INTEGRAL</t>
  </si>
  <si>
    <t>BOGOTA</t>
  </si>
  <si>
    <t>BOLIVAR</t>
  </si>
  <si>
    <t>BOYACA</t>
  </si>
  <si>
    <t>CALDAS</t>
  </si>
  <si>
    <t>CAQUETA</t>
  </si>
  <si>
    <t>CASANARE</t>
  </si>
  <si>
    <t>CAUCA</t>
  </si>
  <si>
    <t>CESAR</t>
  </si>
  <si>
    <t>CHOCO</t>
  </si>
  <si>
    <t>CORDOBA</t>
  </si>
  <si>
    <t>CUNDINAMARCA</t>
  </si>
  <si>
    <t>GUAINIA</t>
  </si>
  <si>
    <t>GUAVIARE</t>
  </si>
  <si>
    <t>HUILA</t>
  </si>
  <si>
    <t>LA GUAJIRA</t>
  </si>
  <si>
    <t>MAGDALENA</t>
  </si>
  <si>
    <t>META</t>
  </si>
  <si>
    <t>NARIÑO</t>
  </si>
  <si>
    <t>NORTE DE SANTANDER</t>
  </si>
  <si>
    <t>PUTUMAYO</t>
  </si>
  <si>
    <t>QUINDIO</t>
  </si>
  <si>
    <t>RISARALDA</t>
  </si>
  <si>
    <t>SAN ANDRES</t>
  </si>
  <si>
    <t>SANTANDER</t>
  </si>
  <si>
    <t>SUCRE</t>
  </si>
  <si>
    <t>TOLIMA</t>
  </si>
  <si>
    <t>VALLE DEL CAUCA</t>
  </si>
  <si>
    <t>VAUPES</t>
  </si>
  <si>
    <t>VICHADA</t>
  </si>
  <si>
    <t>REGIONAL</t>
  </si>
  <si>
    <t>Decripción</t>
  </si>
  <si>
    <t>Serv. Publicos</t>
  </si>
  <si>
    <t>Acueducto y alcantarillado</t>
  </si>
  <si>
    <t>Energía</t>
  </si>
  <si>
    <t>Teléfono fijo</t>
  </si>
  <si>
    <t>Celular</t>
  </si>
  <si>
    <t>Gas</t>
  </si>
  <si>
    <t>Otro</t>
  </si>
  <si>
    <t>Unidad de medida</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</si>
  <si>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</si>
  <si>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</si>
  <si>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</si>
  <si>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</si>
  <si>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</si>
  <si>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</si>
  <si>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</si>
  <si>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</si>
  <si>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</si>
  <si>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</si>
  <si>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</si>
  <si>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</si>
  <si>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</si>
  <si>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11 Meses</t>
  </si>
  <si>
    <t>Anual</t>
  </si>
  <si>
    <t>Cada 2 Años</t>
  </si>
  <si>
    <t>Cada 3 Años</t>
  </si>
  <si>
    <t>Cada 4 Años</t>
  </si>
  <si>
    <t>Cada 5 Años</t>
  </si>
  <si>
    <t>Cada 10 Años</t>
  </si>
  <si>
    <t>Cada 20 Años</t>
  </si>
  <si>
    <t>Veces
/año</t>
  </si>
  <si>
    <r>
      <t xml:space="preserve">Dotación de consumo </t>
    </r>
    <r>
      <rPr>
        <b/>
        <sz val="8"/>
        <rFont val="Arial"/>
        <family val="2"/>
      </rPr>
      <t>(Material didáctico para actividades pedagógicas de acuerdo con lo establecido en lineamientos técnicos y papelería)</t>
    </r>
  </si>
  <si>
    <r>
      <t xml:space="preserve">Mantenimiento y adecuaciones </t>
    </r>
    <r>
      <rPr>
        <b/>
        <sz val="8"/>
        <rFont val="Arial"/>
        <family val="2"/>
      </rPr>
      <t>(Elementos de aseo institucional, mantenimiento de la sede, el control de agua (lavado de tanques), fumigaciones, manejo de basuras y control de plagas)</t>
    </r>
  </si>
  <si>
    <t>Dotación de aseo personal e Institucional</t>
  </si>
  <si>
    <t>MODALIDAD FAMILIAR (Desarrollo Infantil en Medio Familiar)</t>
  </si>
  <si>
    <t>DESARROLLO INFANTIL EN MEDIO FAMILIAR - FAMILIAR INTEGRAL</t>
  </si>
  <si>
    <t>LACTANTES Y PREESCOLARES - INSTITUCIONAL INTEGRAL</t>
  </si>
  <si>
    <t>MUESTRA</t>
  </si>
  <si>
    <t>CAPACIDAD UDS / DESCRIPCIÓN</t>
  </si>
  <si>
    <t>VALORES</t>
  </si>
  <si>
    <t>MODALIDAD INSTITUCIONAL (CDI y HI, ATENCIÓN A NIÑOS HASTA LOS 3 AÑOS EN ESTABLECIMIENTOS DE RECLUSIÓN A MUJERES INTEGRAL, HOGARES EMPRESARIALES, LACTANTES Y PRESESCOLARES)</t>
  </si>
  <si>
    <t>SERVICIOS QUE FUNCIONAN CON CANASTA HCB
MODALIDAD INSTITUCIONAL (Jardines Sociales, Múltiples)
MODALIDAD COMUNITARIA ( Familiar, Agrupado)
MODALIDAD FAMILIAR (HCB Fami)</t>
  </si>
  <si>
    <t>TOTAL</t>
  </si>
  <si>
    <t>Cantidad</t>
  </si>
  <si>
    <t>JABON FAB</t>
  </si>
  <si>
    <t>LIMPIDO</t>
  </si>
  <si>
    <t>SABRAS</t>
  </si>
  <si>
    <t>VINILOS</t>
  </si>
  <si>
    <t>PLASTILINA</t>
  </si>
  <si>
    <t>CRAYOLAS</t>
  </si>
  <si>
    <t>CARTULINA</t>
  </si>
  <si>
    <t>PAPEL IRIS</t>
  </si>
  <si>
    <t>PAPEL SEDA</t>
  </si>
  <si>
    <t>PAPEL SILIETA</t>
  </si>
  <si>
    <t>BLOCK OFICIO</t>
  </si>
  <si>
    <t>COLBON</t>
  </si>
  <si>
    <t>PAPEL CRAK</t>
  </si>
  <si>
    <t>CATON PAJA</t>
  </si>
  <si>
    <t>HICOPOR</t>
  </si>
  <si>
    <t>1 FRASCO POR CADA 5 NIÑOS</t>
  </si>
  <si>
    <t>1 CAJA  PARA CINCO NIÑOS</t>
  </si>
  <si>
    <t>2 CAJA  PARA CINCO NIÑOS</t>
  </si>
  <si>
    <t>1 PLIEGO PARA 4 NIÑOS</t>
  </si>
  <si>
    <t>1 CUADERNILLO PARA 15 NIÑOS</t>
  </si>
  <si>
    <t>1 PLIEGO PARA CADA NIÑO</t>
  </si>
  <si>
    <t>2 PLIEGO PARA CADA NIÑO</t>
  </si>
  <si>
    <t>JABON BARRA</t>
  </si>
  <si>
    <t>FABULOSO</t>
  </si>
  <si>
    <t>GUANTES</t>
  </si>
  <si>
    <t>BOLSAS BASURA</t>
  </si>
  <si>
    <t>ESCOBAS</t>
  </si>
  <si>
    <t>TRAPEROS</t>
  </si>
  <si>
    <t>RECOJEDOR</t>
  </si>
  <si>
    <t>BRILLADORAS</t>
  </si>
  <si>
    <t>31 BLOC MENSUAL PARA 125 NUÑOS</t>
  </si>
  <si>
    <t>1 PARA 15 NIÑOS</t>
  </si>
  <si>
    <t>1 ROLLO AL MES</t>
  </si>
  <si>
    <t>1 LAMINA POR 10 NIÑOS</t>
  </si>
  <si>
    <t>OTROS</t>
  </si>
  <si>
    <t>PALILLOS-PITILLOS-LANA</t>
  </si>
  <si>
    <t>AXION</t>
  </si>
  <si>
    <t>PILAS</t>
  </si>
  <si>
    <t>BOMBILLOS</t>
  </si>
  <si>
    <t>CREMA DENTAL</t>
  </si>
  <si>
    <t>AJON LIQUIDO</t>
  </si>
  <si>
    <t>ESPONJAS</t>
  </si>
  <si>
    <t>2 CAJAS EN EL MES FRASCO X 450</t>
  </si>
  <si>
    <t>2 CAJAS UNIDSD X 600 GRS</t>
  </si>
  <si>
    <t>6 UNIDADES EN EL MES</t>
  </si>
  <si>
    <t>24 UNIDDADES MES</t>
  </si>
  <si>
    <t>BOLSAS GRIS-VERDE-AZUL-INDUSTRIAL Y PARA PAPELERAS</t>
  </si>
  <si>
    <t>2 TUBOS DE CREMA PARA 35 NIÑOS</t>
  </si>
  <si>
    <t>FOSOFOROS</t>
  </si>
  <si>
    <t>LIMPIEZA DE PRADO</t>
  </si>
  <si>
    <t>FUMIGACION</t>
  </si>
  <si>
    <t>LAVADO TANQUES</t>
  </si>
  <si>
    <t>10000 POR CADA TANQUE DE AGUA</t>
  </si>
  <si>
    <t>FUMIGACION Y CONTROL DE PLAGAS</t>
  </si>
  <si>
    <t>MANTENIMIENTO LICUADORAS E INSTALACIONES LOCATIVAS</t>
  </si>
  <si>
    <t>A 31 DE MARZO EJECUTADO POR LA INSTITUCION EN MANTENIMIENTOS DE EQUIPOS E INSTLACIONES</t>
  </si>
  <si>
    <t>MARCADORES</t>
  </si>
  <si>
    <t>PAPEL COPIA CARTA Y OFICIO</t>
  </si>
  <si>
    <t>CLIP</t>
  </si>
  <si>
    <t>LAPICERO</t>
  </si>
  <si>
    <t>TINTAS</t>
  </si>
  <si>
    <t>CUADERNOS</t>
  </si>
  <si>
    <t>GANCHOS LEGAJADORES</t>
  </si>
  <si>
    <t>MARCADORES BORRBLES</t>
  </si>
  <si>
    <t xml:space="preserve">CARPETAS </t>
  </si>
  <si>
    <t>PACA OLOR A LIMON X 250 GRS</t>
  </si>
  <si>
    <t>LIMPIA HORNOS-MATA CUCARACHAS-CEPILLOS-DELANTALES PLASTICOS</t>
  </si>
  <si>
    <t>Decripción PARA ATENCION DE 125 NIÑOS</t>
  </si>
  <si>
    <t>1..ATENDEMOS 125 NIÑOS Y NIÑAS</t>
  </si>
  <si>
    <t>2...TENEMOS SALACUNA</t>
  </si>
  <si>
    <t>3..TENEMOS DOS COCINAS</t>
  </si>
  <si>
    <t xml:space="preserve">4..DOS BATERIAS SANITARIA </t>
  </si>
  <si>
    <t>PARA ADECUAR ESPACIOS DE ACUERDO A LAS ACTIVIDADES COTIDIANAS DEL MES( 5 AULAS)</t>
  </si>
  <si>
    <t xml:space="preserve"> 1FRASCO X 850 GRS PARA CADA 35NIÑOS CADA 15 DIAS</t>
  </si>
  <si>
    <t>ADECUACIONES ESPACIOS SIGNIFICATIVOS</t>
  </si>
  <si>
    <t>MODALIDAD INSTITUCIONAL ASOCIACION DE PADRES DE FAMILIA Y VECINOS DEL HOGAR INFANTIL LOS OLIVOS 125 NIÑOS Y NIÑAS CON SALACUNA</t>
  </si>
  <si>
    <t>kW</t>
  </si>
  <si>
    <t>Lts</t>
  </si>
  <si>
    <t>Resma</t>
  </si>
  <si>
    <t>Papel carta</t>
  </si>
  <si>
    <t>una (1) resma de papel tamaño carta</t>
  </si>
  <si>
    <t>Cartulina 1/8</t>
  </si>
  <si>
    <t>Paquete</t>
  </si>
  <si>
    <t>tres (3) paquetes de cartulina en diferentes colores tamaño 1/8 x 25 unidades cada paquete</t>
  </si>
  <si>
    <t>Papel crepe</t>
  </si>
  <si>
    <t>un (1) paquete de papel crepe x 6 unidades cada paquete</t>
  </si>
  <si>
    <t>Plastilina</t>
  </si>
  <si>
    <t>Kilo</t>
  </si>
  <si>
    <t>un (1) kilo de plastilina colores surtidos</t>
  </si>
  <si>
    <t>Crayolas</t>
  </si>
  <si>
    <t>Caja</t>
  </si>
  <si>
    <t>una (1) caja de crayolas colores surtidos x 12 unidades cada caja</t>
  </si>
  <si>
    <t>Colbon</t>
  </si>
  <si>
    <t>un (1) kilo de colbon</t>
  </si>
  <si>
    <t>Cinta pegante</t>
  </si>
  <si>
    <t>Rollo</t>
  </si>
  <si>
    <t>un (1) rollo de cinta pegante ancha</t>
  </si>
  <si>
    <t>Marcadores</t>
  </si>
  <si>
    <t>una (1) caja de marcadores punta gruesa, colores surtidos x 6 unidades cada caja</t>
  </si>
  <si>
    <t>Papel iris</t>
  </si>
  <si>
    <t>Block</t>
  </si>
  <si>
    <t>un (1) block de papel iris, colores surtidos x 100 hojas</t>
  </si>
  <si>
    <t>Escarcha</t>
  </si>
  <si>
    <t>un (1) paquete de frascos de escarcha, colores surtidos x 12 frascos</t>
  </si>
  <si>
    <t>Juego de pinceles</t>
  </si>
  <si>
    <t xml:space="preserve">un (1) paquete juego de pinceles, tamaños surtidos x 12 pinceles </t>
  </si>
  <si>
    <t>Vinilos</t>
  </si>
  <si>
    <t>Palos de paletas</t>
  </si>
  <si>
    <t>tres (3) paquetes de palos de paleta x 30 palos</t>
  </si>
  <si>
    <t>seis (6) cajas de vinilos, colores surtidos x 6 colores</t>
  </si>
  <si>
    <t>Tijeras punta roma</t>
  </si>
  <si>
    <t>Unidad</t>
  </si>
  <si>
    <t>seis (6) tijeras punta roma</t>
  </si>
  <si>
    <t>Colores</t>
  </si>
  <si>
    <t>una (1) caja de colores gruesos doble punta x 12 colores cada caja</t>
  </si>
  <si>
    <t>MODALIDAD COMUNITARIA - HCB Tradicionales - HCB Mis Travesuras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</si>
</sst>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quot;$&quot;* #,##0.00_-;_-&quot;$&quot;*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s>
  <fonts count="16">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b/>
      <sz val="11"/>
      <color theme="1"/>
      <name val="Calibri"/>
      <family val="2"/>
      <scheme val="minor"/>
    </font>
    <font>
      <sz val="9"/>
      <color indexed="81"/>
      <name val="Tahoma"/>
      <family val="2"/>
    </font>
    <font>
      <b/>
      <sz val="9"/>
      <color indexed="81"/>
      <name val="Tahoma"/>
      <family val="2"/>
    </font>
    <font>
      <b/>
      <sz val="11"/>
      <color theme="0"/>
      <name val="Calibri"/>
      <family val="2"/>
      <scheme val="minor"/>
    </font>
    <font>
      <b/>
      <sz val="12"/>
      <color theme="1"/>
      <name val="Arial"/>
      <family val="2"/>
    </font>
    <font>
      <b/>
      <sz val="8"/>
      <name val="Arial"/>
      <family val="2"/>
    </font>
    <font>
      <b/>
      <sz val="11"/>
      <name val="Calibri"/>
      <family val="2"/>
      <scheme val="minor"/>
    </font>
    <font>
      <b/>
      <sz val="12"/>
      <name val="Arial"/>
      <family val="2"/>
    </font>
  </fonts>
  <fills count="11">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indexed="2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39997558519241921"/>
        <bgColor indexed="64"/>
      </patternFill>
    </fill>
  </fills>
  <borders count="16">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bottom style="thin">
        <color indexed="64"/>
      </bottom>
      <diagonal/>
    </border>
  </borders>
  <cellStyleXfs count="13">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cellStyleXfs>
  <cellXfs count="94">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3" fontId="0" fillId="0" borderId="0" xfId="0" applyNumberFormat="1"/>
    <xf numFmtId="0" fontId="0" fillId="0" borderId="2" xfId="0" applyBorder="1"/>
    <xf numFmtId="3" fontId="0" fillId="0" borderId="2" xfId="0" applyNumberFormat="1" applyBorder="1"/>
    <xf numFmtId="0" fontId="0" fillId="0" borderId="0" xfId="0" applyAlignment="1">
      <alignment wrapText="1"/>
    </xf>
    <xf numFmtId="0" fontId="3" fillId="0" borderId="1" xfId="1" applyFont="1" applyBorder="1" applyAlignment="1">
      <alignment horizontal="center"/>
    </xf>
    <xf numFmtId="0" fontId="5" fillId="0" borderId="2" xfId="1" applyFont="1" applyBorder="1" applyAlignment="1">
      <alignment horizontal="center" vertical="center"/>
    </xf>
    <xf numFmtId="44" fontId="5" fillId="0" borderId="2" xfId="12" applyFont="1" applyFill="1" applyBorder="1" applyAlignment="1">
      <alignment horizontal="left" vertical="center" wrapText="1"/>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5"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7" borderId="2" xfId="1" applyFill="1" applyBorder="1" applyAlignment="1">
      <alignment horizontal="center"/>
    </xf>
    <xf numFmtId="0" fontId="2" fillId="9" borderId="2" xfId="1" applyFill="1" applyBorder="1" applyAlignment="1">
      <alignment horizontal="center"/>
    </xf>
    <xf numFmtId="0" fontId="0" fillId="0" borderId="0" xfId="0" applyAlignment="1">
      <alignment vertical="center"/>
    </xf>
    <xf numFmtId="3" fontId="0" fillId="0" borderId="8" xfId="0" applyNumberFormat="1" applyBorder="1"/>
    <xf numFmtId="0" fontId="14" fillId="9" borderId="2"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2" fillId="9" borderId="2" xfId="1" applyFont="1" applyFill="1" applyBorder="1" applyAlignment="1">
      <alignment horizontal="center" vertical="center" wrapText="1"/>
    </xf>
    <xf numFmtId="0" fontId="15" fillId="9" borderId="2" xfId="1" applyFont="1" applyFill="1" applyBorder="1" applyAlignment="1">
      <alignment horizontal="center" vertical="center" wrapText="1"/>
    </xf>
    <xf numFmtId="0" fontId="14" fillId="7" borderId="2" xfId="0" applyFont="1" applyFill="1" applyBorder="1" applyAlignment="1">
      <alignment horizontal="center" vertical="center" wrapText="1"/>
    </xf>
    <xf numFmtId="0" fontId="2" fillId="10" borderId="2" xfId="1" applyFill="1" applyBorder="1" applyAlignment="1">
      <alignment horizontal="center"/>
    </xf>
    <xf numFmtId="0" fontId="12" fillId="7" borderId="2" xfId="1" applyFont="1" applyFill="1" applyBorder="1" applyAlignment="1">
      <alignment horizontal="center" vertical="center" wrapText="1"/>
    </xf>
    <xf numFmtId="0" fontId="15" fillId="7" borderId="2" xfId="1" applyFont="1" applyFill="1" applyBorder="1" applyAlignment="1">
      <alignment horizontal="center" vertical="center" wrapText="1"/>
    </xf>
    <xf numFmtId="0" fontId="12" fillId="10" borderId="2" xfId="1" applyFont="1" applyFill="1" applyBorder="1" applyAlignment="1">
      <alignment horizontal="center" vertical="center" wrapText="1"/>
    </xf>
    <xf numFmtId="0" fontId="15" fillId="10" borderId="2" xfId="1"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0" borderId="2" xfId="0" applyFont="1" applyFill="1" applyBorder="1" applyAlignment="1">
      <alignment horizontal="center" vertical="center" wrapText="1"/>
    </xf>
    <xf numFmtId="3" fontId="0" fillId="0" borderId="6" xfId="0" applyNumberFormat="1" applyBorder="1"/>
    <xf numFmtId="3" fontId="0" fillId="0" borderId="2" xfId="0" applyNumberFormat="1" applyBorder="1" applyAlignment="1">
      <alignment wrapText="1"/>
    </xf>
    <xf numFmtId="3" fontId="0" fillId="8" borderId="2" xfId="0" applyNumberFormat="1" applyFill="1" applyBorder="1"/>
    <xf numFmtId="3" fontId="8" fillId="8" borderId="2" xfId="0" applyNumberFormat="1" applyFont="1" applyFill="1" applyBorder="1"/>
    <xf numFmtId="3" fontId="8" fillId="8" borderId="2" xfId="0" applyNumberFormat="1" applyFont="1" applyFill="1" applyBorder="1" applyAlignment="1">
      <alignment horizontal="right" wrapText="1"/>
    </xf>
    <xf numFmtId="3" fontId="0" fillId="6" borderId="2" xfId="0" applyNumberFormat="1" applyFill="1" applyBorder="1" applyAlignment="1">
      <alignment horizontal="center"/>
    </xf>
    <xf numFmtId="3" fontId="8" fillId="8" borderId="2" xfId="0" applyNumberFormat="1" applyFont="1" applyFill="1" applyBorder="1" applyAlignment="1">
      <alignment horizontal="center" wrapText="1"/>
    </xf>
    <xf numFmtId="0" fontId="2" fillId="0" borderId="2" xfId="1" applyFill="1" applyBorder="1" applyAlignment="1">
      <alignment horizontal="left"/>
    </xf>
    <xf numFmtId="0" fontId="2" fillId="0" borderId="2" xfId="1" applyFill="1" applyBorder="1" applyAlignment="1">
      <alignment horizontal="left" wrapText="1"/>
    </xf>
    <xf numFmtId="0" fontId="2" fillId="0" borderId="2" xfId="1" applyFont="1" applyFill="1" applyBorder="1" applyAlignment="1">
      <alignment horizontal="center" wrapText="1"/>
    </xf>
    <xf numFmtId="0" fontId="6" fillId="0" borderId="2" xfId="1" applyFont="1" applyFill="1" applyBorder="1" applyAlignment="1">
      <alignment horizontal="center"/>
    </xf>
    <xf numFmtId="0" fontId="2" fillId="0" borderId="0" xfId="1" applyBorder="1" applyAlignment="1">
      <alignment horizontal="center"/>
    </xf>
    <xf numFmtId="0" fontId="2" fillId="0" borderId="0" xfId="1" applyFont="1" applyBorder="1" applyAlignment="1">
      <alignment horizontal="center"/>
    </xf>
    <xf numFmtId="0" fontId="2" fillId="0" borderId="0" xfId="1" applyBorder="1"/>
    <xf numFmtId="0" fontId="2" fillId="0" borderId="0" xfId="1" applyBorder="1" applyAlignment="1"/>
    <xf numFmtId="44" fontId="2" fillId="0" borderId="0" xfId="12" applyFont="1" applyBorder="1"/>
    <xf numFmtId="168" fontId="4" fillId="0" borderId="2" xfId="0" applyNumberFormat="1" applyFont="1" applyBorder="1" applyAlignment="1">
      <alignment horizontal="center" vertical="top" wrapText="1"/>
    </xf>
    <xf numFmtId="0" fontId="6" fillId="0" borderId="2" xfId="1" applyFont="1" applyFill="1" applyBorder="1" applyAlignment="1">
      <alignment horizontal="center" wrapText="1"/>
    </xf>
    <xf numFmtId="0" fontId="6" fillId="0" borderId="2" xfId="1" applyFont="1" applyFill="1" applyBorder="1" applyAlignment="1">
      <alignment horizontal="left"/>
    </xf>
    <xf numFmtId="0" fontId="11" fillId="4" borderId="0"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4" fillId="9" borderId="6"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4" fillId="9" borderId="8"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8" fillId="10" borderId="15" xfId="0" applyFont="1" applyFill="1" applyBorder="1" applyAlignment="1">
      <alignment horizontal="center" vertical="center" wrapText="1"/>
    </xf>
    <xf numFmtId="0" fontId="8" fillId="10" borderId="14" xfId="0" applyFont="1" applyFill="1" applyBorder="1" applyAlignment="1">
      <alignment horizontal="center" vertical="center" wrapText="1"/>
    </xf>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5" fillId="0" borderId="5" xfId="1" applyFont="1" applyFill="1" applyBorder="1" applyAlignment="1">
      <alignment horizontal="center" vertical="center" textRotation="90" wrapText="1"/>
    </xf>
    <xf numFmtId="0" fontId="5" fillId="0" borderId="2" xfId="1" applyFont="1" applyFill="1" applyBorder="1" applyAlignment="1">
      <alignment horizontal="center" vertical="center" textRotation="90" wrapText="1"/>
    </xf>
    <xf numFmtId="0" fontId="12" fillId="9" borderId="6" xfId="1" applyFont="1" applyFill="1" applyBorder="1" applyAlignment="1">
      <alignment horizontal="center" vertical="center" wrapText="1"/>
    </xf>
    <xf numFmtId="0" fontId="12" fillId="9" borderId="7" xfId="1" applyFont="1" applyFill="1" applyBorder="1" applyAlignment="1">
      <alignment horizontal="center" vertical="center" wrapText="1"/>
    </xf>
    <xf numFmtId="0" fontId="12" fillId="9"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xf numFmtId="0" fontId="5" fillId="0" borderId="0" xfId="1" applyFont="1" applyBorder="1" applyAlignment="1">
      <alignment horizontal="left"/>
    </xf>
    <xf numFmtId="0" fontId="2" fillId="0" borderId="0" xfId="1" applyBorder="1" applyAlignment="1">
      <alignment horizontal="center"/>
    </xf>
    <xf numFmtId="0" fontId="12" fillId="7" borderId="6" xfId="1" applyFont="1" applyFill="1" applyBorder="1" applyAlignment="1">
      <alignment horizontal="center" vertical="center" wrapText="1"/>
    </xf>
    <xf numFmtId="0" fontId="12" fillId="7" borderId="7" xfId="1" applyFont="1" applyFill="1" applyBorder="1" applyAlignment="1">
      <alignment horizontal="center" vertical="center" wrapText="1"/>
    </xf>
    <xf numFmtId="0" fontId="12" fillId="7" borderId="8" xfId="1" applyFont="1" applyFill="1" applyBorder="1" applyAlignment="1">
      <alignment horizontal="center" vertical="center" wrapText="1"/>
    </xf>
    <xf numFmtId="0" fontId="12" fillId="10" borderId="6" xfId="1" applyFont="1" applyFill="1" applyBorder="1" applyAlignment="1">
      <alignment horizontal="center" vertical="center" wrapText="1"/>
    </xf>
    <xf numFmtId="0" fontId="12" fillId="10" borderId="7" xfId="1" applyFont="1" applyFill="1" applyBorder="1" applyAlignment="1">
      <alignment horizontal="center" vertical="center" wrapText="1"/>
    </xf>
    <xf numFmtId="0" fontId="12" fillId="10" borderId="8" xfId="1" applyFont="1" applyFill="1" applyBorder="1" applyAlignment="1">
      <alignment horizontal="center" vertical="center" wrapText="1"/>
    </xf>
  </cellXfs>
  <cellStyles count="13">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ual 2 2 2" xfId="6"/>
  </cellStyles>
  <dxfs count="11">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wnloads/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workbookViewId="0">
      <selection activeCell="A11" sqref="A11"/>
    </sheetView>
  </sheetViews>
  <sheetFormatPr baseColWidth="10" defaultRowHeight="15"/>
  <cols>
    <col min="1" max="1" width="25" customWidth="1"/>
    <col min="2" max="2" width="20.625" style="17" hidden="1" customWidth="1"/>
    <col min="3" max="3" width="19.25" style="14" hidden="1" customWidth="1"/>
    <col min="4" max="4" width="16.625" style="14" hidden="1" customWidth="1"/>
    <col min="5" max="6" width="15.625" hidden="1" customWidth="1"/>
    <col min="7" max="7" width="15.875" hidden="1" customWidth="1"/>
    <col min="8" max="8" width="43" customWidth="1"/>
    <col min="9" max="9" width="15.625" hidden="1" customWidth="1"/>
    <col min="10" max="10" width="18.875" hidden="1" customWidth="1"/>
    <col min="11" max="11" width="17.625" hidden="1" customWidth="1"/>
    <col min="12" max="12" width="17" hidden="1" customWidth="1"/>
    <col min="13" max="13" width="10.25" hidden="1" customWidth="1"/>
    <col min="14" max="14" width="41.25" customWidth="1"/>
    <col min="15" max="15" width="16" hidden="1" customWidth="1"/>
    <col min="16" max="16" width="18.375" hidden="1" customWidth="1"/>
    <col min="17" max="17" width="29.25" customWidth="1"/>
  </cols>
  <sheetData>
    <row r="1" spans="1:18" ht="71.25" customHeight="1">
      <c r="A1" s="68" t="s">
        <v>44</v>
      </c>
      <c r="B1" s="70" t="s">
        <v>85</v>
      </c>
      <c r="C1" s="71"/>
      <c r="D1" s="71"/>
      <c r="E1" s="71"/>
      <c r="F1" s="71"/>
      <c r="G1" s="71"/>
      <c r="H1" s="72"/>
      <c r="I1" s="73" t="s">
        <v>86</v>
      </c>
      <c r="J1" s="73"/>
      <c r="K1" s="73"/>
      <c r="L1" s="73"/>
      <c r="M1" s="73"/>
      <c r="N1" s="73"/>
      <c r="O1" s="74" t="s">
        <v>79</v>
      </c>
      <c r="P1" s="75"/>
      <c r="Q1" s="75"/>
      <c r="R1" s="68" t="s">
        <v>87</v>
      </c>
    </row>
    <row r="2" spans="1:18" s="35" customFormat="1" ht="75">
      <c r="A2" s="69"/>
      <c r="B2" s="37" t="s">
        <v>5</v>
      </c>
      <c r="C2" s="37" t="s">
        <v>1</v>
      </c>
      <c r="D2" s="37" t="s">
        <v>2</v>
      </c>
      <c r="E2" s="37" t="s">
        <v>9</v>
      </c>
      <c r="F2" s="37" t="s">
        <v>10</v>
      </c>
      <c r="G2" s="37" t="s">
        <v>81</v>
      </c>
      <c r="H2" s="38" t="s">
        <v>82</v>
      </c>
      <c r="I2" s="41" t="s">
        <v>14</v>
      </c>
      <c r="J2" s="41" t="s">
        <v>11</v>
      </c>
      <c r="K2" s="41" t="s">
        <v>6</v>
      </c>
      <c r="L2" s="41" t="s">
        <v>8</v>
      </c>
      <c r="M2" s="41" t="s">
        <v>7</v>
      </c>
      <c r="N2" s="38" t="s">
        <v>82</v>
      </c>
      <c r="O2" s="47" t="s">
        <v>80</v>
      </c>
      <c r="P2" s="48" t="s">
        <v>3</v>
      </c>
      <c r="Q2" s="38" t="s">
        <v>82</v>
      </c>
      <c r="R2" s="69"/>
    </row>
    <row r="3" spans="1:18">
      <c r="A3" s="49" t="s">
        <v>0</v>
      </c>
      <c r="B3" s="50"/>
      <c r="C3" s="16">
        <v>47</v>
      </c>
      <c r="D3" s="16">
        <v>2</v>
      </c>
      <c r="E3" s="16"/>
      <c r="F3" s="16"/>
      <c r="G3" s="16"/>
      <c r="H3" s="54">
        <f>+SUM(B3:G3)*20%</f>
        <v>9.8000000000000007</v>
      </c>
      <c r="I3" s="16"/>
      <c r="J3" s="16"/>
      <c r="K3" s="36"/>
      <c r="L3" s="16"/>
      <c r="M3" s="16"/>
      <c r="N3" s="54">
        <f>+SUM(I3:M3)*20%</f>
        <v>0</v>
      </c>
      <c r="O3" s="16">
        <v>38</v>
      </c>
      <c r="P3" s="16"/>
      <c r="Q3" s="54">
        <f>+SUM(O3:P3)*50%</f>
        <v>19</v>
      </c>
      <c r="R3" s="51">
        <f>+Q3+N3+H3</f>
        <v>28.8</v>
      </c>
    </row>
    <row r="4" spans="1:18">
      <c r="A4" s="49" t="s">
        <v>4</v>
      </c>
      <c r="B4" s="50">
        <v>1</v>
      </c>
      <c r="C4" s="16">
        <v>73</v>
      </c>
      <c r="D4" s="16">
        <v>121</v>
      </c>
      <c r="E4" s="16">
        <v>1</v>
      </c>
      <c r="F4" s="16">
        <v>117</v>
      </c>
      <c r="G4" s="16">
        <v>2</v>
      </c>
      <c r="H4" s="54">
        <f t="shared" ref="H4:H33" si="0">+SUM(B4:G4)*20%</f>
        <v>63</v>
      </c>
      <c r="I4" s="16"/>
      <c r="J4" s="16">
        <v>18</v>
      </c>
      <c r="K4" s="36">
        <v>1</v>
      </c>
      <c r="L4" s="16">
        <v>4683</v>
      </c>
      <c r="M4" s="16">
        <v>702</v>
      </c>
      <c r="N4" s="54">
        <f t="shared" ref="N4:N33" si="1">+SUM(I4:M4)*20%</f>
        <v>1080.8</v>
      </c>
      <c r="O4" s="16">
        <v>9</v>
      </c>
      <c r="P4" s="16"/>
      <c r="Q4" s="54">
        <f>+SUM(O4:P4)*50%</f>
        <v>4.5</v>
      </c>
      <c r="R4" s="51">
        <f t="shared" ref="R4:R35" si="2">+Q4+N4+H4</f>
        <v>1148.3</v>
      </c>
    </row>
    <row r="5" spans="1:18">
      <c r="A5" s="49" t="s">
        <v>12</v>
      </c>
      <c r="B5" s="50"/>
      <c r="C5" s="16">
        <v>7</v>
      </c>
      <c r="D5" s="16">
        <v>17</v>
      </c>
      <c r="E5" s="16"/>
      <c r="F5" s="16">
        <v>6</v>
      </c>
      <c r="G5" s="16"/>
      <c r="H5" s="54">
        <f>+SUM(B5:G5)*50%</f>
        <v>15</v>
      </c>
      <c r="I5" s="16"/>
      <c r="J5" s="16"/>
      <c r="K5" s="36"/>
      <c r="L5" s="16">
        <v>62</v>
      </c>
      <c r="M5" s="16">
        <v>13</v>
      </c>
      <c r="N5" s="54">
        <f t="shared" si="1"/>
        <v>15</v>
      </c>
      <c r="O5" s="16">
        <v>135</v>
      </c>
      <c r="P5" s="16">
        <v>30</v>
      </c>
      <c r="Q5" s="54">
        <f t="shared" ref="Q5:Q33" si="3">+SUM(O5:P5)*20%</f>
        <v>33</v>
      </c>
      <c r="R5" s="51">
        <f t="shared" si="2"/>
        <v>63</v>
      </c>
    </row>
    <row r="6" spans="1:18">
      <c r="A6" s="49" t="s">
        <v>13</v>
      </c>
      <c r="B6" s="50"/>
      <c r="C6" s="16">
        <v>35</v>
      </c>
      <c r="D6" s="16">
        <v>36</v>
      </c>
      <c r="E6" s="16"/>
      <c r="F6" s="16">
        <v>48</v>
      </c>
      <c r="G6" s="16"/>
      <c r="H6" s="54">
        <f t="shared" si="0"/>
        <v>23.8</v>
      </c>
      <c r="I6" s="16">
        <v>1</v>
      </c>
      <c r="J6" s="16">
        <v>3</v>
      </c>
      <c r="K6" s="36"/>
      <c r="L6" s="16">
        <v>2304</v>
      </c>
      <c r="M6" s="16">
        <v>1042</v>
      </c>
      <c r="N6" s="54">
        <f t="shared" si="1"/>
        <v>670</v>
      </c>
      <c r="O6" s="16">
        <v>7</v>
      </c>
      <c r="P6" s="16">
        <v>56</v>
      </c>
      <c r="Q6" s="54">
        <f t="shared" si="3"/>
        <v>12.600000000000001</v>
      </c>
      <c r="R6" s="51">
        <f t="shared" si="2"/>
        <v>706.4</v>
      </c>
    </row>
    <row r="7" spans="1:18">
      <c r="A7" s="49" t="s">
        <v>15</v>
      </c>
      <c r="B7" s="50">
        <v>3</v>
      </c>
      <c r="C7" s="16">
        <v>43</v>
      </c>
      <c r="D7" s="16">
        <v>26</v>
      </c>
      <c r="E7" s="16">
        <v>5</v>
      </c>
      <c r="F7" s="16">
        <v>100</v>
      </c>
      <c r="G7" s="16">
        <v>1</v>
      </c>
      <c r="H7" s="54">
        <f t="shared" si="0"/>
        <v>35.6</v>
      </c>
      <c r="I7" s="16"/>
      <c r="J7" s="16"/>
      <c r="K7" s="36">
        <v>308</v>
      </c>
      <c r="L7" s="16">
        <v>4757</v>
      </c>
      <c r="M7" s="16">
        <v>50</v>
      </c>
      <c r="N7" s="54">
        <f t="shared" si="1"/>
        <v>1023</v>
      </c>
      <c r="O7" s="16">
        <v>550</v>
      </c>
      <c r="P7" s="16"/>
      <c r="Q7" s="54">
        <f t="shared" si="3"/>
        <v>110</v>
      </c>
      <c r="R7" s="51">
        <f t="shared" si="2"/>
        <v>1168.5999999999999</v>
      </c>
    </row>
    <row r="8" spans="1:18">
      <c r="A8" s="49" t="s">
        <v>16</v>
      </c>
      <c r="B8" s="50"/>
      <c r="C8" s="16">
        <v>35</v>
      </c>
      <c r="D8" s="16">
        <v>58</v>
      </c>
      <c r="E8" s="16"/>
      <c r="F8" s="16">
        <v>34</v>
      </c>
      <c r="G8" s="16"/>
      <c r="H8" s="54">
        <f t="shared" si="0"/>
        <v>25.400000000000002</v>
      </c>
      <c r="I8" s="16"/>
      <c r="J8" s="16"/>
      <c r="K8" s="36">
        <v>5</v>
      </c>
      <c r="L8" s="16">
        <v>3162</v>
      </c>
      <c r="M8" s="16">
        <v>657</v>
      </c>
      <c r="N8" s="54">
        <f t="shared" si="1"/>
        <v>764.80000000000007</v>
      </c>
      <c r="O8" s="16">
        <v>40</v>
      </c>
      <c r="P8" s="16">
        <v>59</v>
      </c>
      <c r="Q8" s="54">
        <f t="shared" si="3"/>
        <v>19.8</v>
      </c>
      <c r="R8" s="51">
        <f t="shared" si="2"/>
        <v>810</v>
      </c>
    </row>
    <row r="9" spans="1:18">
      <c r="A9" s="49" t="s">
        <v>17</v>
      </c>
      <c r="B9" s="50"/>
      <c r="C9" s="16">
        <v>8</v>
      </c>
      <c r="D9" s="16">
        <v>28</v>
      </c>
      <c r="E9" s="16"/>
      <c r="F9" s="16">
        <v>28</v>
      </c>
      <c r="G9" s="16"/>
      <c r="H9" s="54">
        <f t="shared" si="0"/>
        <v>12.8</v>
      </c>
      <c r="I9" s="16">
        <v>1</v>
      </c>
      <c r="J9" s="16"/>
      <c r="K9" s="36">
        <v>42</v>
      </c>
      <c r="L9" s="16">
        <v>1459</v>
      </c>
      <c r="M9" s="16">
        <v>432</v>
      </c>
      <c r="N9" s="54">
        <f t="shared" si="1"/>
        <v>386.8</v>
      </c>
      <c r="O9" s="16">
        <v>82</v>
      </c>
      <c r="P9" s="16">
        <v>36</v>
      </c>
      <c r="Q9" s="54">
        <f t="shared" si="3"/>
        <v>23.6</v>
      </c>
      <c r="R9" s="51">
        <f t="shared" si="2"/>
        <v>423.20000000000005</v>
      </c>
    </row>
    <row r="10" spans="1:18">
      <c r="A10" s="49" t="s">
        <v>18</v>
      </c>
      <c r="B10" s="50"/>
      <c r="C10" s="16">
        <v>59</v>
      </c>
      <c r="D10" s="16">
        <v>63</v>
      </c>
      <c r="E10" s="16"/>
      <c r="F10" s="16">
        <v>6</v>
      </c>
      <c r="G10" s="16"/>
      <c r="H10" s="54">
        <f t="shared" si="0"/>
        <v>25.6</v>
      </c>
      <c r="I10" s="16"/>
      <c r="J10" s="16"/>
      <c r="K10" s="36"/>
      <c r="L10" s="16">
        <v>422</v>
      </c>
      <c r="M10" s="16">
        <v>24</v>
      </c>
      <c r="N10" s="54">
        <f t="shared" si="1"/>
        <v>89.2</v>
      </c>
      <c r="O10" s="16">
        <v>200</v>
      </c>
      <c r="P10" s="16">
        <v>164</v>
      </c>
      <c r="Q10" s="54">
        <f t="shared" si="3"/>
        <v>72.8</v>
      </c>
      <c r="R10" s="51">
        <f t="shared" si="2"/>
        <v>187.6</v>
      </c>
    </row>
    <row r="11" spans="1:18">
      <c r="A11" s="49" t="s">
        <v>19</v>
      </c>
      <c r="B11" s="50"/>
      <c r="C11" s="16">
        <v>8</v>
      </c>
      <c r="D11" s="16">
        <v>23</v>
      </c>
      <c r="E11" s="16"/>
      <c r="F11" s="16">
        <v>15</v>
      </c>
      <c r="G11" s="16"/>
      <c r="H11" s="54">
        <f>+SUM(B11:G11)*50%</f>
        <v>23</v>
      </c>
      <c r="I11" s="16"/>
      <c r="J11" s="16"/>
      <c r="K11" s="36"/>
      <c r="L11" s="16">
        <v>323</v>
      </c>
      <c r="M11" s="16">
        <v>1</v>
      </c>
      <c r="N11" s="54">
        <f t="shared" si="1"/>
        <v>64.8</v>
      </c>
      <c r="O11" s="16"/>
      <c r="P11" s="16">
        <v>164</v>
      </c>
      <c r="Q11" s="54">
        <f t="shared" si="3"/>
        <v>32.800000000000004</v>
      </c>
      <c r="R11" s="51">
        <f t="shared" si="2"/>
        <v>120.6</v>
      </c>
    </row>
    <row r="12" spans="1:18">
      <c r="A12" s="49" t="s">
        <v>20</v>
      </c>
      <c r="B12" s="50"/>
      <c r="C12" s="16">
        <v>19</v>
      </c>
      <c r="D12" s="16">
        <v>19</v>
      </c>
      <c r="E12" s="16"/>
      <c r="F12" s="16">
        <v>3</v>
      </c>
      <c r="G12" s="16"/>
      <c r="H12" s="54">
        <f>+SUM(B12:G12)*50%</f>
        <v>20.5</v>
      </c>
      <c r="I12" s="16"/>
      <c r="J12" s="16"/>
      <c r="K12" s="36">
        <v>2</v>
      </c>
      <c r="L12" s="16">
        <v>14</v>
      </c>
      <c r="M12" s="16"/>
      <c r="N12" s="54">
        <f>+SUM(I12:M12)*50%</f>
        <v>8</v>
      </c>
      <c r="O12" s="16">
        <v>1</v>
      </c>
      <c r="P12" s="16">
        <v>121</v>
      </c>
      <c r="Q12" s="54">
        <f t="shared" si="3"/>
        <v>24.400000000000002</v>
      </c>
      <c r="R12" s="51">
        <f t="shared" si="2"/>
        <v>52.900000000000006</v>
      </c>
    </row>
    <row r="13" spans="1:18">
      <c r="A13" s="49" t="s">
        <v>21</v>
      </c>
      <c r="B13" s="50">
        <v>1</v>
      </c>
      <c r="C13" s="16">
        <v>1</v>
      </c>
      <c r="D13" s="16">
        <v>36</v>
      </c>
      <c r="E13" s="16"/>
      <c r="F13" s="16">
        <v>30</v>
      </c>
      <c r="G13" s="16"/>
      <c r="H13" s="54">
        <f t="shared" si="0"/>
        <v>13.600000000000001</v>
      </c>
      <c r="I13" s="16"/>
      <c r="J13" s="16"/>
      <c r="K13" s="36">
        <v>63</v>
      </c>
      <c r="L13" s="16">
        <v>2697</v>
      </c>
      <c r="M13" s="16">
        <v>141</v>
      </c>
      <c r="N13" s="54">
        <f t="shared" si="1"/>
        <v>580.20000000000005</v>
      </c>
      <c r="O13" s="16">
        <v>299</v>
      </c>
      <c r="P13" s="16">
        <v>404</v>
      </c>
      <c r="Q13" s="54">
        <f t="shared" si="3"/>
        <v>140.6</v>
      </c>
      <c r="R13" s="51">
        <f t="shared" si="2"/>
        <v>734.40000000000009</v>
      </c>
    </row>
    <row r="14" spans="1:18">
      <c r="A14" s="49" t="s">
        <v>22</v>
      </c>
      <c r="B14" s="50"/>
      <c r="C14" s="16">
        <v>32</v>
      </c>
      <c r="D14" s="16">
        <v>55</v>
      </c>
      <c r="E14" s="16"/>
      <c r="F14" s="16">
        <v>10</v>
      </c>
      <c r="G14" s="16"/>
      <c r="H14" s="54">
        <f t="shared" si="0"/>
        <v>19.400000000000002</v>
      </c>
      <c r="I14" s="16"/>
      <c r="J14" s="16"/>
      <c r="K14" s="36"/>
      <c r="L14" s="16">
        <v>1558</v>
      </c>
      <c r="M14" s="16">
        <v>465</v>
      </c>
      <c r="N14" s="54">
        <f t="shared" si="1"/>
        <v>404.6</v>
      </c>
      <c r="O14" s="16">
        <v>3</v>
      </c>
      <c r="P14" s="16">
        <v>53</v>
      </c>
      <c r="Q14" s="54">
        <f t="shared" si="3"/>
        <v>11.200000000000001</v>
      </c>
      <c r="R14" s="51">
        <f t="shared" si="2"/>
        <v>435.2</v>
      </c>
    </row>
    <row r="15" spans="1:18">
      <c r="A15" s="49" t="s">
        <v>23</v>
      </c>
      <c r="B15" s="50"/>
      <c r="C15" s="16">
        <v>6</v>
      </c>
      <c r="D15" s="16">
        <v>31</v>
      </c>
      <c r="E15" s="16"/>
      <c r="F15" s="16">
        <v>37</v>
      </c>
      <c r="G15" s="16"/>
      <c r="H15" s="54">
        <f t="shared" si="0"/>
        <v>14.8</v>
      </c>
      <c r="I15" s="16">
        <v>1</v>
      </c>
      <c r="J15" s="16"/>
      <c r="K15" s="36">
        <v>4</v>
      </c>
      <c r="L15" s="16">
        <v>991</v>
      </c>
      <c r="M15" s="16">
        <v>196</v>
      </c>
      <c r="N15" s="54">
        <f t="shared" si="1"/>
        <v>238.4</v>
      </c>
      <c r="O15" s="16">
        <v>519</v>
      </c>
      <c r="P15" s="16"/>
      <c r="Q15" s="54">
        <f t="shared" si="3"/>
        <v>103.80000000000001</v>
      </c>
      <c r="R15" s="51">
        <f t="shared" si="2"/>
        <v>357.00000000000006</v>
      </c>
    </row>
    <row r="16" spans="1:18">
      <c r="A16" s="49" t="s">
        <v>24</v>
      </c>
      <c r="B16" s="50"/>
      <c r="C16" s="16">
        <v>43</v>
      </c>
      <c r="D16" s="16">
        <v>58</v>
      </c>
      <c r="E16" s="16"/>
      <c r="F16" s="16">
        <v>1</v>
      </c>
      <c r="G16" s="16"/>
      <c r="H16" s="54">
        <f t="shared" si="0"/>
        <v>20.400000000000002</v>
      </c>
      <c r="I16" s="16"/>
      <c r="J16" s="16"/>
      <c r="K16" s="36"/>
      <c r="L16" s="16">
        <v>2461</v>
      </c>
      <c r="M16" s="16">
        <v>1253</v>
      </c>
      <c r="N16" s="54">
        <f t="shared" si="1"/>
        <v>742.80000000000007</v>
      </c>
      <c r="O16" s="16">
        <v>30</v>
      </c>
      <c r="P16" s="16">
        <v>68</v>
      </c>
      <c r="Q16" s="54">
        <f t="shared" si="3"/>
        <v>19.600000000000001</v>
      </c>
      <c r="R16" s="51">
        <f t="shared" si="2"/>
        <v>782.80000000000007</v>
      </c>
    </row>
    <row r="17" spans="1:18">
      <c r="A17" s="49" t="s">
        <v>25</v>
      </c>
      <c r="B17" s="50"/>
      <c r="C17" s="16">
        <v>50</v>
      </c>
      <c r="D17" s="16">
        <v>101</v>
      </c>
      <c r="E17" s="16">
        <v>8</v>
      </c>
      <c r="F17" s="16">
        <v>27</v>
      </c>
      <c r="G17" s="16"/>
      <c r="H17" s="54">
        <f t="shared" si="0"/>
        <v>37.200000000000003</v>
      </c>
      <c r="I17" s="16">
        <v>1</v>
      </c>
      <c r="J17" s="16">
        <v>1</v>
      </c>
      <c r="K17" s="36">
        <v>157</v>
      </c>
      <c r="L17" s="16">
        <v>836</v>
      </c>
      <c r="M17" s="16">
        <v>170</v>
      </c>
      <c r="N17" s="54">
        <f t="shared" si="1"/>
        <v>233</v>
      </c>
      <c r="O17" s="16">
        <v>965</v>
      </c>
      <c r="P17" s="16"/>
      <c r="Q17" s="54">
        <f t="shared" si="3"/>
        <v>193</v>
      </c>
      <c r="R17" s="51">
        <f t="shared" si="2"/>
        <v>463.2</v>
      </c>
    </row>
    <row r="18" spans="1:18">
      <c r="A18" s="49" t="s">
        <v>26</v>
      </c>
      <c r="B18" s="50"/>
      <c r="C18" s="16">
        <v>2</v>
      </c>
      <c r="D18" s="16">
        <v>2</v>
      </c>
      <c r="E18" s="16"/>
      <c r="F18" s="16">
        <v>1</v>
      </c>
      <c r="G18" s="16"/>
      <c r="H18" s="54">
        <f>+SUM(B18:G18)*50%</f>
        <v>2.5</v>
      </c>
      <c r="I18" s="16"/>
      <c r="J18" s="16"/>
      <c r="K18" s="36"/>
      <c r="L18" s="16"/>
      <c r="M18" s="16"/>
      <c r="N18" s="54">
        <f t="shared" si="1"/>
        <v>0</v>
      </c>
      <c r="O18" s="16">
        <v>1</v>
      </c>
      <c r="P18" s="16"/>
      <c r="Q18" s="54">
        <f>+SUM(O18:P18)*50%</f>
        <v>0.5</v>
      </c>
      <c r="R18" s="51">
        <f t="shared" si="2"/>
        <v>3</v>
      </c>
    </row>
    <row r="19" spans="1:18">
      <c r="A19" s="49" t="s">
        <v>27</v>
      </c>
      <c r="B19" s="50"/>
      <c r="C19" s="16"/>
      <c r="D19" s="16">
        <v>5</v>
      </c>
      <c r="E19" s="16"/>
      <c r="F19" s="16">
        <v>2</v>
      </c>
      <c r="G19" s="16"/>
      <c r="H19" s="54">
        <f>+SUM(B19:G19)*50%</f>
        <v>3.5</v>
      </c>
      <c r="I19" s="16"/>
      <c r="J19" s="16"/>
      <c r="K19" s="36"/>
      <c r="L19" s="16">
        <v>31</v>
      </c>
      <c r="M19" s="16"/>
      <c r="N19" s="54">
        <f>+SUM(I19:M19)*50%</f>
        <v>15.5</v>
      </c>
      <c r="O19" s="16">
        <v>14</v>
      </c>
      <c r="P19" s="16"/>
      <c r="Q19" s="54">
        <f>+SUM(O19:P19)*50%</f>
        <v>7</v>
      </c>
      <c r="R19" s="51">
        <f t="shared" si="2"/>
        <v>26</v>
      </c>
    </row>
    <row r="20" spans="1:18">
      <c r="A20" s="49" t="s">
        <v>28</v>
      </c>
      <c r="B20" s="50"/>
      <c r="C20" s="16">
        <v>11</v>
      </c>
      <c r="D20" s="16">
        <v>43</v>
      </c>
      <c r="E20" s="16"/>
      <c r="F20" s="16">
        <v>43</v>
      </c>
      <c r="G20" s="16"/>
      <c r="H20" s="54">
        <f t="shared" si="0"/>
        <v>19.400000000000002</v>
      </c>
      <c r="I20" s="16"/>
      <c r="J20" s="16"/>
      <c r="K20" s="36">
        <v>1</v>
      </c>
      <c r="L20" s="16">
        <v>1677</v>
      </c>
      <c r="M20" s="16">
        <v>199</v>
      </c>
      <c r="N20" s="54">
        <f t="shared" si="1"/>
        <v>375.40000000000003</v>
      </c>
      <c r="O20" s="16">
        <v>8</v>
      </c>
      <c r="P20" s="16">
        <v>72</v>
      </c>
      <c r="Q20" s="54">
        <f t="shared" si="3"/>
        <v>16</v>
      </c>
      <c r="R20" s="51">
        <f t="shared" si="2"/>
        <v>410.8</v>
      </c>
    </row>
    <row r="21" spans="1:18">
      <c r="A21" s="49" t="s">
        <v>29</v>
      </c>
      <c r="B21" s="50"/>
      <c r="C21" s="16">
        <v>48</v>
      </c>
      <c r="D21" s="16">
        <v>58</v>
      </c>
      <c r="E21" s="16"/>
      <c r="F21" s="16">
        <v>14</v>
      </c>
      <c r="G21" s="16"/>
      <c r="H21" s="54">
        <f t="shared" si="0"/>
        <v>24</v>
      </c>
      <c r="I21" s="16"/>
      <c r="J21" s="16"/>
      <c r="K21" s="36">
        <v>38</v>
      </c>
      <c r="L21" s="16">
        <v>2</v>
      </c>
      <c r="M21" s="16">
        <v>102</v>
      </c>
      <c r="N21" s="54">
        <f t="shared" si="1"/>
        <v>28.400000000000002</v>
      </c>
      <c r="O21" s="16">
        <v>211</v>
      </c>
      <c r="P21" s="16">
        <v>3</v>
      </c>
      <c r="Q21" s="54">
        <f t="shared" si="3"/>
        <v>42.800000000000004</v>
      </c>
      <c r="R21" s="51">
        <f t="shared" si="2"/>
        <v>95.2</v>
      </c>
    </row>
    <row r="22" spans="1:18">
      <c r="A22" s="49" t="s">
        <v>30</v>
      </c>
      <c r="B22" s="50"/>
      <c r="C22" s="16">
        <v>4</v>
      </c>
      <c r="D22" s="16">
        <v>38</v>
      </c>
      <c r="E22" s="16"/>
      <c r="F22" s="16">
        <v>19</v>
      </c>
      <c r="G22" s="16"/>
      <c r="H22" s="54">
        <f t="shared" si="0"/>
        <v>12.200000000000001</v>
      </c>
      <c r="I22" s="16"/>
      <c r="J22" s="16"/>
      <c r="K22" s="36">
        <v>5</v>
      </c>
      <c r="L22" s="16">
        <v>2554</v>
      </c>
      <c r="M22" s="16">
        <v>686</v>
      </c>
      <c r="N22" s="54">
        <f t="shared" si="1"/>
        <v>649</v>
      </c>
      <c r="O22" s="16">
        <v>610</v>
      </c>
      <c r="P22" s="16"/>
      <c r="Q22" s="54">
        <f t="shared" si="3"/>
        <v>122</v>
      </c>
      <c r="R22" s="51">
        <f t="shared" si="2"/>
        <v>783.2</v>
      </c>
    </row>
    <row r="23" spans="1:18">
      <c r="A23" s="49" t="s">
        <v>31</v>
      </c>
      <c r="B23" s="50"/>
      <c r="C23" s="16">
        <v>4</v>
      </c>
      <c r="D23" s="16">
        <v>11</v>
      </c>
      <c r="E23" s="16"/>
      <c r="F23" s="16">
        <v>23</v>
      </c>
      <c r="G23" s="16"/>
      <c r="H23" s="54">
        <f>+SUM(B23:G23)*50%</f>
        <v>19</v>
      </c>
      <c r="I23" s="16"/>
      <c r="J23" s="16"/>
      <c r="K23" s="36">
        <v>15</v>
      </c>
      <c r="L23" s="16">
        <v>600</v>
      </c>
      <c r="M23" s="16">
        <v>204</v>
      </c>
      <c r="N23" s="54">
        <f t="shared" si="1"/>
        <v>163.80000000000001</v>
      </c>
      <c r="O23" s="16">
        <v>15</v>
      </c>
      <c r="P23" s="16">
        <v>218</v>
      </c>
      <c r="Q23" s="54">
        <f t="shared" si="3"/>
        <v>46.6</v>
      </c>
      <c r="R23" s="51">
        <f t="shared" si="2"/>
        <v>229.4</v>
      </c>
    </row>
    <row r="24" spans="1:18">
      <c r="A24" s="49" t="s">
        <v>32</v>
      </c>
      <c r="B24" s="50"/>
      <c r="C24" s="16">
        <v>71</v>
      </c>
      <c r="D24" s="16">
        <v>98</v>
      </c>
      <c r="E24" s="16">
        <v>2</v>
      </c>
      <c r="F24" s="16">
        <v>17</v>
      </c>
      <c r="G24" s="16"/>
      <c r="H24" s="54">
        <f t="shared" si="0"/>
        <v>37.6</v>
      </c>
      <c r="I24" s="16"/>
      <c r="J24" s="16">
        <v>2</v>
      </c>
      <c r="K24" s="36">
        <v>6</v>
      </c>
      <c r="L24" s="16">
        <v>2464</v>
      </c>
      <c r="M24" s="16">
        <v>1147</v>
      </c>
      <c r="N24" s="54">
        <f t="shared" si="1"/>
        <v>723.80000000000007</v>
      </c>
      <c r="O24" s="16">
        <v>171</v>
      </c>
      <c r="P24" s="16"/>
      <c r="Q24" s="54">
        <f t="shared" si="3"/>
        <v>34.200000000000003</v>
      </c>
      <c r="R24" s="51">
        <f t="shared" si="2"/>
        <v>795.60000000000014</v>
      </c>
    </row>
    <row r="25" spans="1:18">
      <c r="A25" s="49" t="s">
        <v>33</v>
      </c>
      <c r="B25" s="50">
        <v>1</v>
      </c>
      <c r="C25" s="16">
        <v>24</v>
      </c>
      <c r="D25" s="16">
        <v>43</v>
      </c>
      <c r="E25" s="16"/>
      <c r="F25" s="16">
        <v>34</v>
      </c>
      <c r="G25" s="16"/>
      <c r="H25" s="54">
        <f t="shared" si="0"/>
        <v>20.400000000000002</v>
      </c>
      <c r="I25" s="16"/>
      <c r="J25" s="16"/>
      <c r="K25" s="36">
        <v>11</v>
      </c>
      <c r="L25" s="16">
        <v>1312</v>
      </c>
      <c r="M25" s="16">
        <v>724</v>
      </c>
      <c r="N25" s="54">
        <f t="shared" si="1"/>
        <v>409.40000000000003</v>
      </c>
      <c r="O25" s="16">
        <v>304</v>
      </c>
      <c r="P25" s="16"/>
      <c r="Q25" s="54">
        <f t="shared" si="3"/>
        <v>60.800000000000004</v>
      </c>
      <c r="R25" s="51">
        <f t="shared" si="2"/>
        <v>490.6</v>
      </c>
    </row>
    <row r="26" spans="1:18">
      <c r="A26" s="49" t="s">
        <v>34</v>
      </c>
      <c r="B26" s="50"/>
      <c r="C26" s="16">
        <v>14</v>
      </c>
      <c r="D26" s="16">
        <v>36</v>
      </c>
      <c r="E26" s="16"/>
      <c r="F26" s="16">
        <v>5</v>
      </c>
      <c r="G26" s="16"/>
      <c r="H26" s="54">
        <f t="shared" si="0"/>
        <v>11</v>
      </c>
      <c r="I26" s="16"/>
      <c r="J26" s="16"/>
      <c r="K26" s="36"/>
      <c r="L26" s="16">
        <v>67</v>
      </c>
      <c r="M26" s="16">
        <v>2</v>
      </c>
      <c r="N26" s="54">
        <f t="shared" si="1"/>
        <v>13.8</v>
      </c>
      <c r="O26" s="16">
        <v>142</v>
      </c>
      <c r="P26" s="16">
        <v>51</v>
      </c>
      <c r="Q26" s="54">
        <f t="shared" si="3"/>
        <v>38.6</v>
      </c>
      <c r="R26" s="51">
        <f t="shared" si="2"/>
        <v>63.400000000000006</v>
      </c>
    </row>
    <row r="27" spans="1:18">
      <c r="A27" s="49" t="s">
        <v>35</v>
      </c>
      <c r="B27" s="50"/>
      <c r="C27" s="16">
        <v>3</v>
      </c>
      <c r="D27" s="16">
        <v>14</v>
      </c>
      <c r="E27" s="16"/>
      <c r="F27" s="16">
        <v>19</v>
      </c>
      <c r="G27" s="16"/>
      <c r="H27" s="54">
        <f>+SUM(B27:G27)*50%</f>
        <v>18</v>
      </c>
      <c r="I27" s="16"/>
      <c r="J27" s="16">
        <v>1</v>
      </c>
      <c r="K27" s="36">
        <v>22</v>
      </c>
      <c r="L27" s="16">
        <v>450</v>
      </c>
      <c r="M27" s="16">
        <v>180</v>
      </c>
      <c r="N27" s="54">
        <f t="shared" si="1"/>
        <v>130.6</v>
      </c>
      <c r="O27" s="16">
        <v>62</v>
      </c>
      <c r="P27" s="16"/>
      <c r="Q27" s="54">
        <f t="shared" si="3"/>
        <v>12.4</v>
      </c>
      <c r="R27" s="51">
        <f t="shared" si="2"/>
        <v>161</v>
      </c>
    </row>
    <row r="28" spans="1:18">
      <c r="A28" s="49" t="s">
        <v>36</v>
      </c>
      <c r="B28" s="50">
        <v>1</v>
      </c>
      <c r="C28" s="16">
        <v>4</v>
      </c>
      <c r="D28" s="16">
        <v>18</v>
      </c>
      <c r="E28" s="16">
        <v>1</v>
      </c>
      <c r="F28" s="16">
        <v>17</v>
      </c>
      <c r="G28" s="16"/>
      <c r="H28" s="54">
        <f>+SUM(B28:G28)*50%</f>
        <v>20.5</v>
      </c>
      <c r="I28" s="16"/>
      <c r="J28" s="16"/>
      <c r="K28" s="36">
        <v>2</v>
      </c>
      <c r="L28" s="16">
        <v>750</v>
      </c>
      <c r="M28" s="16">
        <v>8</v>
      </c>
      <c r="N28" s="54">
        <f t="shared" si="1"/>
        <v>152</v>
      </c>
      <c r="O28" s="16">
        <v>28</v>
      </c>
      <c r="P28" s="16">
        <v>206</v>
      </c>
      <c r="Q28" s="54">
        <f t="shared" si="3"/>
        <v>46.800000000000004</v>
      </c>
      <c r="R28" s="51">
        <f t="shared" si="2"/>
        <v>219.3</v>
      </c>
    </row>
    <row r="29" spans="1:18">
      <c r="A29" s="49" t="s">
        <v>37</v>
      </c>
      <c r="B29" s="50"/>
      <c r="C29" s="16">
        <v>5</v>
      </c>
      <c r="D29" s="16">
        <v>6</v>
      </c>
      <c r="E29" s="16"/>
      <c r="F29" s="16"/>
      <c r="G29" s="16"/>
      <c r="H29" s="54">
        <f>+SUM(B29:G29)*50%</f>
        <v>5.5</v>
      </c>
      <c r="I29" s="16"/>
      <c r="J29" s="16"/>
      <c r="K29" s="36"/>
      <c r="L29" s="16">
        <v>34</v>
      </c>
      <c r="M29" s="16"/>
      <c r="N29" s="54">
        <f>+SUM(I29:M29)*50%</f>
        <v>17</v>
      </c>
      <c r="O29" s="16">
        <v>2</v>
      </c>
      <c r="P29" s="16">
        <v>1</v>
      </c>
      <c r="Q29" s="54">
        <f>+SUM(O29:P29)*50%</f>
        <v>1.5</v>
      </c>
      <c r="R29" s="51">
        <f t="shared" si="2"/>
        <v>24</v>
      </c>
    </row>
    <row r="30" spans="1:18">
      <c r="A30" s="49" t="s">
        <v>38</v>
      </c>
      <c r="B30" s="50">
        <v>1</v>
      </c>
      <c r="C30" s="16">
        <v>5</v>
      </c>
      <c r="D30" s="16">
        <v>27</v>
      </c>
      <c r="E30" s="16"/>
      <c r="F30" s="16">
        <v>38</v>
      </c>
      <c r="G30" s="16"/>
      <c r="H30" s="54">
        <f t="shared" si="0"/>
        <v>14.200000000000001</v>
      </c>
      <c r="I30" s="16"/>
      <c r="J30" s="16">
        <v>1</v>
      </c>
      <c r="K30" s="36">
        <v>57</v>
      </c>
      <c r="L30" s="16">
        <v>1804</v>
      </c>
      <c r="M30" s="16">
        <v>406</v>
      </c>
      <c r="N30" s="54">
        <f t="shared" si="1"/>
        <v>453.6</v>
      </c>
      <c r="O30" s="16">
        <v>109</v>
      </c>
      <c r="P30" s="16"/>
      <c r="Q30" s="54">
        <f t="shared" si="3"/>
        <v>21.8</v>
      </c>
      <c r="R30" s="51">
        <f t="shared" si="2"/>
        <v>489.6</v>
      </c>
    </row>
    <row r="31" spans="1:18">
      <c r="A31" s="49" t="s">
        <v>39</v>
      </c>
      <c r="B31" s="50"/>
      <c r="C31" s="16">
        <v>18</v>
      </c>
      <c r="D31" s="16">
        <v>28</v>
      </c>
      <c r="E31" s="16"/>
      <c r="F31" s="16">
        <v>12</v>
      </c>
      <c r="G31" s="16"/>
      <c r="H31" s="54">
        <f t="shared" si="0"/>
        <v>11.600000000000001</v>
      </c>
      <c r="I31" s="16"/>
      <c r="J31" s="16"/>
      <c r="K31" s="36">
        <v>8</v>
      </c>
      <c r="L31" s="16">
        <v>1831</v>
      </c>
      <c r="M31" s="16">
        <v>516</v>
      </c>
      <c r="N31" s="54">
        <f t="shared" si="1"/>
        <v>471</v>
      </c>
      <c r="O31" s="16">
        <v>209</v>
      </c>
      <c r="P31" s="16"/>
      <c r="Q31" s="54">
        <f t="shared" si="3"/>
        <v>41.800000000000004</v>
      </c>
      <c r="R31" s="51">
        <f t="shared" si="2"/>
        <v>524.4</v>
      </c>
    </row>
    <row r="32" spans="1:18">
      <c r="A32" s="49" t="s">
        <v>40</v>
      </c>
      <c r="B32" s="50">
        <v>1</v>
      </c>
      <c r="C32" s="16">
        <v>58</v>
      </c>
      <c r="D32" s="16">
        <v>70</v>
      </c>
      <c r="E32" s="16">
        <v>1</v>
      </c>
      <c r="F32" s="16">
        <v>30</v>
      </c>
      <c r="G32" s="16"/>
      <c r="H32" s="54">
        <f t="shared" si="0"/>
        <v>32</v>
      </c>
      <c r="I32" s="16"/>
      <c r="J32" s="16"/>
      <c r="K32" s="36">
        <v>51</v>
      </c>
      <c r="L32" s="16">
        <v>156</v>
      </c>
      <c r="M32" s="16">
        <v>63</v>
      </c>
      <c r="N32" s="54">
        <f t="shared" si="1"/>
        <v>54</v>
      </c>
      <c r="O32" s="16">
        <v>346</v>
      </c>
      <c r="P32" s="16">
        <v>33</v>
      </c>
      <c r="Q32" s="54">
        <f t="shared" si="3"/>
        <v>75.8</v>
      </c>
      <c r="R32" s="51">
        <f t="shared" si="2"/>
        <v>161.80000000000001</v>
      </c>
    </row>
    <row r="33" spans="1:18">
      <c r="A33" s="49" t="s">
        <v>41</v>
      </c>
      <c r="B33" s="50">
        <v>2</v>
      </c>
      <c r="C33" s="16">
        <v>48</v>
      </c>
      <c r="D33" s="16">
        <v>78</v>
      </c>
      <c r="E33" s="16">
        <v>3</v>
      </c>
      <c r="F33" s="16">
        <v>85</v>
      </c>
      <c r="G33" s="16"/>
      <c r="H33" s="54">
        <f t="shared" si="0"/>
        <v>43.2</v>
      </c>
      <c r="I33" s="16"/>
      <c r="J33" s="16"/>
      <c r="K33" s="36">
        <v>100</v>
      </c>
      <c r="L33" s="16">
        <v>3535</v>
      </c>
      <c r="M33" s="16">
        <v>737</v>
      </c>
      <c r="N33" s="54">
        <f t="shared" si="1"/>
        <v>874.40000000000009</v>
      </c>
      <c r="O33" s="16">
        <v>95</v>
      </c>
      <c r="P33" s="16"/>
      <c r="Q33" s="54">
        <f t="shared" si="3"/>
        <v>19</v>
      </c>
      <c r="R33" s="51">
        <f t="shared" si="2"/>
        <v>936.60000000000014</v>
      </c>
    </row>
    <row r="34" spans="1:18">
      <c r="A34" s="49" t="s">
        <v>42</v>
      </c>
      <c r="B34" s="50"/>
      <c r="C34" s="16"/>
      <c r="D34" s="16">
        <v>1</v>
      </c>
      <c r="E34" s="16"/>
      <c r="F34" s="16"/>
      <c r="G34" s="16"/>
      <c r="H34" s="54">
        <f>+SUM(B34:G34)*50%</f>
        <v>0.5</v>
      </c>
      <c r="I34" s="16"/>
      <c r="J34" s="16"/>
      <c r="K34" s="36">
        <v>2</v>
      </c>
      <c r="L34" s="16">
        <v>34</v>
      </c>
      <c r="M34" s="16"/>
      <c r="N34" s="54">
        <f>+SUM(I34:M34)*50%</f>
        <v>18</v>
      </c>
      <c r="O34" s="16">
        <v>11</v>
      </c>
      <c r="P34" s="16"/>
      <c r="Q34" s="54">
        <f>+SUM(O34:P34)*50%</f>
        <v>5.5</v>
      </c>
      <c r="R34" s="51">
        <f t="shared" si="2"/>
        <v>24</v>
      </c>
    </row>
    <row r="35" spans="1:18">
      <c r="A35" s="49" t="s">
        <v>43</v>
      </c>
      <c r="B35" s="50"/>
      <c r="C35" s="16"/>
      <c r="D35" s="16">
        <v>2</v>
      </c>
      <c r="E35" s="16"/>
      <c r="F35" s="16">
        <v>1</v>
      </c>
      <c r="G35" s="16"/>
      <c r="H35" s="54">
        <f>+SUM(B35:G35)*50%</f>
        <v>1.5</v>
      </c>
      <c r="I35" s="16"/>
      <c r="J35" s="16"/>
      <c r="K35" s="36"/>
      <c r="L35" s="16">
        <v>12</v>
      </c>
      <c r="M35" s="16">
        <v>10</v>
      </c>
      <c r="N35" s="54">
        <f>+SUM(I35:M35)*50%</f>
        <v>11</v>
      </c>
      <c r="O35" s="16">
        <v>21</v>
      </c>
      <c r="P35" s="16"/>
      <c r="Q35" s="54">
        <f>+SUM(O35:P35)*50%</f>
        <v>10.5</v>
      </c>
      <c r="R35" s="51">
        <f t="shared" si="2"/>
        <v>23</v>
      </c>
    </row>
    <row r="36" spans="1:18">
      <c r="A36" s="52" t="s">
        <v>87</v>
      </c>
      <c r="B36" s="53">
        <f>SUM(B3:B35)</f>
        <v>11</v>
      </c>
      <c r="C36" s="53">
        <f t="shared" ref="C36:R36" si="4">SUM(C3:C35)</f>
        <v>785</v>
      </c>
      <c r="D36" s="53">
        <f t="shared" si="4"/>
        <v>1252</v>
      </c>
      <c r="E36" s="53">
        <f t="shared" si="4"/>
        <v>21</v>
      </c>
      <c r="F36" s="53">
        <f t="shared" si="4"/>
        <v>822</v>
      </c>
      <c r="G36" s="53">
        <f t="shared" si="4"/>
        <v>3</v>
      </c>
      <c r="H36" s="55">
        <f>SUM(H3:H35)</f>
        <v>656.50000000000011</v>
      </c>
      <c r="I36" s="53">
        <f t="shared" si="4"/>
        <v>4</v>
      </c>
      <c r="J36" s="53">
        <f t="shared" si="4"/>
        <v>26</v>
      </c>
      <c r="K36" s="53">
        <f t="shared" si="4"/>
        <v>900</v>
      </c>
      <c r="L36" s="53">
        <f t="shared" si="4"/>
        <v>43042</v>
      </c>
      <c r="M36" s="53">
        <f t="shared" si="4"/>
        <v>10130</v>
      </c>
      <c r="N36" s="55">
        <f t="shared" si="4"/>
        <v>10862.099999999999</v>
      </c>
      <c r="O36" s="53">
        <f t="shared" si="4"/>
        <v>5237</v>
      </c>
      <c r="P36" s="53">
        <f t="shared" si="4"/>
        <v>1739</v>
      </c>
      <c r="Q36" s="55">
        <f t="shared" si="4"/>
        <v>1424.2999999999997</v>
      </c>
      <c r="R36" s="53">
        <f t="shared" si="4"/>
        <v>12942.9</v>
      </c>
    </row>
  </sheetData>
  <autoFilter ref="A2:Q36"/>
  <mergeCells count="5">
    <mergeCell ref="R1:R2"/>
    <mergeCell ref="A1:A2"/>
    <mergeCell ref="B1:H1"/>
    <mergeCell ref="I1:N1"/>
    <mergeCell ref="O1:Q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30"/>
  <sheetViews>
    <sheetView showGridLines="0" zoomScale="85" zoomScaleNormal="85" zoomScaleSheetLayoutView="82" zoomScalePageLayoutView="85" workbookViewId="0">
      <selection activeCell="D2" sqref="D2:G2"/>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3.5" customHeight="1">
      <c r="B2" s="34"/>
      <c r="C2" s="39" t="s">
        <v>83</v>
      </c>
      <c r="D2" s="80" t="s">
        <v>164</v>
      </c>
      <c r="E2" s="81"/>
      <c r="F2" s="81"/>
      <c r="G2" s="82"/>
      <c r="H2" s="40" t="s">
        <v>84</v>
      </c>
      <c r="AM2" s="23">
        <v>4</v>
      </c>
      <c r="AN2" s="15" t="s">
        <v>58</v>
      </c>
      <c r="AO2" s="25">
        <v>12</v>
      </c>
    </row>
    <row r="3" spans="1:41" ht="44.25" customHeight="1">
      <c r="B3" s="19">
        <v>1</v>
      </c>
      <c r="C3" s="6">
        <v>14</v>
      </c>
      <c r="D3" s="13" t="s">
        <v>88</v>
      </c>
      <c r="E3" s="13" t="s">
        <v>56</v>
      </c>
      <c r="F3" s="13" t="s">
        <v>75</v>
      </c>
      <c r="G3" s="13" t="s">
        <v>156</v>
      </c>
      <c r="H3" s="11" t="s">
        <v>55</v>
      </c>
      <c r="AM3" s="23">
        <v>5</v>
      </c>
      <c r="AN3" s="15" t="s">
        <v>59</v>
      </c>
      <c r="AO3" s="25">
        <f>12/2</f>
        <v>6</v>
      </c>
    </row>
    <row r="4" spans="1:41" s="8" customFormat="1" ht="12.75" customHeight="1">
      <c r="A4" s="8">
        <v>1</v>
      </c>
      <c r="B4" s="83" t="s">
        <v>46</v>
      </c>
      <c r="C4" s="9" t="s">
        <v>47</v>
      </c>
      <c r="D4" s="9"/>
      <c r="E4" s="31" t="s">
        <v>58</v>
      </c>
      <c r="F4" s="32">
        <f t="shared" ref="F4:F9" si="0">VLOOKUP(E4,$AN$1:$AO$22,2,FALSE)</f>
        <v>12</v>
      </c>
      <c r="G4" s="12"/>
      <c r="H4" s="20">
        <v>534505</v>
      </c>
      <c r="AM4" s="23">
        <v>6</v>
      </c>
      <c r="AN4" s="15" t="s">
        <v>60</v>
      </c>
      <c r="AO4" s="25">
        <f>12/3</f>
        <v>4</v>
      </c>
    </row>
    <row r="5" spans="1:41" s="8" customFormat="1">
      <c r="A5" s="8">
        <f>A4+1</f>
        <v>2</v>
      </c>
      <c r="B5" s="84"/>
      <c r="C5" s="9" t="s">
        <v>48</v>
      </c>
      <c r="D5" s="9"/>
      <c r="E5" s="31" t="s">
        <v>58</v>
      </c>
      <c r="F5" s="32">
        <f t="shared" si="0"/>
        <v>12</v>
      </c>
      <c r="G5" s="12"/>
      <c r="H5" s="20">
        <v>290993</v>
      </c>
      <c r="AM5" s="23">
        <v>7</v>
      </c>
      <c r="AN5" s="15" t="s">
        <v>61</v>
      </c>
      <c r="AO5" s="26">
        <f>12/4</f>
        <v>3</v>
      </c>
    </row>
    <row r="6" spans="1:41" s="8" customFormat="1">
      <c r="A6" s="8">
        <f t="shared" ref="A6:A9" si="1">A5+1</f>
        <v>3</v>
      </c>
      <c r="B6" s="84"/>
      <c r="C6" s="9" t="s">
        <v>49</v>
      </c>
      <c r="D6" s="9"/>
      <c r="E6" s="31" t="s">
        <v>58</v>
      </c>
      <c r="F6" s="32">
        <f t="shared" si="0"/>
        <v>12</v>
      </c>
      <c r="G6" s="12"/>
      <c r="H6" s="20">
        <v>120203</v>
      </c>
      <c r="AM6" s="23">
        <v>8</v>
      </c>
      <c r="AN6" s="15" t="s">
        <v>62</v>
      </c>
      <c r="AO6" s="25">
        <f>12/6</f>
        <v>2</v>
      </c>
    </row>
    <row r="7" spans="1:41" s="8" customFormat="1">
      <c r="A7" s="8">
        <f t="shared" si="1"/>
        <v>4</v>
      </c>
      <c r="B7" s="84"/>
      <c r="C7" s="9" t="s">
        <v>50</v>
      </c>
      <c r="D7" s="9"/>
      <c r="E7" s="31" t="s">
        <v>58</v>
      </c>
      <c r="F7" s="32">
        <f t="shared" si="0"/>
        <v>12</v>
      </c>
      <c r="G7" s="12"/>
      <c r="H7" s="20">
        <v>40000</v>
      </c>
      <c r="AM7" s="23">
        <v>9</v>
      </c>
      <c r="AN7" s="15" t="s">
        <v>63</v>
      </c>
      <c r="AO7" s="24">
        <f>12/7</f>
        <v>1.7142857142857142</v>
      </c>
    </row>
    <row r="8" spans="1:41" s="8" customFormat="1">
      <c r="A8" s="8">
        <f t="shared" si="1"/>
        <v>5</v>
      </c>
      <c r="B8" s="84"/>
      <c r="C8" s="9" t="s">
        <v>51</v>
      </c>
      <c r="D8" s="9"/>
      <c r="E8" s="31" t="s">
        <v>58</v>
      </c>
      <c r="F8" s="32">
        <f t="shared" si="0"/>
        <v>12</v>
      </c>
      <c r="G8" s="12"/>
      <c r="H8" s="20">
        <v>366000</v>
      </c>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8.25">
      <c r="B10" s="19">
        <v>2</v>
      </c>
      <c r="C10" s="6">
        <v>0</v>
      </c>
      <c r="D10" s="13" t="s">
        <v>88</v>
      </c>
      <c r="E10" s="13" t="s">
        <v>56</v>
      </c>
      <c r="F10" s="13"/>
      <c r="G10" s="13" t="s">
        <v>45</v>
      </c>
      <c r="H10" s="11" t="s">
        <v>55</v>
      </c>
      <c r="AM10" s="23">
        <v>12</v>
      </c>
      <c r="AN10" s="15" t="s">
        <v>66</v>
      </c>
      <c r="AO10" s="24">
        <f>12/10</f>
        <v>1.2</v>
      </c>
    </row>
    <row r="11" spans="1:41" ht="12.75" customHeight="1">
      <c r="A11" s="8">
        <v>1</v>
      </c>
      <c r="B11" s="76" t="s">
        <v>76</v>
      </c>
      <c r="C11" s="56" t="s">
        <v>92</v>
      </c>
      <c r="D11" s="9"/>
      <c r="E11" s="31" t="s">
        <v>58</v>
      </c>
      <c r="F11" s="32">
        <f t="shared" ref="F11:F33" si="2">VLOOKUP(E11,$AN$1:$AO$22,2,FALSE)</f>
        <v>12</v>
      </c>
      <c r="G11" s="12" t="s">
        <v>104</v>
      </c>
      <c r="H11" s="20">
        <f>(125/5)*1500</f>
        <v>37500</v>
      </c>
      <c r="AM11" s="23">
        <v>13</v>
      </c>
      <c r="AN11" s="15" t="s">
        <v>67</v>
      </c>
      <c r="AO11" s="24">
        <f>12/11</f>
        <v>1.0909090909090908</v>
      </c>
    </row>
    <row r="12" spans="1:41">
      <c r="A12" s="8">
        <f>A11+1</f>
        <v>2</v>
      </c>
      <c r="B12" s="77"/>
      <c r="C12" s="56" t="s">
        <v>93</v>
      </c>
      <c r="D12" s="9"/>
      <c r="E12" s="31" t="s">
        <v>58</v>
      </c>
      <c r="F12" s="32">
        <f t="shared" si="2"/>
        <v>12</v>
      </c>
      <c r="G12" s="12" t="s">
        <v>105</v>
      </c>
      <c r="H12" s="20">
        <f>(125/5)*1300</f>
        <v>32500</v>
      </c>
      <c r="AM12" s="23">
        <v>14</v>
      </c>
      <c r="AN12" s="15" t="s">
        <v>68</v>
      </c>
      <c r="AO12" s="25">
        <f>12/12</f>
        <v>1</v>
      </c>
    </row>
    <row r="13" spans="1:41">
      <c r="A13" s="8">
        <f t="shared" ref="A13:A29" si="3">A12+1</f>
        <v>3</v>
      </c>
      <c r="B13" s="77"/>
      <c r="C13" s="56" t="s">
        <v>94</v>
      </c>
      <c r="D13" s="9"/>
      <c r="E13" s="31" t="s">
        <v>58</v>
      </c>
      <c r="F13" s="32">
        <f t="shared" si="2"/>
        <v>12</v>
      </c>
      <c r="G13" s="12" t="s">
        <v>106</v>
      </c>
      <c r="H13" s="20">
        <f>(125/5)*1300</f>
        <v>32500</v>
      </c>
      <c r="AM13" s="23">
        <v>15</v>
      </c>
      <c r="AN13" s="15" t="s">
        <v>69</v>
      </c>
      <c r="AO13" s="24">
        <f>1/2</f>
        <v>0.5</v>
      </c>
    </row>
    <row r="14" spans="1:41">
      <c r="A14" s="8">
        <f t="shared" si="3"/>
        <v>4</v>
      </c>
      <c r="B14" s="77"/>
      <c r="C14" s="56" t="s">
        <v>95</v>
      </c>
      <c r="D14" s="9"/>
      <c r="E14" s="31" t="s">
        <v>58</v>
      </c>
      <c r="F14" s="32">
        <f t="shared" si="2"/>
        <v>12</v>
      </c>
      <c r="G14" s="12" t="s">
        <v>107</v>
      </c>
      <c r="H14" s="20">
        <f>(125/4)*1500</f>
        <v>46875</v>
      </c>
      <c r="AM14" s="23">
        <v>16</v>
      </c>
      <c r="AN14" s="15" t="s">
        <v>70</v>
      </c>
      <c r="AO14" s="24">
        <f>1/3</f>
        <v>0.33333333333333331</v>
      </c>
    </row>
    <row r="15" spans="1:41">
      <c r="A15" s="8">
        <f t="shared" si="3"/>
        <v>5</v>
      </c>
      <c r="B15" s="77"/>
      <c r="C15" s="56" t="s">
        <v>96</v>
      </c>
      <c r="D15" s="9"/>
      <c r="E15" s="31" t="s">
        <v>58</v>
      </c>
      <c r="F15" s="32">
        <f t="shared" si="2"/>
        <v>12</v>
      </c>
      <c r="G15" s="12" t="s">
        <v>108</v>
      </c>
      <c r="H15" s="20">
        <f>(125/15)*2800</f>
        <v>23333.333333333336</v>
      </c>
      <c r="AM15" s="23">
        <v>17</v>
      </c>
      <c r="AN15" s="15" t="s">
        <v>71</v>
      </c>
      <c r="AO15" s="24">
        <f>1/4</f>
        <v>0.25</v>
      </c>
    </row>
    <row r="16" spans="1:41">
      <c r="A16" s="8">
        <f t="shared" si="3"/>
        <v>6</v>
      </c>
      <c r="B16" s="77"/>
      <c r="C16" s="56" t="s">
        <v>97</v>
      </c>
      <c r="D16" s="9"/>
      <c r="E16" s="31" t="s">
        <v>58</v>
      </c>
      <c r="F16" s="32">
        <f t="shared" si="2"/>
        <v>12</v>
      </c>
      <c r="G16" s="12" t="s">
        <v>109</v>
      </c>
      <c r="H16" s="20">
        <f>(12*300)</f>
        <v>3600</v>
      </c>
      <c r="AM16" s="23">
        <v>18</v>
      </c>
      <c r="AN16" s="15" t="s">
        <v>72</v>
      </c>
      <c r="AO16" s="24">
        <f>1/5</f>
        <v>0.2</v>
      </c>
    </row>
    <row r="17" spans="1:41">
      <c r="A17" s="8">
        <f t="shared" si="3"/>
        <v>7</v>
      </c>
      <c r="B17" s="77"/>
      <c r="C17" s="56" t="s">
        <v>98</v>
      </c>
      <c r="D17" s="9"/>
      <c r="E17" s="31" t="s">
        <v>58</v>
      </c>
      <c r="F17" s="32">
        <f t="shared" si="2"/>
        <v>12</v>
      </c>
      <c r="G17" s="12" t="s">
        <v>110</v>
      </c>
      <c r="H17" s="20">
        <f t="shared" ref="H17:H22" si="4">(125/5)*1500</f>
        <v>37500</v>
      </c>
      <c r="AM17" s="23">
        <v>19</v>
      </c>
      <c r="AN17" s="15" t="s">
        <v>73</v>
      </c>
      <c r="AO17" s="24">
        <f>1/10</f>
        <v>0.1</v>
      </c>
    </row>
    <row r="18" spans="1:41">
      <c r="A18" s="8">
        <f t="shared" si="3"/>
        <v>8</v>
      </c>
      <c r="B18" s="77"/>
      <c r="C18" s="56" t="s">
        <v>99</v>
      </c>
      <c r="D18" s="9"/>
      <c r="E18" s="31" t="s">
        <v>58</v>
      </c>
      <c r="F18" s="32">
        <f t="shared" si="2"/>
        <v>12</v>
      </c>
      <c r="G18" s="12" t="s">
        <v>119</v>
      </c>
      <c r="H18" s="20">
        <f>(125*20)/80*2500</f>
        <v>78125</v>
      </c>
      <c r="AM18" s="23">
        <v>20</v>
      </c>
      <c r="AN18" s="15" t="s">
        <v>74</v>
      </c>
      <c r="AO18" s="25">
        <f>1/20</f>
        <v>0.05</v>
      </c>
    </row>
    <row r="19" spans="1:41">
      <c r="A19" s="8">
        <f t="shared" si="3"/>
        <v>9</v>
      </c>
      <c r="B19" s="77"/>
      <c r="C19" s="56" t="s">
        <v>100</v>
      </c>
      <c r="D19" s="9"/>
      <c r="E19" s="31" t="s">
        <v>58</v>
      </c>
      <c r="F19" s="32">
        <f t="shared" si="2"/>
        <v>12</v>
      </c>
      <c r="G19" s="12" t="s">
        <v>120</v>
      </c>
      <c r="H19" s="20">
        <f>(125/15)*1500</f>
        <v>12500</v>
      </c>
      <c r="AM19" s="23">
        <v>21</v>
      </c>
      <c r="AN19" s="15" t="s">
        <v>52</v>
      </c>
      <c r="AO19" s="25">
        <v>0</v>
      </c>
    </row>
    <row r="20" spans="1:41">
      <c r="A20" s="8">
        <f t="shared" si="3"/>
        <v>10</v>
      </c>
      <c r="B20" s="77"/>
      <c r="C20" s="56" t="s">
        <v>101</v>
      </c>
      <c r="D20" s="9"/>
      <c r="E20" s="31" t="s">
        <v>58</v>
      </c>
      <c r="F20" s="32">
        <f t="shared" si="2"/>
        <v>12</v>
      </c>
      <c r="G20" s="12" t="s">
        <v>121</v>
      </c>
      <c r="H20" s="20">
        <v>25000</v>
      </c>
      <c r="AM20" s="23">
        <v>22</v>
      </c>
      <c r="AN20" s="15"/>
      <c r="AO20" s="25"/>
    </row>
    <row r="21" spans="1:41">
      <c r="A21" s="8">
        <f t="shared" si="3"/>
        <v>11</v>
      </c>
      <c r="B21" s="77"/>
      <c r="C21" s="56" t="s">
        <v>102</v>
      </c>
      <c r="D21" s="9"/>
      <c r="E21" s="31" t="s">
        <v>58</v>
      </c>
      <c r="F21" s="32">
        <f t="shared" si="2"/>
        <v>12</v>
      </c>
      <c r="G21" s="12" t="s">
        <v>122</v>
      </c>
      <c r="H21" s="20">
        <f>(125/10)*2250</f>
        <v>28125</v>
      </c>
      <c r="AM21" s="23">
        <v>23</v>
      </c>
      <c r="AN21" s="15"/>
      <c r="AO21" s="25"/>
    </row>
    <row r="22" spans="1:41" ht="15.75" thickBot="1">
      <c r="A22" s="8">
        <f t="shared" si="3"/>
        <v>12</v>
      </c>
      <c r="B22" s="77"/>
      <c r="C22" s="56" t="s">
        <v>103</v>
      </c>
      <c r="D22" s="9"/>
      <c r="E22" s="31" t="s">
        <v>58</v>
      </c>
      <c r="F22" s="32">
        <f t="shared" si="2"/>
        <v>12</v>
      </c>
      <c r="G22" s="12" t="s">
        <v>122</v>
      </c>
      <c r="H22" s="20">
        <f t="shared" si="4"/>
        <v>37500</v>
      </c>
      <c r="AM22" s="27">
        <v>24</v>
      </c>
      <c r="AN22" s="28"/>
      <c r="AO22" s="29">
        <v>0</v>
      </c>
    </row>
    <row r="23" spans="1:41">
      <c r="A23" s="8">
        <f t="shared" si="3"/>
        <v>13</v>
      </c>
      <c r="B23" s="77"/>
      <c r="C23" s="56" t="s">
        <v>123</v>
      </c>
      <c r="D23" s="9"/>
      <c r="E23" s="31" t="s">
        <v>58</v>
      </c>
      <c r="F23" s="32">
        <f t="shared" si="2"/>
        <v>12</v>
      </c>
      <c r="G23" s="12" t="s">
        <v>124</v>
      </c>
      <c r="H23" s="20">
        <v>77000</v>
      </c>
    </row>
    <row r="24" spans="1:41">
      <c r="A24" s="8">
        <f t="shared" si="3"/>
        <v>14</v>
      </c>
      <c r="B24" s="77"/>
      <c r="C24" s="56" t="s">
        <v>145</v>
      </c>
      <c r="D24" s="9"/>
      <c r="E24" s="31" t="s">
        <v>58</v>
      </c>
      <c r="F24" s="32">
        <f t="shared" si="2"/>
        <v>12</v>
      </c>
      <c r="G24" s="12"/>
      <c r="H24" s="20">
        <v>31500</v>
      </c>
    </row>
    <row r="25" spans="1:41">
      <c r="A25" s="8">
        <f t="shared" si="3"/>
        <v>15</v>
      </c>
      <c r="B25" s="77"/>
      <c r="C25" s="56" t="s">
        <v>146</v>
      </c>
      <c r="D25" s="9"/>
      <c r="E25" s="31" t="s">
        <v>58</v>
      </c>
      <c r="F25" s="32">
        <f t="shared" si="2"/>
        <v>12</v>
      </c>
      <c r="G25" s="12"/>
      <c r="H25" s="20">
        <v>160000</v>
      </c>
    </row>
    <row r="26" spans="1:41">
      <c r="A26" s="8">
        <f t="shared" si="3"/>
        <v>16</v>
      </c>
      <c r="B26" s="77"/>
      <c r="C26" s="56" t="s">
        <v>147</v>
      </c>
      <c r="D26" s="9"/>
      <c r="E26" s="31" t="s">
        <v>58</v>
      </c>
      <c r="F26" s="32">
        <f t="shared" si="2"/>
        <v>12</v>
      </c>
      <c r="G26" s="12"/>
      <c r="H26" s="20">
        <v>12000</v>
      </c>
    </row>
    <row r="27" spans="1:41">
      <c r="A27" s="8">
        <f t="shared" si="3"/>
        <v>17</v>
      </c>
      <c r="B27" s="77"/>
      <c r="C27" s="56" t="s">
        <v>148</v>
      </c>
      <c r="D27" s="9"/>
      <c r="E27" s="31" t="s">
        <v>58</v>
      </c>
      <c r="F27" s="32">
        <f t="shared" si="2"/>
        <v>12</v>
      </c>
      <c r="G27" s="12"/>
      <c r="H27" s="20">
        <v>12000</v>
      </c>
    </row>
    <row r="28" spans="1:41">
      <c r="A28" s="8">
        <f t="shared" si="3"/>
        <v>18</v>
      </c>
      <c r="B28" s="77"/>
      <c r="C28" s="56" t="s">
        <v>149</v>
      </c>
      <c r="D28" s="9"/>
      <c r="E28" s="31" t="s">
        <v>58</v>
      </c>
      <c r="F28" s="32">
        <f t="shared" si="2"/>
        <v>12</v>
      </c>
      <c r="G28" s="12"/>
      <c r="H28" s="20">
        <v>38000</v>
      </c>
    </row>
    <row r="29" spans="1:41">
      <c r="A29" s="8">
        <f t="shared" si="3"/>
        <v>19</v>
      </c>
      <c r="B29" s="77"/>
      <c r="C29" s="56" t="s">
        <v>150</v>
      </c>
      <c r="D29" s="9"/>
      <c r="E29" s="31" t="s">
        <v>58</v>
      </c>
      <c r="F29" s="32">
        <f t="shared" si="2"/>
        <v>12</v>
      </c>
      <c r="G29" s="12"/>
      <c r="H29" s="20">
        <v>19800</v>
      </c>
    </row>
    <row r="30" spans="1:41">
      <c r="A30" s="8"/>
      <c r="B30" s="77"/>
      <c r="C30" s="56" t="s">
        <v>151</v>
      </c>
      <c r="D30" s="9"/>
      <c r="E30" s="31" t="s">
        <v>58</v>
      </c>
      <c r="F30" s="32">
        <f t="shared" si="2"/>
        <v>12</v>
      </c>
      <c r="G30" s="12"/>
      <c r="H30" s="20">
        <v>25000</v>
      </c>
    </row>
    <row r="31" spans="1:41">
      <c r="A31" s="8"/>
      <c r="B31" s="77"/>
      <c r="C31" s="56" t="s">
        <v>152</v>
      </c>
      <c r="D31" s="9"/>
      <c r="E31" s="31" t="s">
        <v>58</v>
      </c>
      <c r="F31" s="32">
        <f t="shared" si="2"/>
        <v>12</v>
      </c>
      <c r="G31" s="12"/>
      <c r="H31" s="20">
        <v>30400</v>
      </c>
    </row>
    <row r="32" spans="1:41">
      <c r="A32" s="8"/>
      <c r="B32" s="77"/>
      <c r="C32" s="56" t="s">
        <v>153</v>
      </c>
      <c r="D32" s="9"/>
      <c r="E32" s="31" t="s">
        <v>58</v>
      </c>
      <c r="F32" s="32">
        <f t="shared" si="2"/>
        <v>12</v>
      </c>
      <c r="G32" s="12"/>
      <c r="H32" s="20">
        <v>19000</v>
      </c>
    </row>
    <row r="33" spans="1:41" s="8" customFormat="1" ht="27" customHeight="1">
      <c r="A33" s="8">
        <f>A29+1</f>
        <v>20</v>
      </c>
      <c r="B33" s="78"/>
      <c r="C33" s="67" t="s">
        <v>163</v>
      </c>
      <c r="D33" s="9"/>
      <c r="E33" s="31" t="s">
        <v>58</v>
      </c>
      <c r="F33" s="32">
        <f t="shared" si="2"/>
        <v>12</v>
      </c>
      <c r="G33" s="66" t="s">
        <v>161</v>
      </c>
      <c r="H33" s="20">
        <v>75000</v>
      </c>
      <c r="AM33"/>
      <c r="AN33"/>
      <c r="AO33"/>
    </row>
    <row r="34" spans="1:41" ht="38.25">
      <c r="B34" s="19">
        <v>3</v>
      </c>
      <c r="C34" s="6">
        <v>0</v>
      </c>
      <c r="D34" s="13" t="s">
        <v>88</v>
      </c>
      <c r="E34" s="13" t="s">
        <v>56</v>
      </c>
      <c r="F34" s="13"/>
      <c r="G34" s="13" t="s">
        <v>45</v>
      </c>
      <c r="H34" s="21" t="s">
        <v>55</v>
      </c>
    </row>
    <row r="35" spans="1:41" ht="12.75" customHeight="1">
      <c r="A35" s="8">
        <v>1</v>
      </c>
      <c r="B35" s="76" t="s">
        <v>54</v>
      </c>
      <c r="C35" s="56" t="s">
        <v>89</v>
      </c>
      <c r="D35" s="9"/>
      <c r="E35" s="31" t="s">
        <v>58</v>
      </c>
      <c r="F35" s="32">
        <f t="shared" ref="F35:F54" si="5">VLOOKUP(E35,$AN$1:$AO$22,2,FALSE)</f>
        <v>12</v>
      </c>
      <c r="G35" s="12" t="s">
        <v>154</v>
      </c>
      <c r="H35" s="20">
        <v>198399</v>
      </c>
    </row>
    <row r="36" spans="1:41">
      <c r="A36" s="8">
        <f>A35+1</f>
        <v>2</v>
      </c>
      <c r="B36" s="77"/>
      <c r="C36" s="56" t="s">
        <v>90</v>
      </c>
      <c r="D36" s="9"/>
      <c r="E36" s="31" t="s">
        <v>58</v>
      </c>
      <c r="F36" s="32">
        <f t="shared" si="5"/>
        <v>12</v>
      </c>
      <c r="G36" s="12" t="s">
        <v>131</v>
      </c>
      <c r="H36" s="20">
        <v>36036</v>
      </c>
    </row>
    <row r="37" spans="1:41">
      <c r="A37" s="8">
        <f t="shared" ref="A37:A54" si="6">A36+1</f>
        <v>3</v>
      </c>
      <c r="B37" s="77"/>
      <c r="C37" s="56" t="s">
        <v>111</v>
      </c>
      <c r="D37" s="9"/>
      <c r="E37" s="31" t="s">
        <v>58</v>
      </c>
      <c r="F37" s="32">
        <f t="shared" si="5"/>
        <v>12</v>
      </c>
      <c r="G37" s="12" t="s">
        <v>132</v>
      </c>
      <c r="H37" s="20">
        <v>28525</v>
      </c>
    </row>
    <row r="38" spans="1:41">
      <c r="A38" s="8">
        <f t="shared" si="6"/>
        <v>4</v>
      </c>
      <c r="B38" s="77"/>
      <c r="C38" s="56" t="s">
        <v>112</v>
      </c>
      <c r="D38" s="9"/>
      <c r="E38" s="31" t="s">
        <v>58</v>
      </c>
      <c r="F38" s="32">
        <f t="shared" si="5"/>
        <v>12</v>
      </c>
      <c r="G38" s="12" t="s">
        <v>133</v>
      </c>
      <c r="H38" s="20">
        <v>30750</v>
      </c>
    </row>
    <row r="39" spans="1:41">
      <c r="A39" s="8">
        <f t="shared" si="6"/>
        <v>5</v>
      </c>
      <c r="B39" s="77"/>
      <c r="C39" s="56" t="s">
        <v>91</v>
      </c>
      <c r="D39" s="9"/>
      <c r="E39" s="31" t="s">
        <v>58</v>
      </c>
      <c r="F39" s="32">
        <f t="shared" si="5"/>
        <v>12</v>
      </c>
      <c r="G39" s="12" t="s">
        <v>134</v>
      </c>
      <c r="H39" s="20">
        <v>6600</v>
      </c>
    </row>
    <row r="40" spans="1:41">
      <c r="A40" s="8">
        <f t="shared" si="6"/>
        <v>6</v>
      </c>
      <c r="B40" s="77"/>
      <c r="C40" s="56" t="s">
        <v>113</v>
      </c>
      <c r="D40" s="9"/>
      <c r="E40" s="31" t="s">
        <v>58</v>
      </c>
      <c r="F40" s="32">
        <f t="shared" si="5"/>
        <v>12</v>
      </c>
      <c r="G40" s="12"/>
      <c r="H40" s="20">
        <v>35000</v>
      </c>
    </row>
    <row r="41" spans="1:41">
      <c r="A41" s="8">
        <f t="shared" si="6"/>
        <v>7</v>
      </c>
      <c r="B41" s="77"/>
      <c r="C41" s="56" t="s">
        <v>114</v>
      </c>
      <c r="D41" s="9"/>
      <c r="E41" s="31" t="s">
        <v>58</v>
      </c>
      <c r="F41" s="32">
        <f t="shared" si="5"/>
        <v>12</v>
      </c>
      <c r="G41" s="12" t="s">
        <v>135</v>
      </c>
      <c r="H41" s="20">
        <v>60000</v>
      </c>
    </row>
    <row r="42" spans="1:41">
      <c r="A42" s="8">
        <f t="shared" si="6"/>
        <v>8</v>
      </c>
      <c r="B42" s="77"/>
      <c r="C42" s="56" t="s">
        <v>115</v>
      </c>
      <c r="D42" s="9"/>
      <c r="E42" s="31" t="s">
        <v>58</v>
      </c>
      <c r="F42" s="32">
        <f t="shared" si="5"/>
        <v>12</v>
      </c>
      <c r="G42" s="12"/>
      <c r="H42" s="20">
        <v>27500</v>
      </c>
    </row>
    <row r="43" spans="1:41">
      <c r="A43" s="8">
        <f t="shared" si="6"/>
        <v>9</v>
      </c>
      <c r="B43" s="77"/>
      <c r="C43" s="56" t="s">
        <v>116</v>
      </c>
      <c r="D43" s="9"/>
      <c r="E43" s="31" t="s">
        <v>58</v>
      </c>
      <c r="F43" s="32">
        <f t="shared" si="5"/>
        <v>12</v>
      </c>
      <c r="G43" s="12"/>
      <c r="H43" s="20">
        <v>52865</v>
      </c>
    </row>
    <row r="44" spans="1:41">
      <c r="A44" s="8">
        <f t="shared" si="6"/>
        <v>10</v>
      </c>
      <c r="B44" s="77"/>
      <c r="C44" s="56" t="s">
        <v>117</v>
      </c>
      <c r="D44" s="9"/>
      <c r="E44" s="31" t="s">
        <v>58</v>
      </c>
      <c r="F44" s="32">
        <f t="shared" si="5"/>
        <v>12</v>
      </c>
      <c r="G44" s="12"/>
      <c r="H44" s="20">
        <v>6400</v>
      </c>
    </row>
    <row r="45" spans="1:41">
      <c r="A45" s="8">
        <f t="shared" si="6"/>
        <v>11</v>
      </c>
      <c r="B45" s="77"/>
      <c r="C45" s="56" t="s">
        <v>118</v>
      </c>
      <c r="D45" s="9"/>
      <c r="E45" s="31" t="s">
        <v>58</v>
      </c>
      <c r="F45" s="32">
        <f t="shared" si="5"/>
        <v>12</v>
      </c>
      <c r="G45" s="12"/>
      <c r="H45" s="20">
        <v>25100</v>
      </c>
    </row>
    <row r="46" spans="1:41">
      <c r="A46" s="8">
        <f t="shared" si="6"/>
        <v>12</v>
      </c>
      <c r="B46" s="77"/>
      <c r="C46" s="56" t="s">
        <v>125</v>
      </c>
      <c r="D46" s="9"/>
      <c r="E46" s="31" t="s">
        <v>58</v>
      </c>
      <c r="F46" s="32">
        <f t="shared" si="5"/>
        <v>12</v>
      </c>
      <c r="G46" s="12"/>
      <c r="H46" s="20">
        <v>39200</v>
      </c>
    </row>
    <row r="47" spans="1:41">
      <c r="A47" s="8">
        <f t="shared" si="6"/>
        <v>13</v>
      </c>
      <c r="B47" s="77"/>
      <c r="C47" s="56" t="s">
        <v>126</v>
      </c>
      <c r="D47" s="9"/>
      <c r="E47" s="31" t="s">
        <v>62</v>
      </c>
      <c r="F47" s="32">
        <f t="shared" si="5"/>
        <v>2</v>
      </c>
      <c r="G47" s="12"/>
      <c r="H47" s="20">
        <v>35000</v>
      </c>
    </row>
    <row r="48" spans="1:41">
      <c r="A48" s="8">
        <f t="shared" si="6"/>
        <v>14</v>
      </c>
      <c r="B48" s="77"/>
      <c r="C48" s="56" t="s">
        <v>127</v>
      </c>
      <c r="D48" s="9"/>
      <c r="E48" s="31" t="s">
        <v>60</v>
      </c>
      <c r="F48" s="32">
        <f t="shared" si="5"/>
        <v>4</v>
      </c>
      <c r="G48" s="12"/>
      <c r="H48" s="20">
        <v>36000</v>
      </c>
    </row>
    <row r="49" spans="1:41">
      <c r="A49" s="8">
        <f t="shared" si="6"/>
        <v>15</v>
      </c>
      <c r="B49" s="77"/>
      <c r="C49" s="56" t="s">
        <v>128</v>
      </c>
      <c r="D49" s="9"/>
      <c r="E49" s="31" t="s">
        <v>58</v>
      </c>
      <c r="F49" s="32">
        <f t="shared" si="5"/>
        <v>12</v>
      </c>
      <c r="G49" s="12" t="s">
        <v>136</v>
      </c>
      <c r="H49" s="20">
        <v>80000</v>
      </c>
    </row>
    <row r="50" spans="1:41">
      <c r="A50" s="8">
        <f t="shared" si="6"/>
        <v>16</v>
      </c>
      <c r="B50" s="77"/>
      <c r="C50" s="56" t="s">
        <v>129</v>
      </c>
      <c r="D50" s="9"/>
      <c r="E50" s="31" t="s">
        <v>58</v>
      </c>
      <c r="F50" s="32">
        <f t="shared" si="5"/>
        <v>12</v>
      </c>
      <c r="G50" s="12" t="s">
        <v>162</v>
      </c>
      <c r="H50" s="20">
        <v>45600</v>
      </c>
    </row>
    <row r="51" spans="1:41">
      <c r="A51" s="8">
        <f t="shared" si="6"/>
        <v>17</v>
      </c>
      <c r="B51" s="77"/>
      <c r="C51" s="56" t="s">
        <v>130</v>
      </c>
      <c r="D51" s="9"/>
      <c r="E51" s="31" t="s">
        <v>58</v>
      </c>
      <c r="F51" s="32">
        <f t="shared" si="5"/>
        <v>12</v>
      </c>
      <c r="G51" s="12"/>
      <c r="H51" s="20">
        <v>12000</v>
      </c>
    </row>
    <row r="52" spans="1:41">
      <c r="A52" s="8">
        <f t="shared" si="6"/>
        <v>18</v>
      </c>
      <c r="B52" s="77"/>
      <c r="C52" s="56" t="s">
        <v>137</v>
      </c>
      <c r="D52" s="9"/>
      <c r="E52" s="31" t="s">
        <v>58</v>
      </c>
      <c r="F52" s="32">
        <f t="shared" si="5"/>
        <v>12</v>
      </c>
      <c r="G52" s="12"/>
      <c r="H52" s="20">
        <v>3600</v>
      </c>
    </row>
    <row r="53" spans="1:41">
      <c r="A53" s="8">
        <f t="shared" si="6"/>
        <v>19</v>
      </c>
      <c r="B53" s="77"/>
      <c r="C53" s="56" t="s">
        <v>123</v>
      </c>
      <c r="D53" s="9"/>
      <c r="E53" s="31" t="s">
        <v>58</v>
      </c>
      <c r="F53" s="32">
        <f t="shared" si="5"/>
        <v>12</v>
      </c>
      <c r="G53" s="59" t="s">
        <v>155</v>
      </c>
      <c r="H53" s="20">
        <v>86000</v>
      </c>
    </row>
    <row r="54" spans="1:41" s="8" customFormat="1">
      <c r="A54" s="8">
        <f t="shared" si="6"/>
        <v>20</v>
      </c>
      <c r="B54" s="78"/>
      <c r="C54" s="9"/>
      <c r="D54" s="9"/>
      <c r="E54" s="31" t="s">
        <v>58</v>
      </c>
      <c r="F54" s="32">
        <f t="shared" si="5"/>
        <v>12</v>
      </c>
      <c r="G54" s="12"/>
      <c r="H54" s="20"/>
      <c r="AM54"/>
      <c r="AN54"/>
      <c r="AO54"/>
    </row>
    <row r="55" spans="1:41" ht="38.25">
      <c r="B55" s="7">
        <v>4</v>
      </c>
      <c r="C55" s="6">
        <v>0</v>
      </c>
      <c r="D55" s="13" t="s">
        <v>88</v>
      </c>
      <c r="E55" s="13" t="s">
        <v>56</v>
      </c>
      <c r="F55" s="13"/>
      <c r="G55" s="13" t="s">
        <v>45</v>
      </c>
      <c r="H55" s="21" t="s">
        <v>55</v>
      </c>
    </row>
    <row r="56" spans="1:41" ht="12.75" customHeight="1">
      <c r="A56" s="8">
        <v>1</v>
      </c>
      <c r="B56" s="79" t="s">
        <v>77</v>
      </c>
      <c r="C56" s="56" t="s">
        <v>138</v>
      </c>
      <c r="D56" s="9"/>
      <c r="E56" s="31" t="s">
        <v>58</v>
      </c>
      <c r="F56" s="65">
        <f t="shared" ref="F56:F74" si="7">VLOOKUP(E56,$AN$1:$AO$22,2,FALSE)</f>
        <v>12</v>
      </c>
      <c r="G56" s="12"/>
      <c r="H56" s="20">
        <v>55000</v>
      </c>
    </row>
    <row r="57" spans="1:41">
      <c r="A57" s="8">
        <f>A56+1</f>
        <v>2</v>
      </c>
      <c r="B57" s="79"/>
      <c r="C57" s="56" t="s">
        <v>139</v>
      </c>
      <c r="D57" s="9"/>
      <c r="E57" s="31" t="s">
        <v>60</v>
      </c>
      <c r="F57" s="65">
        <f t="shared" si="7"/>
        <v>4</v>
      </c>
      <c r="G57" s="12" t="s">
        <v>142</v>
      </c>
      <c r="H57" s="20">
        <v>180000</v>
      </c>
    </row>
    <row r="58" spans="1:41">
      <c r="A58" s="8">
        <f t="shared" ref="A58:A74" si="8">A57+1</f>
        <v>3</v>
      </c>
      <c r="B58" s="79"/>
      <c r="C58" s="56" t="s">
        <v>140</v>
      </c>
      <c r="D58" s="9"/>
      <c r="E58" s="31" t="s">
        <v>60</v>
      </c>
      <c r="F58" s="65">
        <f t="shared" si="7"/>
        <v>4</v>
      </c>
      <c r="G58" s="12" t="s">
        <v>141</v>
      </c>
      <c r="H58" s="20">
        <v>80000</v>
      </c>
    </row>
    <row r="59" spans="1:41" ht="26.25">
      <c r="A59" s="8">
        <v>4</v>
      </c>
      <c r="B59" s="79"/>
      <c r="C59" s="57" t="s">
        <v>143</v>
      </c>
      <c r="D59" s="9"/>
      <c r="E59" s="31" t="s">
        <v>60</v>
      </c>
      <c r="F59" s="65">
        <f t="shared" si="7"/>
        <v>4</v>
      </c>
      <c r="G59" s="58" t="s">
        <v>144</v>
      </c>
      <c r="H59" s="20">
        <v>1245795</v>
      </c>
    </row>
    <row r="60" spans="1:41">
      <c r="A60" s="8">
        <f t="shared" si="8"/>
        <v>5</v>
      </c>
      <c r="B60" s="79"/>
      <c r="C60" s="56"/>
      <c r="D60" s="9"/>
      <c r="E60" s="31" t="s">
        <v>58</v>
      </c>
      <c r="F60" s="65">
        <f t="shared" si="7"/>
        <v>12</v>
      </c>
      <c r="G60" s="12"/>
      <c r="H60" s="20"/>
    </row>
    <row r="61" spans="1:41">
      <c r="A61" s="8">
        <f t="shared" si="8"/>
        <v>6</v>
      </c>
      <c r="B61" s="79"/>
      <c r="C61" s="56"/>
      <c r="D61" s="9"/>
      <c r="E61" s="31" t="s">
        <v>58</v>
      </c>
      <c r="F61" s="65">
        <f t="shared" si="7"/>
        <v>12</v>
      </c>
      <c r="G61" s="12"/>
      <c r="H61" s="20"/>
    </row>
    <row r="62" spans="1:41">
      <c r="A62" s="8">
        <f t="shared" si="8"/>
        <v>7</v>
      </c>
      <c r="B62" s="79"/>
      <c r="C62" s="56"/>
      <c r="D62" s="9"/>
      <c r="E62" s="31" t="s">
        <v>58</v>
      </c>
      <c r="F62" s="65">
        <f t="shared" si="7"/>
        <v>12</v>
      </c>
      <c r="G62" s="12"/>
      <c r="H62" s="20"/>
    </row>
    <row r="63" spans="1:41">
      <c r="A63" s="8">
        <f t="shared" si="8"/>
        <v>8</v>
      </c>
      <c r="B63" s="79"/>
      <c r="C63" s="56"/>
      <c r="D63" s="9"/>
      <c r="E63" s="31" t="s">
        <v>58</v>
      </c>
      <c r="F63" s="65">
        <f t="shared" si="7"/>
        <v>12</v>
      </c>
      <c r="G63" s="12"/>
      <c r="H63" s="20"/>
    </row>
    <row r="64" spans="1:41">
      <c r="A64" s="8">
        <f t="shared" si="8"/>
        <v>9</v>
      </c>
      <c r="B64" s="79"/>
      <c r="C64" s="56"/>
      <c r="D64" s="9"/>
      <c r="E64" s="31" t="s">
        <v>58</v>
      </c>
      <c r="F64" s="65">
        <f t="shared" si="7"/>
        <v>12</v>
      </c>
      <c r="G64" s="12"/>
      <c r="H64" s="20"/>
    </row>
    <row r="65" spans="1:41">
      <c r="A65" s="8">
        <f t="shared" si="8"/>
        <v>10</v>
      </c>
      <c r="B65" s="79"/>
      <c r="C65" s="56"/>
      <c r="D65" s="9"/>
      <c r="E65" s="31" t="s">
        <v>58</v>
      </c>
      <c r="F65" s="65">
        <f t="shared" si="7"/>
        <v>12</v>
      </c>
      <c r="G65" s="12"/>
      <c r="H65" s="20"/>
    </row>
    <row r="66" spans="1:41">
      <c r="A66" s="8">
        <f t="shared" si="8"/>
        <v>11</v>
      </c>
      <c r="B66" s="79"/>
      <c r="C66" s="56"/>
      <c r="D66" s="9"/>
      <c r="E66" s="31" t="s">
        <v>58</v>
      </c>
      <c r="F66" s="65">
        <f t="shared" si="7"/>
        <v>12</v>
      </c>
      <c r="G66" s="12"/>
      <c r="H66" s="20"/>
    </row>
    <row r="67" spans="1:41">
      <c r="A67" s="8">
        <f t="shared" si="8"/>
        <v>12</v>
      </c>
      <c r="B67" s="79"/>
      <c r="C67" s="56"/>
      <c r="D67" s="9"/>
      <c r="E67" s="31" t="s">
        <v>58</v>
      </c>
      <c r="F67" s="65">
        <f t="shared" si="7"/>
        <v>12</v>
      </c>
      <c r="G67" s="12"/>
      <c r="H67" s="20"/>
    </row>
    <row r="68" spans="1:41">
      <c r="A68" s="8">
        <f t="shared" si="8"/>
        <v>13</v>
      </c>
      <c r="B68" s="79"/>
      <c r="C68" s="56"/>
      <c r="D68" s="9"/>
      <c r="E68" s="31" t="s">
        <v>58</v>
      </c>
      <c r="F68" s="65">
        <f t="shared" si="7"/>
        <v>12</v>
      </c>
      <c r="G68" s="12"/>
      <c r="H68" s="20"/>
    </row>
    <row r="69" spans="1:41">
      <c r="A69" s="8">
        <f t="shared" si="8"/>
        <v>14</v>
      </c>
      <c r="B69" s="79"/>
      <c r="C69" s="56"/>
      <c r="D69" s="9"/>
      <c r="E69" s="31" t="s">
        <v>58</v>
      </c>
      <c r="F69" s="65">
        <f t="shared" si="7"/>
        <v>12</v>
      </c>
      <c r="G69" s="12"/>
      <c r="H69" s="20"/>
    </row>
    <row r="70" spans="1:41">
      <c r="A70" s="8">
        <f t="shared" si="8"/>
        <v>15</v>
      </c>
      <c r="B70" s="79"/>
      <c r="C70" s="56"/>
      <c r="D70" s="9"/>
      <c r="E70" s="31" t="s">
        <v>58</v>
      </c>
      <c r="F70" s="65">
        <f t="shared" si="7"/>
        <v>12</v>
      </c>
      <c r="G70" s="12"/>
      <c r="H70" s="20"/>
    </row>
    <row r="71" spans="1:41">
      <c r="A71" s="8">
        <f t="shared" si="8"/>
        <v>16</v>
      </c>
      <c r="B71" s="79"/>
      <c r="C71" s="56"/>
      <c r="D71" s="9"/>
      <c r="E71" s="31" t="s">
        <v>58</v>
      </c>
      <c r="F71" s="65">
        <f t="shared" si="7"/>
        <v>12</v>
      </c>
      <c r="G71" s="12"/>
      <c r="H71" s="20"/>
    </row>
    <row r="72" spans="1:41">
      <c r="A72" s="8">
        <f t="shared" si="8"/>
        <v>17</v>
      </c>
      <c r="B72" s="79"/>
      <c r="C72" s="56"/>
      <c r="D72" s="9"/>
      <c r="E72" s="31" t="s">
        <v>58</v>
      </c>
      <c r="F72" s="65">
        <f t="shared" si="7"/>
        <v>12</v>
      </c>
      <c r="G72" s="12"/>
      <c r="H72" s="20"/>
    </row>
    <row r="73" spans="1:41">
      <c r="A73" s="8">
        <f t="shared" si="8"/>
        <v>18</v>
      </c>
      <c r="B73" s="79"/>
      <c r="C73" s="56"/>
      <c r="D73" s="9"/>
      <c r="E73" s="31" t="s">
        <v>58</v>
      </c>
      <c r="F73" s="65">
        <f t="shared" si="7"/>
        <v>12</v>
      </c>
      <c r="G73" s="12"/>
      <c r="H73" s="20"/>
    </row>
    <row r="74" spans="1:41" s="8" customFormat="1">
      <c r="A74" s="8">
        <f t="shared" si="8"/>
        <v>19</v>
      </c>
      <c r="B74" s="79"/>
      <c r="C74" s="56"/>
      <c r="D74" s="9"/>
      <c r="E74" s="31" t="s">
        <v>58</v>
      </c>
      <c r="F74" s="65">
        <f t="shared" si="7"/>
        <v>12</v>
      </c>
      <c r="G74" s="12"/>
      <c r="H74" s="20"/>
      <c r="AM74"/>
      <c r="AN74"/>
      <c r="AO74"/>
    </row>
    <row r="75" spans="1:41" ht="15" customHeight="1">
      <c r="A75" s="62"/>
      <c r="B75" s="63"/>
      <c r="C75" s="63"/>
      <c r="D75" s="63"/>
      <c r="E75" s="63"/>
      <c r="F75" s="63"/>
      <c r="G75" s="63"/>
      <c r="H75" s="63"/>
    </row>
    <row r="76" spans="1:41" ht="15" customHeight="1">
      <c r="A76" s="62"/>
      <c r="B76" s="86" t="s">
        <v>157</v>
      </c>
      <c r="C76" s="86"/>
      <c r="D76" s="63"/>
      <c r="E76" s="63"/>
      <c r="F76" s="63"/>
      <c r="G76" s="63"/>
      <c r="H76" s="63"/>
    </row>
    <row r="77" spans="1:41" ht="15" customHeight="1">
      <c r="A77" s="62"/>
      <c r="B77" s="86" t="s">
        <v>158</v>
      </c>
      <c r="C77" s="86"/>
      <c r="D77" s="63"/>
      <c r="E77" s="63"/>
      <c r="F77" s="63"/>
      <c r="G77" s="63"/>
      <c r="H77" s="63"/>
    </row>
    <row r="78" spans="1:41" ht="15" customHeight="1">
      <c r="A78" s="62"/>
      <c r="B78" s="86" t="s">
        <v>159</v>
      </c>
      <c r="C78" s="86"/>
      <c r="D78" s="63"/>
      <c r="E78" s="63"/>
      <c r="F78" s="63"/>
      <c r="G78" s="63"/>
      <c r="H78" s="63"/>
    </row>
    <row r="79" spans="1:41" ht="15" customHeight="1">
      <c r="A79" s="62"/>
      <c r="B79" s="86" t="s">
        <v>160</v>
      </c>
      <c r="C79" s="86"/>
      <c r="D79" s="63"/>
      <c r="E79" s="63"/>
      <c r="F79" s="63"/>
      <c r="G79" s="63"/>
      <c r="H79" s="63"/>
      <c r="AM79" s="30"/>
      <c r="AN79" s="30"/>
    </row>
    <row r="80" spans="1:41" ht="15" customHeight="1">
      <c r="A80" s="62"/>
      <c r="B80" s="87"/>
      <c r="C80" s="87"/>
      <c r="D80" s="63"/>
      <c r="E80" s="63"/>
      <c r="F80" s="63"/>
      <c r="G80" s="63"/>
      <c r="H80" s="63"/>
      <c r="AM80" s="30"/>
      <c r="AN80" s="30"/>
    </row>
    <row r="81" spans="2:41" ht="15" customHeight="1">
      <c r="B81" s="60"/>
      <c r="C81" s="60"/>
      <c r="D81" s="60"/>
      <c r="E81" s="60"/>
      <c r="F81" s="60"/>
      <c r="G81" s="61"/>
      <c r="H81" s="64"/>
      <c r="AM81" s="30"/>
      <c r="AN81" s="30"/>
    </row>
    <row r="82" spans="2:41" ht="15" customHeight="1">
      <c r="H82" s="22"/>
      <c r="AM82" s="30"/>
      <c r="AN82" s="30"/>
    </row>
    <row r="83" spans="2:41" ht="15" customHeight="1">
      <c r="H83" s="22"/>
      <c r="AM83" s="30"/>
      <c r="AN83" s="30"/>
    </row>
    <row r="84" spans="2:41" ht="15" customHeight="1">
      <c r="H84" s="22"/>
      <c r="AM84" s="30"/>
      <c r="AN84" s="30"/>
    </row>
    <row r="85" spans="2:41" ht="15" customHeight="1">
      <c r="H85" s="22"/>
      <c r="AM85" s="30"/>
      <c r="AN85" s="30"/>
    </row>
    <row r="86" spans="2:41" ht="15" customHeight="1">
      <c r="H86" s="22"/>
      <c r="AM86" s="30"/>
      <c r="AN86" s="30"/>
    </row>
    <row r="87" spans="2:41" ht="15" customHeight="1">
      <c r="H87" s="22"/>
      <c r="AM87" s="30"/>
      <c r="AN87" s="30"/>
    </row>
    <row r="88" spans="2:41" s="3" customFormat="1" ht="15" customHeight="1">
      <c r="G88" s="10"/>
      <c r="H88" s="22"/>
      <c r="I88" s="1"/>
      <c r="J88" s="1"/>
      <c r="K88" s="1"/>
      <c r="L88" s="1"/>
      <c r="AM88" s="30"/>
      <c r="AN88" s="30"/>
      <c r="AO88"/>
    </row>
    <row r="89" spans="2:41" s="3" customFormat="1" ht="15" customHeight="1">
      <c r="G89" s="10"/>
      <c r="H89" s="22"/>
      <c r="I89" s="1"/>
      <c r="J89" s="1"/>
      <c r="K89" s="1"/>
      <c r="L89" s="1"/>
      <c r="AM89" s="30"/>
      <c r="AN89" s="30"/>
      <c r="AO89"/>
    </row>
    <row r="90" spans="2:41" s="3" customFormat="1" ht="15" customHeight="1">
      <c r="G90" s="10"/>
      <c r="H90" s="22"/>
      <c r="I90" s="1"/>
      <c r="J90" s="1"/>
      <c r="K90" s="1"/>
      <c r="L90" s="1"/>
      <c r="AM90"/>
      <c r="AN90"/>
      <c r="AO90"/>
    </row>
    <row r="91" spans="2:41" s="3" customFormat="1" ht="15" customHeight="1">
      <c r="G91" s="10"/>
      <c r="H91" s="22"/>
      <c r="I91" s="1"/>
      <c r="J91" s="1"/>
      <c r="K91" s="1"/>
      <c r="L91" s="1"/>
      <c r="AM91"/>
      <c r="AN91"/>
      <c r="AO91"/>
    </row>
    <row r="92" spans="2:41" s="3" customFormat="1" ht="15" customHeight="1">
      <c r="G92" s="10"/>
      <c r="H92" s="22"/>
      <c r="I92" s="1"/>
      <c r="J92" s="1"/>
      <c r="K92" s="1"/>
      <c r="L92" s="1"/>
      <c r="AM92"/>
      <c r="AN92"/>
      <c r="AO92"/>
    </row>
    <row r="93" spans="2:41" s="3" customFormat="1" ht="15" customHeight="1">
      <c r="G93" s="10"/>
      <c r="H93" s="22"/>
      <c r="I93" s="1"/>
      <c r="J93" s="1"/>
      <c r="K93" s="1"/>
      <c r="L93" s="1"/>
      <c r="AM93"/>
      <c r="AN93"/>
      <c r="AO93"/>
    </row>
    <row r="94" spans="2:41" s="3" customFormat="1" ht="15" customHeight="1">
      <c r="G94" s="10"/>
      <c r="H94" s="22"/>
      <c r="I94" s="1"/>
      <c r="J94" s="1"/>
      <c r="K94" s="1"/>
      <c r="L94" s="1"/>
      <c r="AM94"/>
      <c r="AN94"/>
      <c r="AO94"/>
    </row>
    <row r="95" spans="2:41" s="3" customFormat="1" ht="15" customHeight="1">
      <c r="G95" s="10"/>
      <c r="H95" s="22"/>
      <c r="I95" s="1"/>
      <c r="J95" s="1"/>
      <c r="K95" s="1"/>
      <c r="L95" s="1"/>
      <c r="AM95"/>
      <c r="AN95"/>
      <c r="AO95"/>
    </row>
    <row r="96" spans="2:41" s="3" customFormat="1" ht="15" customHeight="1">
      <c r="G96" s="10"/>
      <c r="H96" s="2"/>
      <c r="I96" s="1"/>
      <c r="J96" s="1"/>
      <c r="K96" s="1"/>
      <c r="L96" s="1"/>
      <c r="AM96"/>
      <c r="AN96"/>
      <c r="AO96"/>
    </row>
    <row r="97" spans="7:41" s="3" customFormat="1" ht="15" customHeight="1">
      <c r="G97" s="10"/>
      <c r="H97" s="2"/>
      <c r="I97" s="1"/>
      <c r="J97" s="1"/>
      <c r="K97" s="1"/>
      <c r="L97" s="1"/>
      <c r="AM97"/>
      <c r="AN97"/>
      <c r="AO97"/>
    </row>
    <row r="98" spans="7:41" s="3" customFormat="1" ht="15" customHeight="1">
      <c r="G98" s="10"/>
      <c r="H98" s="2"/>
      <c r="I98" s="1"/>
      <c r="J98" s="1"/>
      <c r="K98" s="1"/>
      <c r="L98" s="1"/>
      <c r="AM98"/>
      <c r="AN98"/>
      <c r="AO98"/>
    </row>
    <row r="99" spans="7:41" s="3" customFormat="1" ht="15" customHeight="1">
      <c r="G99" s="10"/>
      <c r="H99" s="2"/>
      <c r="I99" s="1"/>
      <c r="J99" s="1"/>
      <c r="K99" s="1"/>
      <c r="L99" s="1"/>
      <c r="AM99"/>
      <c r="AN99"/>
      <c r="AO99"/>
    </row>
    <row r="100" spans="7:41" s="3" customFormat="1" ht="15" customHeight="1">
      <c r="G100" s="10"/>
      <c r="H100" s="2"/>
      <c r="I100" s="1"/>
      <c r="J100" s="1"/>
      <c r="K100" s="1"/>
      <c r="L100" s="1"/>
      <c r="AM100"/>
      <c r="AN100"/>
      <c r="AO100"/>
    </row>
    <row r="101" spans="7:41" s="3" customFormat="1" ht="15" customHeight="1">
      <c r="G101" s="10"/>
      <c r="H101" s="2"/>
      <c r="I101" s="1"/>
      <c r="J101" s="1"/>
      <c r="K101" s="1"/>
      <c r="L101" s="1"/>
      <c r="AM101"/>
      <c r="AN101"/>
      <c r="AO101"/>
    </row>
    <row r="102" spans="7:41" s="3" customFormat="1" ht="15" customHeight="1">
      <c r="G102" s="10"/>
      <c r="H102" s="2"/>
      <c r="I102" s="1"/>
      <c r="J102" s="1"/>
      <c r="K102" s="1"/>
      <c r="L102" s="1"/>
      <c r="AM102"/>
      <c r="AN102"/>
      <c r="AO102"/>
    </row>
    <row r="103" spans="7:41" s="3" customFormat="1" ht="15" customHeight="1">
      <c r="G103" s="10"/>
      <c r="H103" s="2"/>
      <c r="I103" s="1"/>
      <c r="J103" s="1"/>
      <c r="K103" s="1"/>
      <c r="L103" s="1"/>
      <c r="AM103"/>
      <c r="AN103"/>
      <c r="AO103"/>
    </row>
    <row r="104" spans="7:41" ht="15" customHeight="1"/>
    <row r="105" spans="7:41" ht="15" customHeight="1"/>
    <row r="106" spans="7:41" ht="15" customHeight="1"/>
    <row r="108" spans="7:41" ht="15.75" thickBot="1"/>
    <row r="109" spans="7:41" ht="18.75" thickBot="1">
      <c r="H109" s="18"/>
    </row>
    <row r="110" spans="7:41">
      <c r="H110" s="5"/>
    </row>
    <row r="111" spans="7:41">
      <c r="H111" s="5"/>
    </row>
    <row r="112" spans="7:41">
      <c r="H112" s="5"/>
    </row>
    <row r="113" spans="8:8">
      <c r="H113" s="5"/>
    </row>
    <row r="114" spans="8:8">
      <c r="H114" s="5"/>
    </row>
    <row r="115" spans="8:8">
      <c r="H115" s="5"/>
    </row>
    <row r="116" spans="8:8">
      <c r="H116" s="4"/>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row r="126" spans="8:8">
      <c r="H126" s="5"/>
    </row>
    <row r="127" spans="8:8">
      <c r="H127" s="5"/>
    </row>
    <row r="128" spans="8:8">
      <c r="H128" s="5"/>
    </row>
    <row r="129" spans="8:8">
      <c r="H129" s="5"/>
    </row>
    <row r="130" spans="8:8">
      <c r="H130" s="5"/>
    </row>
  </sheetData>
  <protectedRanges>
    <protectedRange sqref="E4:E9 E35:E54 E11:E33 E56:E74" name="Ingreso"/>
  </protectedRanges>
  <mergeCells count="10">
    <mergeCell ref="B76:C76"/>
    <mergeCell ref="B77:C77"/>
    <mergeCell ref="B78:C78"/>
    <mergeCell ref="B79:C79"/>
    <mergeCell ref="B80:C80"/>
    <mergeCell ref="B35:B54"/>
    <mergeCell ref="B56:B74"/>
    <mergeCell ref="D2:G2"/>
    <mergeCell ref="B4:B9"/>
    <mergeCell ref="B11:B33"/>
  </mergeCells>
  <conditionalFormatting sqref="F4 F56:F74">
    <cfRule type="cellIs" dxfId="10" priority="5" stopIfTrue="1" operator="equal">
      <formula>0</formula>
    </cfRule>
  </conditionalFormatting>
  <conditionalFormatting sqref="F5:F9">
    <cfRule type="cellIs" dxfId="9" priority="4" stopIfTrue="1" operator="equal">
      <formula>0</formula>
    </cfRule>
  </conditionalFormatting>
  <conditionalFormatting sqref="F11:F33">
    <cfRule type="cellIs" dxfId="8" priority="3" stopIfTrue="1" operator="equal">
      <formula>0</formula>
    </cfRule>
  </conditionalFormatting>
  <conditionalFormatting sqref="F35:F54">
    <cfRule type="cellIs" dxfId="7" priority="2" stopIfTrue="1" operator="equal">
      <formula>0</formula>
    </cfRule>
  </conditionalFormatting>
  <dataValidations xWindow="475" yWindow="730" count="1">
    <dataValidation type="list" allowBlank="1" showInputMessage="1" showErrorMessage="1" error="Por favor especifique &quot;Otro&quot; y en la siguiente columna especifíquelo" sqref="E4:E9 E35:E54 E11:E33 E56:E74">
      <formula1>$AN$1:$AN$22</formula1>
    </dataValidation>
  </dataValidations>
  <printOptions horizontalCentered="1" verticalCentered="1"/>
  <pageMargins left="0.74803149606299213" right="0.31496062992125984" top="0.70866141732283472" bottom="0.64" header="0.39370078740157483" footer="0.42"/>
  <pageSetup scale="48" orientation="landscape" horizontalDpi="4294967295" verticalDpi="4294967295" r:id="rId1"/>
  <headerFooter alignWithMargins="0">
    <oddFooter>Página &amp;P de &amp;F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outlinePr summaryBelow="0"/>
  </sheetPr>
  <dimension ref="A1:AO82"/>
  <sheetViews>
    <sheetView showGridLines="0" tabSelected="1" zoomScale="98" zoomScaleNormal="98" zoomScaleSheetLayoutView="82" workbookViewId="0">
      <pane xSplit="2" ySplit="3" topLeftCell="C4" activePane="bottomRight" state="frozen"/>
      <selection pane="topRight" activeCell="D1" sqref="D1"/>
      <selection pane="bottomLeft" activeCell="A17" sqref="A17"/>
      <selection pane="bottomRight" activeCell="C11" sqref="C11:H25"/>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78.3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1.25" customHeight="1">
      <c r="B2" s="33"/>
      <c r="C2" s="43" t="s">
        <v>83</v>
      </c>
      <c r="D2" s="88" t="s">
        <v>204</v>
      </c>
      <c r="E2" s="89"/>
      <c r="F2" s="89"/>
      <c r="G2" s="90"/>
      <c r="H2" s="44" t="s">
        <v>84</v>
      </c>
      <c r="AM2" s="23">
        <v>4</v>
      </c>
      <c r="AN2" s="15" t="s">
        <v>58</v>
      </c>
      <c r="AO2" s="25">
        <v>12</v>
      </c>
    </row>
    <row r="3" spans="1:41" ht="44.25" customHeight="1">
      <c r="B3" s="19">
        <v>1</v>
      </c>
      <c r="C3" s="6">
        <v>14</v>
      </c>
      <c r="D3" s="13" t="s">
        <v>53</v>
      </c>
      <c r="E3" s="13" t="s">
        <v>56</v>
      </c>
      <c r="F3" s="13" t="s">
        <v>75</v>
      </c>
      <c r="G3" s="13" t="s">
        <v>45</v>
      </c>
      <c r="H3" s="11" t="s">
        <v>55</v>
      </c>
      <c r="AM3" s="23">
        <v>5</v>
      </c>
      <c r="AN3" s="15" t="s">
        <v>59</v>
      </c>
      <c r="AO3" s="25">
        <f>12/2</f>
        <v>6</v>
      </c>
    </row>
    <row r="4" spans="1:41" s="8" customFormat="1" ht="12.75" customHeight="1">
      <c r="A4" s="8">
        <v>1</v>
      </c>
      <c r="B4" s="83" t="s">
        <v>46</v>
      </c>
      <c r="C4" s="9" t="s">
        <v>47</v>
      </c>
      <c r="D4" s="9"/>
      <c r="E4" s="31" t="s">
        <v>59</v>
      </c>
      <c r="F4" s="32">
        <f t="shared" ref="F4:F9" si="0">VLOOKUP(E4,$AN$1:$AO$22,2,FALSE)</f>
        <v>6</v>
      </c>
      <c r="G4" s="12"/>
      <c r="H4" s="20">
        <v>34663</v>
      </c>
      <c r="AM4" s="23">
        <v>6</v>
      </c>
      <c r="AN4" s="15" t="s">
        <v>60</v>
      </c>
      <c r="AO4" s="25">
        <f>12/3</f>
        <v>4</v>
      </c>
    </row>
    <row r="5" spans="1:41" s="8" customFormat="1">
      <c r="A5" s="8">
        <f>A4+1</f>
        <v>2</v>
      </c>
      <c r="B5" s="84"/>
      <c r="C5" s="9" t="s">
        <v>48</v>
      </c>
      <c r="D5" s="9" t="s">
        <v>165</v>
      </c>
      <c r="E5" s="31" t="s">
        <v>58</v>
      </c>
      <c r="F5" s="32">
        <f t="shared" si="0"/>
        <v>12</v>
      </c>
      <c r="G5" s="12"/>
      <c r="H5" s="20">
        <v>39583</v>
      </c>
      <c r="AM5" s="23">
        <v>7</v>
      </c>
      <c r="AN5" s="15" t="s">
        <v>61</v>
      </c>
      <c r="AO5" s="26">
        <f>12/4</f>
        <v>3</v>
      </c>
    </row>
    <row r="6" spans="1:41" s="8" customFormat="1">
      <c r="A6" s="8">
        <f t="shared" ref="A6:A9" si="1">A5+1</f>
        <v>3</v>
      </c>
      <c r="B6" s="84"/>
      <c r="C6" s="9" t="s">
        <v>49</v>
      </c>
      <c r="D6" s="9"/>
      <c r="E6" s="31" t="s">
        <v>58</v>
      </c>
      <c r="F6" s="32">
        <f t="shared" si="0"/>
        <v>12</v>
      </c>
      <c r="G6" s="12"/>
      <c r="H6" s="20">
        <v>20094</v>
      </c>
      <c r="AM6" s="23">
        <v>8</v>
      </c>
      <c r="AN6" s="15" t="s">
        <v>62</v>
      </c>
      <c r="AO6" s="25">
        <f>12/6</f>
        <v>2</v>
      </c>
    </row>
    <row r="7" spans="1:41" s="8" customFormat="1">
      <c r="A7" s="8">
        <f t="shared" si="1"/>
        <v>4</v>
      </c>
      <c r="B7" s="84"/>
      <c r="C7" s="9" t="s">
        <v>50</v>
      </c>
      <c r="D7" s="9"/>
      <c r="E7" s="31" t="s">
        <v>58</v>
      </c>
      <c r="F7" s="32">
        <f t="shared" si="0"/>
        <v>12</v>
      </c>
      <c r="G7" s="12"/>
      <c r="H7" s="20"/>
      <c r="AM7" s="23">
        <v>9</v>
      </c>
      <c r="AN7" s="15" t="s">
        <v>63</v>
      </c>
      <c r="AO7" s="24">
        <f>12/7</f>
        <v>1.7142857142857142</v>
      </c>
    </row>
    <row r="8" spans="1:41" s="8" customFormat="1">
      <c r="A8" s="8">
        <f t="shared" si="1"/>
        <v>5</v>
      </c>
      <c r="B8" s="84"/>
      <c r="C8" s="9" t="s">
        <v>51</v>
      </c>
      <c r="D8" s="9" t="s">
        <v>166</v>
      </c>
      <c r="E8" s="31" t="s">
        <v>58</v>
      </c>
      <c r="F8" s="32">
        <f t="shared" si="0"/>
        <v>12</v>
      </c>
      <c r="G8" s="12"/>
      <c r="H8" s="20">
        <v>57234</v>
      </c>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3" customHeight="1">
      <c r="B10" s="19">
        <v>2</v>
      </c>
      <c r="C10" s="6">
        <v>14</v>
      </c>
      <c r="D10" s="13" t="s">
        <v>53</v>
      </c>
      <c r="E10" s="13" t="s">
        <v>56</v>
      </c>
      <c r="F10" s="13"/>
      <c r="G10" s="13" t="s">
        <v>45</v>
      </c>
      <c r="H10" s="11" t="s">
        <v>55</v>
      </c>
      <c r="AM10" s="23">
        <v>12</v>
      </c>
      <c r="AN10" s="15" t="s">
        <v>66</v>
      </c>
      <c r="AO10" s="24">
        <f>12/10</f>
        <v>1.2</v>
      </c>
    </row>
    <row r="11" spans="1:41" ht="12.75" customHeight="1">
      <c r="A11" s="8">
        <v>1</v>
      </c>
      <c r="B11" s="76" t="s">
        <v>76</v>
      </c>
      <c r="C11" s="9" t="s">
        <v>168</v>
      </c>
      <c r="D11" s="9" t="s">
        <v>167</v>
      </c>
      <c r="E11" s="31" t="s">
        <v>62</v>
      </c>
      <c r="F11" s="32">
        <f t="shared" ref="F11:F30" si="2">VLOOKUP(E11,$AN$1:$AO$22,2,FALSE)</f>
        <v>2</v>
      </c>
      <c r="G11" s="12" t="s">
        <v>169</v>
      </c>
      <c r="H11" s="20">
        <v>9500</v>
      </c>
      <c r="AM11" s="23">
        <v>13</v>
      </c>
      <c r="AN11" s="15" t="s">
        <v>67</v>
      </c>
      <c r="AO11" s="24">
        <f>12/11</f>
        <v>1.0909090909090908</v>
      </c>
    </row>
    <row r="12" spans="1:41">
      <c r="A12" s="8">
        <f>A11+1</f>
        <v>2</v>
      </c>
      <c r="B12" s="77"/>
      <c r="C12" s="9" t="s">
        <v>170</v>
      </c>
      <c r="D12" s="9" t="s">
        <v>171</v>
      </c>
      <c r="E12" s="31" t="s">
        <v>62</v>
      </c>
      <c r="F12" s="32">
        <f t="shared" si="2"/>
        <v>2</v>
      </c>
      <c r="G12" s="12" t="s">
        <v>172</v>
      </c>
      <c r="H12" s="20">
        <v>1000</v>
      </c>
      <c r="AM12" s="23">
        <v>14</v>
      </c>
      <c r="AN12" s="15" t="s">
        <v>68</v>
      </c>
      <c r="AO12" s="25">
        <f>12/12</f>
        <v>1</v>
      </c>
    </row>
    <row r="13" spans="1:41">
      <c r="A13" s="8">
        <f t="shared" ref="A13:A30" si="3">A12+1</f>
        <v>3</v>
      </c>
      <c r="B13" s="77"/>
      <c r="C13" s="9" t="s">
        <v>173</v>
      </c>
      <c r="D13" s="9" t="s">
        <v>171</v>
      </c>
      <c r="E13" s="31" t="s">
        <v>62</v>
      </c>
      <c r="F13" s="32">
        <f t="shared" si="2"/>
        <v>2</v>
      </c>
      <c r="G13" s="12" t="s">
        <v>174</v>
      </c>
      <c r="H13" s="20">
        <v>4500</v>
      </c>
      <c r="AM13" s="23">
        <v>15</v>
      </c>
      <c r="AN13" s="15" t="s">
        <v>69</v>
      </c>
      <c r="AO13" s="24">
        <f>1/2</f>
        <v>0.5</v>
      </c>
    </row>
    <row r="14" spans="1:41">
      <c r="A14" s="8">
        <f t="shared" si="3"/>
        <v>4</v>
      </c>
      <c r="B14" s="77"/>
      <c r="C14" s="9" t="s">
        <v>175</v>
      </c>
      <c r="D14" s="9" t="s">
        <v>176</v>
      </c>
      <c r="E14" s="31" t="s">
        <v>62</v>
      </c>
      <c r="F14" s="32">
        <f t="shared" si="2"/>
        <v>2</v>
      </c>
      <c r="G14" s="12" t="s">
        <v>177</v>
      </c>
      <c r="H14" s="20">
        <v>4500</v>
      </c>
      <c r="AM14" s="23">
        <v>16</v>
      </c>
      <c r="AN14" s="15" t="s">
        <v>70</v>
      </c>
      <c r="AO14" s="24">
        <f>1/3</f>
        <v>0.33333333333333331</v>
      </c>
    </row>
    <row r="15" spans="1:41">
      <c r="A15" s="8">
        <f t="shared" si="3"/>
        <v>5</v>
      </c>
      <c r="B15" s="77"/>
      <c r="C15" s="9" t="s">
        <v>178</v>
      </c>
      <c r="D15" s="9" t="s">
        <v>179</v>
      </c>
      <c r="E15" s="31" t="s">
        <v>62</v>
      </c>
      <c r="F15" s="32">
        <f t="shared" si="2"/>
        <v>2</v>
      </c>
      <c r="G15" s="12" t="s">
        <v>180</v>
      </c>
      <c r="H15" s="20">
        <v>5000</v>
      </c>
      <c r="AM15" s="23">
        <v>17</v>
      </c>
      <c r="AN15" s="15" t="s">
        <v>71</v>
      </c>
      <c r="AO15" s="24">
        <f>1/4</f>
        <v>0.25</v>
      </c>
    </row>
    <row r="16" spans="1:41">
      <c r="A16" s="8">
        <f t="shared" si="3"/>
        <v>6</v>
      </c>
      <c r="B16" s="77"/>
      <c r="C16" s="9" t="s">
        <v>181</v>
      </c>
      <c r="D16" s="9" t="s">
        <v>176</v>
      </c>
      <c r="E16" s="31" t="s">
        <v>62</v>
      </c>
      <c r="F16" s="32">
        <f t="shared" si="2"/>
        <v>2</v>
      </c>
      <c r="G16" s="12" t="s">
        <v>182</v>
      </c>
      <c r="H16" s="20">
        <v>8000</v>
      </c>
      <c r="AM16" s="23">
        <v>18</v>
      </c>
      <c r="AN16" s="15" t="s">
        <v>72</v>
      </c>
      <c r="AO16" s="24">
        <f>1/5</f>
        <v>0.2</v>
      </c>
    </row>
    <row r="17" spans="1:41">
      <c r="A17" s="8">
        <f t="shared" si="3"/>
        <v>7</v>
      </c>
      <c r="B17" s="77"/>
      <c r="C17" s="9" t="s">
        <v>183</v>
      </c>
      <c r="D17" s="9" t="s">
        <v>184</v>
      </c>
      <c r="E17" s="31" t="s">
        <v>62</v>
      </c>
      <c r="F17" s="32">
        <f t="shared" si="2"/>
        <v>2</v>
      </c>
      <c r="G17" s="12" t="s">
        <v>185</v>
      </c>
      <c r="H17" s="20">
        <v>5000</v>
      </c>
      <c r="AM17" s="23">
        <v>19</v>
      </c>
      <c r="AN17" s="15" t="s">
        <v>73</v>
      </c>
      <c r="AO17" s="24">
        <f>1/10</f>
        <v>0.1</v>
      </c>
    </row>
    <row r="18" spans="1:41">
      <c r="A18" s="8">
        <f t="shared" si="3"/>
        <v>8</v>
      </c>
      <c r="B18" s="77"/>
      <c r="C18" s="9" t="s">
        <v>186</v>
      </c>
      <c r="D18" s="9" t="s">
        <v>179</v>
      </c>
      <c r="E18" s="31" t="s">
        <v>62</v>
      </c>
      <c r="F18" s="32">
        <f t="shared" si="2"/>
        <v>2</v>
      </c>
      <c r="G18" s="12" t="s">
        <v>187</v>
      </c>
      <c r="H18" s="20">
        <v>9000</v>
      </c>
      <c r="AM18" s="23">
        <v>20</v>
      </c>
      <c r="AN18" s="15" t="s">
        <v>74</v>
      </c>
      <c r="AO18" s="25">
        <f>1/20</f>
        <v>0.05</v>
      </c>
    </row>
    <row r="19" spans="1:41">
      <c r="A19" s="8">
        <f t="shared" si="3"/>
        <v>9</v>
      </c>
      <c r="B19" s="77"/>
      <c r="C19" s="9" t="s">
        <v>188</v>
      </c>
      <c r="D19" s="9" t="s">
        <v>189</v>
      </c>
      <c r="E19" s="31" t="s">
        <v>62</v>
      </c>
      <c r="F19" s="32">
        <f t="shared" si="2"/>
        <v>2</v>
      </c>
      <c r="G19" s="12" t="s">
        <v>190</v>
      </c>
      <c r="H19" s="20">
        <v>2500</v>
      </c>
      <c r="AM19" s="23">
        <v>21</v>
      </c>
      <c r="AN19" s="15" t="s">
        <v>52</v>
      </c>
      <c r="AO19" s="25">
        <v>0</v>
      </c>
    </row>
    <row r="20" spans="1:41">
      <c r="A20" s="8">
        <f t="shared" si="3"/>
        <v>10</v>
      </c>
      <c r="B20" s="77"/>
      <c r="C20" s="9" t="s">
        <v>191</v>
      </c>
      <c r="D20" s="9" t="s">
        <v>171</v>
      </c>
      <c r="E20" s="31" t="s">
        <v>62</v>
      </c>
      <c r="F20" s="32">
        <f t="shared" si="2"/>
        <v>2</v>
      </c>
      <c r="G20" s="12" t="s">
        <v>192</v>
      </c>
      <c r="H20" s="20">
        <v>3600</v>
      </c>
      <c r="AM20" s="23">
        <v>22</v>
      </c>
      <c r="AN20" s="15"/>
      <c r="AO20" s="25"/>
    </row>
    <row r="21" spans="1:41">
      <c r="A21" s="8">
        <f t="shared" si="3"/>
        <v>11</v>
      </c>
      <c r="B21" s="77"/>
      <c r="C21" s="9" t="s">
        <v>193</v>
      </c>
      <c r="D21" s="9" t="s">
        <v>171</v>
      </c>
      <c r="E21" s="31" t="s">
        <v>62</v>
      </c>
      <c r="F21" s="32">
        <f t="shared" si="2"/>
        <v>2</v>
      </c>
      <c r="G21" s="12" t="s">
        <v>194</v>
      </c>
      <c r="H21" s="20">
        <v>8500</v>
      </c>
      <c r="AM21" s="23">
        <v>23</v>
      </c>
      <c r="AN21" s="15"/>
      <c r="AO21" s="25"/>
    </row>
    <row r="22" spans="1:41" ht="15.75" thickBot="1">
      <c r="A22" s="8">
        <f t="shared" si="3"/>
        <v>12</v>
      </c>
      <c r="B22" s="77"/>
      <c r="C22" s="9" t="s">
        <v>195</v>
      </c>
      <c r="D22" s="9" t="s">
        <v>179</v>
      </c>
      <c r="E22" s="31" t="s">
        <v>62</v>
      </c>
      <c r="F22" s="32">
        <f t="shared" si="2"/>
        <v>2</v>
      </c>
      <c r="G22" s="12" t="s">
        <v>198</v>
      </c>
      <c r="H22" s="20">
        <v>1200</v>
      </c>
      <c r="AM22" s="27">
        <v>24</v>
      </c>
      <c r="AN22" s="28"/>
      <c r="AO22" s="29">
        <v>0</v>
      </c>
    </row>
    <row r="23" spans="1:41">
      <c r="A23" s="8">
        <f t="shared" si="3"/>
        <v>13</v>
      </c>
      <c r="B23" s="77"/>
      <c r="C23" s="9" t="s">
        <v>196</v>
      </c>
      <c r="D23" s="9" t="s">
        <v>171</v>
      </c>
      <c r="E23" s="31" t="s">
        <v>62</v>
      </c>
      <c r="F23" s="32">
        <f t="shared" si="2"/>
        <v>2</v>
      </c>
      <c r="G23" s="12" t="s">
        <v>197</v>
      </c>
      <c r="H23" s="20">
        <v>1500</v>
      </c>
    </row>
    <row r="24" spans="1:41">
      <c r="A24" s="8">
        <f t="shared" si="3"/>
        <v>14</v>
      </c>
      <c r="B24" s="77"/>
      <c r="C24" s="9" t="s">
        <v>199</v>
      </c>
      <c r="D24" s="9" t="s">
        <v>200</v>
      </c>
      <c r="E24" s="31" t="s">
        <v>62</v>
      </c>
      <c r="F24" s="32">
        <f t="shared" si="2"/>
        <v>2</v>
      </c>
      <c r="G24" s="12" t="s">
        <v>201</v>
      </c>
      <c r="H24" s="20">
        <v>1700</v>
      </c>
    </row>
    <row r="25" spans="1:41">
      <c r="A25" s="8">
        <f t="shared" si="3"/>
        <v>15</v>
      </c>
      <c r="B25" s="77"/>
      <c r="C25" s="9" t="s">
        <v>202</v>
      </c>
      <c r="D25" s="9" t="s">
        <v>179</v>
      </c>
      <c r="E25" s="31" t="s">
        <v>62</v>
      </c>
      <c r="F25" s="32">
        <f t="shared" si="2"/>
        <v>2</v>
      </c>
      <c r="G25" s="12" t="s">
        <v>203</v>
      </c>
      <c r="H25" s="20">
        <v>12000</v>
      </c>
    </row>
    <row r="26" spans="1:41">
      <c r="A26" s="8">
        <f t="shared" si="3"/>
        <v>16</v>
      </c>
      <c r="B26" s="77"/>
      <c r="C26" s="9"/>
      <c r="D26" s="9"/>
      <c r="E26" s="31" t="s">
        <v>62</v>
      </c>
      <c r="F26" s="32">
        <f t="shared" si="2"/>
        <v>2</v>
      </c>
      <c r="G26" s="12"/>
      <c r="H26" s="20"/>
    </row>
    <row r="27" spans="1:41">
      <c r="A27" s="8">
        <f t="shared" si="3"/>
        <v>17</v>
      </c>
      <c r="B27" s="77"/>
      <c r="C27" s="9"/>
      <c r="D27" s="9"/>
      <c r="E27" s="31" t="s">
        <v>62</v>
      </c>
      <c r="F27" s="32">
        <f t="shared" si="2"/>
        <v>2</v>
      </c>
      <c r="G27" s="12"/>
      <c r="H27" s="20"/>
    </row>
    <row r="28" spans="1:41">
      <c r="A28" s="8">
        <f t="shared" si="3"/>
        <v>18</v>
      </c>
      <c r="B28" s="77"/>
      <c r="C28" s="9"/>
      <c r="D28" s="9"/>
      <c r="E28" s="31" t="s">
        <v>62</v>
      </c>
      <c r="F28" s="32">
        <f t="shared" si="2"/>
        <v>2</v>
      </c>
      <c r="G28" s="12"/>
      <c r="H28" s="20"/>
    </row>
    <row r="29" spans="1:41">
      <c r="A29" s="8">
        <f t="shared" si="3"/>
        <v>19</v>
      </c>
      <c r="B29" s="77"/>
      <c r="C29" s="9"/>
      <c r="D29" s="9"/>
      <c r="E29" s="31" t="s">
        <v>62</v>
      </c>
      <c r="F29" s="32">
        <f t="shared" si="2"/>
        <v>2</v>
      </c>
      <c r="G29" s="12"/>
      <c r="H29" s="20"/>
    </row>
    <row r="30" spans="1:41" s="8" customFormat="1" ht="15" customHeight="1">
      <c r="A30" s="8">
        <f t="shared" si="3"/>
        <v>20</v>
      </c>
      <c r="B30" s="78"/>
      <c r="C30" s="9"/>
      <c r="D30" s="9"/>
      <c r="E30" s="31" t="s">
        <v>62</v>
      </c>
      <c r="F30" s="32">
        <f t="shared" si="2"/>
        <v>2</v>
      </c>
      <c r="G30" s="12"/>
      <c r="H30" s="20"/>
      <c r="AM30"/>
      <c r="AN30"/>
      <c r="AO30"/>
    </row>
    <row r="31" spans="1:41" ht="15" customHeight="1">
      <c r="H31" s="22"/>
      <c r="AM31" s="30"/>
      <c r="AN31" s="30"/>
    </row>
    <row r="32" spans="1:41" ht="15" customHeight="1">
      <c r="H32" s="22"/>
      <c r="AM32" s="30"/>
      <c r="AN32" s="30"/>
    </row>
    <row r="33" spans="7:41" ht="15" customHeight="1">
      <c r="H33" s="22"/>
      <c r="AM33" s="30"/>
      <c r="AN33" s="30"/>
    </row>
    <row r="34" spans="7:41" ht="15" customHeight="1">
      <c r="H34" s="22"/>
      <c r="AM34" s="30"/>
      <c r="AN34" s="30"/>
    </row>
    <row r="35" spans="7:41" ht="15" customHeight="1">
      <c r="H35" s="22"/>
      <c r="AM35" s="30"/>
      <c r="AN35" s="30"/>
    </row>
    <row r="36" spans="7:41" ht="15" customHeight="1">
      <c r="H36" s="22"/>
      <c r="AM36" s="30"/>
      <c r="AN36" s="30"/>
    </row>
    <row r="37" spans="7:41" ht="15" customHeight="1">
      <c r="H37" s="22"/>
      <c r="AM37" s="30"/>
      <c r="AN37" s="30"/>
    </row>
    <row r="38" spans="7:41" ht="15" customHeight="1">
      <c r="H38" s="22"/>
      <c r="AM38" s="30"/>
      <c r="AN38" s="30"/>
    </row>
    <row r="39" spans="7:41" ht="15" customHeight="1">
      <c r="H39" s="22"/>
      <c r="AM39" s="30"/>
      <c r="AN39" s="30"/>
    </row>
    <row r="40" spans="7:41" s="3" customFormat="1" ht="15" customHeight="1">
      <c r="G40" s="10"/>
      <c r="H40" s="22"/>
      <c r="I40" s="1"/>
      <c r="J40" s="1"/>
      <c r="K40" s="1"/>
      <c r="L40" s="1"/>
      <c r="AM40" s="30"/>
      <c r="AN40" s="30"/>
      <c r="AO40"/>
    </row>
    <row r="41" spans="7:41" s="3" customFormat="1" ht="15" customHeight="1">
      <c r="G41" s="10"/>
      <c r="H41" s="22"/>
      <c r="I41" s="1"/>
      <c r="J41" s="1"/>
      <c r="K41" s="1"/>
      <c r="L41" s="1"/>
      <c r="AM41" s="30"/>
      <c r="AN41" s="30"/>
      <c r="AO41"/>
    </row>
    <row r="42" spans="7:41" s="3" customFormat="1" ht="15" customHeight="1">
      <c r="G42" s="10"/>
      <c r="H42" s="22"/>
      <c r="I42" s="1"/>
      <c r="J42" s="1"/>
      <c r="K42" s="1"/>
      <c r="L42" s="1"/>
      <c r="AM42"/>
      <c r="AN42"/>
      <c r="AO42"/>
    </row>
    <row r="43" spans="7:41" s="3" customFormat="1" ht="15" customHeight="1">
      <c r="G43" s="10"/>
      <c r="H43" s="22"/>
      <c r="I43" s="1"/>
      <c r="J43" s="1"/>
      <c r="K43" s="1"/>
      <c r="L43" s="1"/>
      <c r="AM43"/>
      <c r="AN43"/>
      <c r="AO43"/>
    </row>
    <row r="44" spans="7:41" s="3" customFormat="1" ht="15" customHeight="1">
      <c r="G44" s="10"/>
      <c r="H44" s="22"/>
      <c r="I44" s="1"/>
      <c r="J44" s="1"/>
      <c r="K44" s="1"/>
      <c r="L44" s="1"/>
      <c r="AM44"/>
      <c r="AN44"/>
      <c r="AO44"/>
    </row>
    <row r="45" spans="7:41" s="3" customFormat="1" ht="15" customHeight="1">
      <c r="G45" s="10"/>
      <c r="H45" s="22"/>
      <c r="I45" s="1"/>
      <c r="J45" s="1"/>
      <c r="K45" s="1"/>
      <c r="L45" s="1"/>
      <c r="AM45"/>
      <c r="AN45"/>
      <c r="AO45"/>
    </row>
    <row r="46" spans="7:41" s="3" customFormat="1" ht="15" customHeight="1">
      <c r="G46" s="10"/>
      <c r="H46" s="22"/>
      <c r="I46" s="1"/>
      <c r="J46" s="1"/>
      <c r="K46" s="1"/>
      <c r="L46" s="1"/>
      <c r="AM46"/>
      <c r="AN46"/>
      <c r="AO46"/>
    </row>
    <row r="47" spans="7:41" s="3" customFormat="1" ht="15" customHeight="1">
      <c r="G47" s="10"/>
      <c r="H47" s="22"/>
      <c r="I47" s="1"/>
      <c r="J47" s="1"/>
      <c r="K47" s="1"/>
      <c r="L47" s="1"/>
      <c r="AM47"/>
      <c r="AN47"/>
      <c r="AO47"/>
    </row>
    <row r="48" spans="7:41" s="3" customFormat="1" ht="15" customHeight="1">
      <c r="G48" s="10"/>
      <c r="H48" s="2"/>
      <c r="I48" s="1"/>
      <c r="J48" s="1"/>
      <c r="K48" s="1"/>
      <c r="L48" s="1"/>
      <c r="AM48"/>
      <c r="AN48"/>
      <c r="AO48"/>
    </row>
    <row r="49" spans="7:41" s="3" customFormat="1" ht="15" customHeight="1">
      <c r="G49" s="10"/>
      <c r="H49" s="2"/>
      <c r="I49" s="1"/>
      <c r="J49" s="1"/>
      <c r="K49" s="1"/>
      <c r="L49" s="1"/>
      <c r="AM49"/>
      <c r="AN49"/>
      <c r="AO49"/>
    </row>
    <row r="50" spans="7:41" s="3" customFormat="1" ht="15" customHeight="1">
      <c r="G50" s="10"/>
      <c r="H50" s="2"/>
      <c r="I50" s="1"/>
      <c r="J50" s="1"/>
      <c r="K50" s="1"/>
      <c r="L50" s="1"/>
      <c r="AM50"/>
      <c r="AN50"/>
      <c r="AO50"/>
    </row>
    <row r="51" spans="7:41" s="3" customFormat="1" ht="15" customHeight="1">
      <c r="G51" s="10"/>
      <c r="H51" s="2"/>
      <c r="I51" s="1"/>
      <c r="J51" s="1"/>
      <c r="K51" s="1"/>
      <c r="L51" s="1"/>
      <c r="AM51"/>
      <c r="AN51"/>
      <c r="AO51"/>
    </row>
    <row r="52" spans="7:41" s="3" customFormat="1" ht="15" customHeight="1">
      <c r="G52" s="10"/>
      <c r="H52" s="2"/>
      <c r="I52" s="1"/>
      <c r="J52" s="1"/>
      <c r="K52" s="1"/>
      <c r="L52" s="1"/>
      <c r="AM52"/>
      <c r="AN52"/>
      <c r="AO52"/>
    </row>
    <row r="53" spans="7:41" s="3" customFormat="1" ht="15" customHeight="1">
      <c r="G53" s="10"/>
      <c r="H53" s="2"/>
      <c r="I53" s="1"/>
      <c r="J53" s="1"/>
      <c r="K53" s="1"/>
      <c r="L53" s="1"/>
      <c r="AM53"/>
      <c r="AN53"/>
      <c r="AO53"/>
    </row>
    <row r="54" spans="7:41" s="3" customFormat="1" ht="15" customHeight="1">
      <c r="G54" s="10"/>
      <c r="H54" s="2"/>
      <c r="I54" s="1"/>
      <c r="J54" s="1"/>
      <c r="K54" s="1"/>
      <c r="L54" s="1"/>
      <c r="AM54"/>
      <c r="AN54"/>
      <c r="AO54"/>
    </row>
    <row r="55" spans="7:41" s="3" customFormat="1" ht="15" customHeight="1">
      <c r="G55" s="10"/>
      <c r="H55" s="2"/>
      <c r="I55" s="1"/>
      <c r="J55" s="1"/>
      <c r="K55" s="1"/>
      <c r="L55" s="1"/>
      <c r="AM55"/>
      <c r="AN55"/>
      <c r="AO55"/>
    </row>
    <row r="56" spans="7:41" ht="15" customHeight="1"/>
    <row r="57" spans="7:41" ht="15" customHeight="1"/>
    <row r="58" spans="7:41" ht="15" customHeight="1"/>
    <row r="60" spans="7:41" ht="15.75" thickBot="1"/>
    <row r="61" spans="7:41" ht="18.75" thickBot="1">
      <c r="H61" s="18"/>
    </row>
    <row r="62" spans="7:41">
      <c r="H62" s="5"/>
    </row>
    <row r="63" spans="7:41">
      <c r="H63" s="5"/>
    </row>
    <row r="64" spans="7:41">
      <c r="H64" s="5"/>
    </row>
    <row r="65" spans="8:8">
      <c r="H65" s="5"/>
    </row>
    <row r="66" spans="8:8">
      <c r="H66" s="5"/>
    </row>
    <row r="67" spans="8:8">
      <c r="H67" s="5"/>
    </row>
    <row r="68" spans="8:8">
      <c r="H68" s="4"/>
    </row>
    <row r="69" spans="8:8">
      <c r="H69" s="5"/>
    </row>
    <row r="70" spans="8:8">
      <c r="H70" s="5"/>
    </row>
    <row r="71" spans="8:8">
      <c r="H71" s="5"/>
    </row>
    <row r="72" spans="8:8">
      <c r="H72" s="5"/>
    </row>
    <row r="73" spans="8:8">
      <c r="H73" s="5"/>
    </row>
    <row r="74" spans="8:8">
      <c r="H74" s="5"/>
    </row>
    <row r="75" spans="8:8">
      <c r="H75" s="5"/>
    </row>
    <row r="76" spans="8:8">
      <c r="H76" s="5"/>
    </row>
    <row r="77" spans="8:8">
      <c r="H77" s="5"/>
    </row>
    <row r="78" spans="8:8">
      <c r="H78" s="5"/>
    </row>
    <row r="79" spans="8:8">
      <c r="H79" s="5"/>
    </row>
    <row r="80" spans="8:8">
      <c r="H80" s="5"/>
    </row>
    <row r="81" spans="8:8">
      <c r="H81" s="5"/>
    </row>
    <row r="82" spans="8:8">
      <c r="H82" s="5"/>
    </row>
  </sheetData>
  <protectedRanges>
    <protectedRange sqref="E4:E9 E11:E30" name="Ingreso"/>
  </protectedRanges>
  <mergeCells count="3">
    <mergeCell ref="D2:G2"/>
    <mergeCell ref="B4:B9"/>
    <mergeCell ref="B11:B30"/>
  </mergeCells>
  <conditionalFormatting sqref="F4">
    <cfRule type="cellIs" dxfId="6" priority="5" stopIfTrue="1" operator="equal">
      <formula>0</formula>
    </cfRule>
  </conditionalFormatting>
  <conditionalFormatting sqref="F5:F9">
    <cfRule type="cellIs" dxfId="5" priority="4" stopIfTrue="1" operator="equal">
      <formula>0</formula>
    </cfRule>
  </conditionalFormatting>
  <conditionalFormatting sqref="F11:F30">
    <cfRule type="cellIs" dxfId="4" priority="3" stopIfTrue="1" operator="equal">
      <formula>0</formula>
    </cfRule>
  </conditionalFormatting>
  <dataValidations count="1">
    <dataValidation type="list" allowBlank="1" showInputMessage="1" showErrorMessage="1" error="Por favor especifique &quot;Otro&quot; y en la siguiente columna especifíquelo" sqref="E4:E9 E11:E30">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outlinePr summaryBelow="0"/>
  </sheetPr>
  <dimension ref="A1:AO105"/>
  <sheetViews>
    <sheetView showGridLines="0" zoomScale="98" zoomScaleNormal="98" zoomScaleSheetLayoutView="82" workbookViewId="0">
      <pane xSplit="2" ySplit="3" topLeftCell="C4" activePane="bottomRight" state="frozen"/>
      <selection pane="topRight" activeCell="D1" sqref="D1"/>
      <selection pane="bottomLeft" activeCell="A17" sqref="A17"/>
      <selection pane="bottomRight" activeCell="C6" sqref="C6"/>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45.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54.75" customHeight="1">
      <c r="B2" s="42"/>
      <c r="C2" s="45" t="s">
        <v>83</v>
      </c>
      <c r="D2" s="91" t="s">
        <v>79</v>
      </c>
      <c r="E2" s="92"/>
      <c r="F2" s="92"/>
      <c r="G2" s="93"/>
      <c r="H2" s="46" t="s">
        <v>84</v>
      </c>
      <c r="AM2" s="23">
        <v>4</v>
      </c>
      <c r="AN2" s="15" t="s">
        <v>58</v>
      </c>
      <c r="AO2" s="25">
        <v>12</v>
      </c>
    </row>
    <row r="3" spans="1:41" ht="44.25" customHeight="1">
      <c r="B3" s="19">
        <v>1</v>
      </c>
      <c r="C3" s="6">
        <v>0</v>
      </c>
      <c r="D3" s="13" t="s">
        <v>53</v>
      </c>
      <c r="E3" s="13" t="s">
        <v>56</v>
      </c>
      <c r="F3" s="13" t="s">
        <v>75</v>
      </c>
      <c r="G3" s="13" t="s">
        <v>45</v>
      </c>
      <c r="H3" s="11" t="s">
        <v>55</v>
      </c>
      <c r="AM3" s="23">
        <v>5</v>
      </c>
      <c r="AN3" s="15" t="s">
        <v>59</v>
      </c>
      <c r="AO3" s="25">
        <f>12/2</f>
        <v>6</v>
      </c>
    </row>
    <row r="4" spans="1:41" s="8" customFormat="1" ht="12.75" customHeight="1">
      <c r="A4" s="8">
        <v>1</v>
      </c>
      <c r="B4" s="83" t="s">
        <v>46</v>
      </c>
      <c r="C4" s="9" t="s">
        <v>47</v>
      </c>
      <c r="D4" s="9"/>
      <c r="E4" s="31" t="s">
        <v>59</v>
      </c>
      <c r="F4" s="32">
        <f t="shared" ref="F4:F9" si="0">VLOOKUP(E4,$AN$1:$AO$22,2,FALSE)</f>
        <v>6</v>
      </c>
      <c r="G4" s="12"/>
      <c r="H4" s="20"/>
      <c r="AM4" s="23">
        <v>6</v>
      </c>
      <c r="AN4" s="15" t="s">
        <v>60</v>
      </c>
      <c r="AO4" s="25">
        <f>12/3</f>
        <v>4</v>
      </c>
    </row>
    <row r="5" spans="1:41" s="8" customFormat="1">
      <c r="A5" s="8">
        <f>A4+1</f>
        <v>2</v>
      </c>
      <c r="B5" s="84"/>
      <c r="C5" s="9" t="s">
        <v>48</v>
      </c>
      <c r="D5" s="9"/>
      <c r="E5" s="31" t="s">
        <v>58</v>
      </c>
      <c r="F5" s="32">
        <f t="shared" si="0"/>
        <v>12</v>
      </c>
      <c r="G5" s="12"/>
      <c r="H5" s="20"/>
      <c r="AM5" s="23">
        <v>7</v>
      </c>
      <c r="AN5" s="15" t="s">
        <v>61</v>
      </c>
      <c r="AO5" s="26">
        <f>12/4</f>
        <v>3</v>
      </c>
    </row>
    <row r="6" spans="1:41" s="8" customFormat="1">
      <c r="A6" s="8">
        <f t="shared" ref="A6:A9" si="1">A5+1</f>
        <v>3</v>
      </c>
      <c r="B6" s="84"/>
      <c r="C6" s="9" t="s">
        <v>49</v>
      </c>
      <c r="D6" s="9"/>
      <c r="E6" s="31" t="s">
        <v>58</v>
      </c>
      <c r="F6" s="32">
        <f t="shared" si="0"/>
        <v>12</v>
      </c>
      <c r="G6" s="12"/>
      <c r="H6" s="20"/>
      <c r="AM6" s="23">
        <v>8</v>
      </c>
      <c r="AN6" s="15" t="s">
        <v>62</v>
      </c>
      <c r="AO6" s="25">
        <f>12/6</f>
        <v>2</v>
      </c>
    </row>
    <row r="7" spans="1:41" s="8" customFormat="1">
      <c r="A7" s="8">
        <f t="shared" si="1"/>
        <v>4</v>
      </c>
      <c r="B7" s="84"/>
      <c r="C7" s="9" t="s">
        <v>50</v>
      </c>
      <c r="D7" s="9"/>
      <c r="E7" s="31" t="s">
        <v>58</v>
      </c>
      <c r="F7" s="32">
        <f t="shared" si="0"/>
        <v>12</v>
      </c>
      <c r="G7" s="12"/>
      <c r="H7" s="20"/>
      <c r="AM7" s="23">
        <v>9</v>
      </c>
      <c r="AN7" s="15" t="s">
        <v>63</v>
      </c>
      <c r="AO7" s="24">
        <f>12/7</f>
        <v>1.7142857142857142</v>
      </c>
    </row>
    <row r="8" spans="1:41" s="8" customFormat="1">
      <c r="A8" s="8">
        <f t="shared" si="1"/>
        <v>5</v>
      </c>
      <c r="B8" s="84"/>
      <c r="C8" s="9" t="s">
        <v>51</v>
      </c>
      <c r="D8" s="9"/>
      <c r="E8" s="31" t="s">
        <v>58</v>
      </c>
      <c r="F8" s="32">
        <f t="shared" si="0"/>
        <v>12</v>
      </c>
      <c r="G8" s="12"/>
      <c r="H8" s="20"/>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3" customHeight="1">
      <c r="B10" s="19">
        <v>2</v>
      </c>
      <c r="C10" s="6">
        <v>0</v>
      </c>
      <c r="D10" s="13" t="s">
        <v>53</v>
      </c>
      <c r="E10" s="13" t="s">
        <v>56</v>
      </c>
      <c r="F10" s="13"/>
      <c r="G10" s="13" t="s">
        <v>45</v>
      </c>
      <c r="H10" s="11" t="s">
        <v>55</v>
      </c>
      <c r="AM10" s="23">
        <v>12</v>
      </c>
      <c r="AN10" s="15" t="s">
        <v>66</v>
      </c>
      <c r="AO10" s="24">
        <f>12/10</f>
        <v>1.2</v>
      </c>
    </row>
    <row r="11" spans="1:41" ht="12.75" customHeight="1">
      <c r="A11" s="8">
        <v>1</v>
      </c>
      <c r="B11" s="76" t="s">
        <v>76</v>
      </c>
      <c r="C11" s="9"/>
      <c r="D11" s="9"/>
      <c r="E11" s="31" t="s">
        <v>58</v>
      </c>
      <c r="F11" s="32">
        <f t="shared" ref="F11:F30" si="2">VLOOKUP(E11,$AN$1:$AO$22,2,FALSE)</f>
        <v>12</v>
      </c>
      <c r="G11" s="12"/>
      <c r="H11" s="20"/>
      <c r="AM11" s="23">
        <v>13</v>
      </c>
      <c r="AN11" s="15" t="s">
        <v>67</v>
      </c>
      <c r="AO11" s="24">
        <f>12/11</f>
        <v>1.0909090909090908</v>
      </c>
    </row>
    <row r="12" spans="1:41">
      <c r="A12" s="8">
        <f>A11+1</f>
        <v>2</v>
      </c>
      <c r="B12" s="77"/>
      <c r="C12" s="9"/>
      <c r="D12" s="9"/>
      <c r="E12" s="31" t="s">
        <v>58</v>
      </c>
      <c r="F12" s="32">
        <f t="shared" si="2"/>
        <v>12</v>
      </c>
      <c r="G12" s="12"/>
      <c r="H12" s="20"/>
      <c r="AM12" s="23">
        <v>14</v>
      </c>
      <c r="AN12" s="15" t="s">
        <v>68</v>
      </c>
      <c r="AO12" s="25">
        <f>12/12</f>
        <v>1</v>
      </c>
    </row>
    <row r="13" spans="1:41">
      <c r="A13" s="8">
        <f t="shared" ref="A13:A30" si="3">A12+1</f>
        <v>3</v>
      </c>
      <c r="B13" s="77"/>
      <c r="C13" s="9"/>
      <c r="D13" s="9"/>
      <c r="E13" s="31" t="s">
        <v>58</v>
      </c>
      <c r="F13" s="32">
        <f t="shared" si="2"/>
        <v>12</v>
      </c>
      <c r="G13" s="12"/>
      <c r="H13" s="20"/>
      <c r="AM13" s="23">
        <v>15</v>
      </c>
      <c r="AN13" s="15" t="s">
        <v>69</v>
      </c>
      <c r="AO13" s="24">
        <f>1/2</f>
        <v>0.5</v>
      </c>
    </row>
    <row r="14" spans="1:41">
      <c r="A14" s="8">
        <f t="shared" si="3"/>
        <v>4</v>
      </c>
      <c r="B14" s="77"/>
      <c r="C14" s="9"/>
      <c r="D14" s="9"/>
      <c r="E14" s="31" t="s">
        <v>58</v>
      </c>
      <c r="F14" s="32">
        <f t="shared" si="2"/>
        <v>12</v>
      </c>
      <c r="G14" s="12"/>
      <c r="H14" s="20"/>
      <c r="AM14" s="23">
        <v>16</v>
      </c>
      <c r="AN14" s="15" t="s">
        <v>70</v>
      </c>
      <c r="AO14" s="24">
        <f>1/3</f>
        <v>0.33333333333333331</v>
      </c>
    </row>
    <row r="15" spans="1:41">
      <c r="A15" s="8">
        <f t="shared" si="3"/>
        <v>5</v>
      </c>
      <c r="B15" s="77"/>
      <c r="C15" s="9"/>
      <c r="D15" s="9"/>
      <c r="E15" s="31" t="s">
        <v>58</v>
      </c>
      <c r="F15" s="32">
        <f t="shared" si="2"/>
        <v>12</v>
      </c>
      <c r="G15" s="12"/>
      <c r="H15" s="20"/>
      <c r="AM15" s="23">
        <v>17</v>
      </c>
      <c r="AN15" s="15" t="s">
        <v>71</v>
      </c>
      <c r="AO15" s="24">
        <f>1/4</f>
        <v>0.25</v>
      </c>
    </row>
    <row r="16" spans="1:41">
      <c r="A16" s="8">
        <f t="shared" si="3"/>
        <v>6</v>
      </c>
      <c r="B16" s="77"/>
      <c r="C16" s="9"/>
      <c r="D16" s="9"/>
      <c r="E16" s="31" t="s">
        <v>58</v>
      </c>
      <c r="F16" s="32">
        <f t="shared" si="2"/>
        <v>12</v>
      </c>
      <c r="G16" s="12"/>
      <c r="H16" s="20"/>
      <c r="AM16" s="23">
        <v>18</v>
      </c>
      <c r="AN16" s="15" t="s">
        <v>72</v>
      </c>
      <c r="AO16" s="24">
        <f>1/5</f>
        <v>0.2</v>
      </c>
    </row>
    <row r="17" spans="1:41">
      <c r="A17" s="8">
        <f t="shared" si="3"/>
        <v>7</v>
      </c>
      <c r="B17" s="77"/>
      <c r="C17" s="9"/>
      <c r="D17" s="9"/>
      <c r="E17" s="31" t="s">
        <v>58</v>
      </c>
      <c r="F17" s="32">
        <f t="shared" si="2"/>
        <v>12</v>
      </c>
      <c r="G17" s="12"/>
      <c r="H17" s="20"/>
      <c r="AM17" s="23">
        <v>19</v>
      </c>
      <c r="AN17" s="15" t="s">
        <v>73</v>
      </c>
      <c r="AO17" s="24">
        <f>1/10</f>
        <v>0.1</v>
      </c>
    </row>
    <row r="18" spans="1:41">
      <c r="A18" s="8">
        <f t="shared" si="3"/>
        <v>8</v>
      </c>
      <c r="B18" s="77"/>
      <c r="C18" s="9"/>
      <c r="D18" s="9"/>
      <c r="E18" s="31" t="s">
        <v>58</v>
      </c>
      <c r="F18" s="32">
        <f t="shared" si="2"/>
        <v>12</v>
      </c>
      <c r="G18" s="12"/>
      <c r="H18" s="20"/>
      <c r="AM18" s="23">
        <v>20</v>
      </c>
      <c r="AN18" s="15" t="s">
        <v>74</v>
      </c>
      <c r="AO18" s="25">
        <f>1/20</f>
        <v>0.05</v>
      </c>
    </row>
    <row r="19" spans="1:41">
      <c r="A19" s="8">
        <f t="shared" si="3"/>
        <v>9</v>
      </c>
      <c r="B19" s="77"/>
      <c r="C19" s="9"/>
      <c r="D19" s="9"/>
      <c r="E19" s="31" t="s">
        <v>58</v>
      </c>
      <c r="F19" s="32">
        <f t="shared" si="2"/>
        <v>12</v>
      </c>
      <c r="G19" s="12"/>
      <c r="H19" s="20"/>
      <c r="AM19" s="23">
        <v>21</v>
      </c>
      <c r="AN19" s="15" t="s">
        <v>52</v>
      </c>
      <c r="AO19" s="25">
        <v>0</v>
      </c>
    </row>
    <row r="20" spans="1:41">
      <c r="A20" s="8">
        <f t="shared" si="3"/>
        <v>10</v>
      </c>
      <c r="B20" s="77"/>
      <c r="C20" s="9"/>
      <c r="D20" s="9"/>
      <c r="E20" s="31" t="s">
        <v>58</v>
      </c>
      <c r="F20" s="32">
        <f t="shared" si="2"/>
        <v>12</v>
      </c>
      <c r="G20" s="12"/>
      <c r="H20" s="20"/>
      <c r="AM20" s="23">
        <v>22</v>
      </c>
      <c r="AN20" s="15"/>
      <c r="AO20" s="25"/>
    </row>
    <row r="21" spans="1:41">
      <c r="A21" s="8">
        <f t="shared" si="3"/>
        <v>11</v>
      </c>
      <c r="B21" s="77"/>
      <c r="C21" s="9"/>
      <c r="D21" s="9"/>
      <c r="E21" s="31" t="s">
        <v>58</v>
      </c>
      <c r="F21" s="32">
        <f t="shared" si="2"/>
        <v>12</v>
      </c>
      <c r="G21" s="12"/>
      <c r="H21" s="20"/>
      <c r="AM21" s="23">
        <v>23</v>
      </c>
      <c r="AN21" s="15"/>
      <c r="AO21" s="25"/>
    </row>
    <row r="22" spans="1:41" ht="15.75" thickBot="1">
      <c r="A22" s="8">
        <f t="shared" si="3"/>
        <v>12</v>
      </c>
      <c r="B22" s="77"/>
      <c r="C22" s="9"/>
      <c r="D22" s="9"/>
      <c r="E22" s="31" t="s">
        <v>58</v>
      </c>
      <c r="F22" s="32">
        <f t="shared" si="2"/>
        <v>12</v>
      </c>
      <c r="G22" s="12"/>
      <c r="H22" s="20"/>
      <c r="AM22" s="27">
        <v>24</v>
      </c>
      <c r="AN22" s="28"/>
      <c r="AO22" s="29">
        <v>0</v>
      </c>
    </row>
    <row r="23" spans="1:41">
      <c r="A23" s="8">
        <f t="shared" si="3"/>
        <v>13</v>
      </c>
      <c r="B23" s="77"/>
      <c r="C23" s="9"/>
      <c r="D23" s="9"/>
      <c r="E23" s="31" t="s">
        <v>58</v>
      </c>
      <c r="F23" s="32">
        <f t="shared" si="2"/>
        <v>12</v>
      </c>
      <c r="G23" s="12"/>
      <c r="H23" s="20"/>
    </row>
    <row r="24" spans="1:41">
      <c r="A24" s="8">
        <f t="shared" si="3"/>
        <v>14</v>
      </c>
      <c r="B24" s="77"/>
      <c r="C24" s="9"/>
      <c r="D24" s="9"/>
      <c r="E24" s="31" t="s">
        <v>58</v>
      </c>
      <c r="F24" s="32">
        <f t="shared" si="2"/>
        <v>12</v>
      </c>
      <c r="G24" s="12"/>
      <c r="H24" s="20"/>
    </row>
    <row r="25" spans="1:41">
      <c r="A25" s="8">
        <f t="shared" si="3"/>
        <v>15</v>
      </c>
      <c r="B25" s="77"/>
      <c r="C25" s="9"/>
      <c r="D25" s="9"/>
      <c r="E25" s="31" t="s">
        <v>58</v>
      </c>
      <c r="F25" s="32">
        <f t="shared" si="2"/>
        <v>12</v>
      </c>
      <c r="G25" s="12"/>
      <c r="H25" s="20"/>
    </row>
    <row r="26" spans="1:41">
      <c r="A26" s="8">
        <f t="shared" si="3"/>
        <v>16</v>
      </c>
      <c r="B26" s="77"/>
      <c r="C26" s="9"/>
      <c r="D26" s="9"/>
      <c r="E26" s="31" t="s">
        <v>58</v>
      </c>
      <c r="F26" s="32">
        <f t="shared" si="2"/>
        <v>12</v>
      </c>
      <c r="G26" s="12"/>
      <c r="H26" s="20"/>
    </row>
    <row r="27" spans="1:41">
      <c r="A27" s="8">
        <f t="shared" si="3"/>
        <v>17</v>
      </c>
      <c r="B27" s="77"/>
      <c r="C27" s="9"/>
      <c r="D27" s="9"/>
      <c r="E27" s="31" t="s">
        <v>58</v>
      </c>
      <c r="F27" s="32">
        <f t="shared" si="2"/>
        <v>12</v>
      </c>
      <c r="G27" s="12"/>
      <c r="H27" s="20"/>
    </row>
    <row r="28" spans="1:41">
      <c r="A28" s="8">
        <f t="shared" si="3"/>
        <v>18</v>
      </c>
      <c r="B28" s="77"/>
      <c r="C28" s="9"/>
      <c r="D28" s="9"/>
      <c r="E28" s="31" t="s">
        <v>58</v>
      </c>
      <c r="F28" s="32">
        <f t="shared" si="2"/>
        <v>12</v>
      </c>
      <c r="G28" s="12"/>
      <c r="H28" s="20"/>
    </row>
    <row r="29" spans="1:41">
      <c r="A29" s="8">
        <f t="shared" si="3"/>
        <v>19</v>
      </c>
      <c r="B29" s="77"/>
      <c r="C29" s="9"/>
      <c r="D29" s="9"/>
      <c r="E29" s="31" t="s">
        <v>58</v>
      </c>
      <c r="F29" s="32">
        <f t="shared" si="2"/>
        <v>12</v>
      </c>
      <c r="G29" s="12"/>
      <c r="H29" s="20"/>
    </row>
    <row r="30" spans="1:41" s="8" customFormat="1" ht="15" customHeight="1">
      <c r="A30" s="8">
        <f t="shared" si="3"/>
        <v>20</v>
      </c>
      <c r="B30" s="78"/>
      <c r="C30" s="9"/>
      <c r="D30" s="9"/>
      <c r="E30" s="31" t="s">
        <v>58</v>
      </c>
      <c r="F30" s="32">
        <f t="shared" si="2"/>
        <v>12</v>
      </c>
      <c r="G30" s="12"/>
      <c r="H30" s="20"/>
      <c r="AM30"/>
      <c r="AN30"/>
      <c r="AO30"/>
    </row>
    <row r="31" spans="1:41" ht="38.25">
      <c r="B31" s="19">
        <v>3</v>
      </c>
      <c r="C31" s="6">
        <v>0</v>
      </c>
      <c r="D31" s="13" t="s">
        <v>53</v>
      </c>
      <c r="E31" s="13" t="s">
        <v>56</v>
      </c>
      <c r="F31" s="13"/>
      <c r="G31" s="13" t="s">
        <v>45</v>
      </c>
      <c r="H31" s="21" t="s">
        <v>55</v>
      </c>
    </row>
    <row r="32" spans="1:41" ht="12.75" customHeight="1">
      <c r="A32" s="8">
        <v>1</v>
      </c>
      <c r="B32" s="76" t="s">
        <v>78</v>
      </c>
      <c r="C32" s="9"/>
      <c r="D32" s="9"/>
      <c r="E32" s="31" t="s">
        <v>58</v>
      </c>
      <c r="F32" s="32">
        <f t="shared" ref="F32:F51" si="4">VLOOKUP(E32,$AN$1:$AO$22,2,FALSE)</f>
        <v>12</v>
      </c>
      <c r="G32" s="12"/>
      <c r="H32" s="20"/>
    </row>
    <row r="33" spans="1:8">
      <c r="A33" s="8">
        <f>A32+1</f>
        <v>2</v>
      </c>
      <c r="B33" s="77"/>
      <c r="C33" s="9"/>
      <c r="D33" s="9"/>
      <c r="E33" s="31" t="s">
        <v>58</v>
      </c>
      <c r="F33" s="32">
        <f t="shared" si="4"/>
        <v>12</v>
      </c>
      <c r="G33" s="12"/>
      <c r="H33" s="20"/>
    </row>
    <row r="34" spans="1:8">
      <c r="A34" s="8">
        <f t="shared" ref="A34:A51" si="5">A33+1</f>
        <v>3</v>
      </c>
      <c r="B34" s="77"/>
      <c r="C34" s="9"/>
      <c r="D34" s="9"/>
      <c r="E34" s="31" t="s">
        <v>58</v>
      </c>
      <c r="F34" s="32">
        <f t="shared" si="4"/>
        <v>12</v>
      </c>
      <c r="G34" s="12"/>
      <c r="H34" s="20"/>
    </row>
    <row r="35" spans="1:8">
      <c r="A35" s="8">
        <f t="shared" si="5"/>
        <v>4</v>
      </c>
      <c r="B35" s="77"/>
      <c r="C35" s="9"/>
      <c r="D35" s="9"/>
      <c r="E35" s="31" t="s">
        <v>58</v>
      </c>
      <c r="F35" s="32">
        <f t="shared" si="4"/>
        <v>12</v>
      </c>
      <c r="G35" s="12"/>
      <c r="H35" s="20"/>
    </row>
    <row r="36" spans="1:8">
      <c r="A36" s="8">
        <f t="shared" si="5"/>
        <v>5</v>
      </c>
      <c r="B36" s="77"/>
      <c r="C36" s="9"/>
      <c r="D36" s="9"/>
      <c r="E36" s="31" t="s">
        <v>58</v>
      </c>
      <c r="F36" s="32">
        <f t="shared" si="4"/>
        <v>12</v>
      </c>
      <c r="G36" s="12"/>
      <c r="H36" s="20"/>
    </row>
    <row r="37" spans="1:8">
      <c r="A37" s="8">
        <f t="shared" si="5"/>
        <v>6</v>
      </c>
      <c r="B37" s="77"/>
      <c r="C37" s="9"/>
      <c r="D37" s="9"/>
      <c r="E37" s="31" t="s">
        <v>58</v>
      </c>
      <c r="F37" s="32">
        <f t="shared" si="4"/>
        <v>12</v>
      </c>
      <c r="G37" s="12"/>
      <c r="H37" s="20"/>
    </row>
    <row r="38" spans="1:8">
      <c r="A38" s="8">
        <f t="shared" si="5"/>
        <v>7</v>
      </c>
      <c r="B38" s="77"/>
      <c r="C38" s="9"/>
      <c r="D38" s="9"/>
      <c r="E38" s="31" t="s">
        <v>58</v>
      </c>
      <c r="F38" s="32">
        <f t="shared" si="4"/>
        <v>12</v>
      </c>
      <c r="G38" s="12"/>
      <c r="H38" s="20"/>
    </row>
    <row r="39" spans="1:8">
      <c r="A39" s="8">
        <f t="shared" si="5"/>
        <v>8</v>
      </c>
      <c r="B39" s="77"/>
      <c r="C39" s="9"/>
      <c r="D39" s="9"/>
      <c r="E39" s="31" t="s">
        <v>58</v>
      </c>
      <c r="F39" s="32">
        <f t="shared" si="4"/>
        <v>12</v>
      </c>
      <c r="G39" s="12"/>
      <c r="H39" s="20"/>
    </row>
    <row r="40" spans="1:8">
      <c r="A40" s="8">
        <f t="shared" si="5"/>
        <v>9</v>
      </c>
      <c r="B40" s="77"/>
      <c r="C40" s="9"/>
      <c r="D40" s="9"/>
      <c r="E40" s="31" t="s">
        <v>58</v>
      </c>
      <c r="F40" s="32">
        <f t="shared" si="4"/>
        <v>12</v>
      </c>
      <c r="G40" s="12"/>
      <c r="H40" s="20"/>
    </row>
    <row r="41" spans="1:8">
      <c r="A41" s="8">
        <f t="shared" si="5"/>
        <v>10</v>
      </c>
      <c r="B41" s="77"/>
      <c r="C41" s="9"/>
      <c r="D41" s="9"/>
      <c r="E41" s="31" t="s">
        <v>58</v>
      </c>
      <c r="F41" s="32">
        <f t="shared" si="4"/>
        <v>12</v>
      </c>
      <c r="G41" s="12"/>
      <c r="H41" s="20"/>
    </row>
    <row r="42" spans="1:8">
      <c r="A42" s="8">
        <f t="shared" si="5"/>
        <v>11</v>
      </c>
      <c r="B42" s="77"/>
      <c r="C42" s="9"/>
      <c r="D42" s="9"/>
      <c r="E42" s="31" t="s">
        <v>58</v>
      </c>
      <c r="F42" s="32">
        <f t="shared" si="4"/>
        <v>12</v>
      </c>
      <c r="G42" s="12"/>
      <c r="H42" s="20"/>
    </row>
    <row r="43" spans="1:8">
      <c r="A43" s="8">
        <f t="shared" si="5"/>
        <v>12</v>
      </c>
      <c r="B43" s="77"/>
      <c r="C43" s="9"/>
      <c r="D43" s="9"/>
      <c r="E43" s="31" t="s">
        <v>58</v>
      </c>
      <c r="F43" s="32">
        <f t="shared" si="4"/>
        <v>12</v>
      </c>
      <c r="G43" s="12"/>
      <c r="H43" s="20"/>
    </row>
    <row r="44" spans="1:8">
      <c r="A44" s="8">
        <f t="shared" si="5"/>
        <v>13</v>
      </c>
      <c r="B44" s="77"/>
      <c r="C44" s="9"/>
      <c r="D44" s="9"/>
      <c r="E44" s="31" t="s">
        <v>58</v>
      </c>
      <c r="F44" s="32">
        <f t="shared" si="4"/>
        <v>12</v>
      </c>
      <c r="G44" s="12"/>
      <c r="H44" s="20"/>
    </row>
    <row r="45" spans="1:8">
      <c r="A45" s="8">
        <f t="shared" si="5"/>
        <v>14</v>
      </c>
      <c r="B45" s="77"/>
      <c r="C45" s="9"/>
      <c r="D45" s="9"/>
      <c r="E45" s="31" t="s">
        <v>58</v>
      </c>
      <c r="F45" s="32">
        <f t="shared" si="4"/>
        <v>12</v>
      </c>
      <c r="G45" s="12"/>
      <c r="H45" s="20"/>
    </row>
    <row r="46" spans="1:8">
      <c r="A46" s="8">
        <f t="shared" si="5"/>
        <v>15</v>
      </c>
      <c r="B46" s="77"/>
      <c r="C46" s="9"/>
      <c r="D46" s="9"/>
      <c r="E46" s="31" t="s">
        <v>58</v>
      </c>
      <c r="F46" s="32">
        <f t="shared" si="4"/>
        <v>12</v>
      </c>
      <c r="G46" s="12"/>
      <c r="H46" s="20"/>
    </row>
    <row r="47" spans="1:8">
      <c r="A47" s="8">
        <f t="shared" si="5"/>
        <v>16</v>
      </c>
      <c r="B47" s="77"/>
      <c r="C47" s="9"/>
      <c r="D47" s="9"/>
      <c r="E47" s="31" t="s">
        <v>58</v>
      </c>
      <c r="F47" s="32">
        <f t="shared" si="4"/>
        <v>12</v>
      </c>
      <c r="G47" s="12"/>
      <c r="H47" s="20"/>
    </row>
    <row r="48" spans="1:8">
      <c r="A48" s="8">
        <f t="shared" si="5"/>
        <v>17</v>
      </c>
      <c r="B48" s="77"/>
      <c r="C48" s="9"/>
      <c r="D48" s="9"/>
      <c r="E48" s="31" t="s">
        <v>58</v>
      </c>
      <c r="F48" s="32">
        <f t="shared" si="4"/>
        <v>12</v>
      </c>
      <c r="G48" s="12"/>
      <c r="H48" s="20"/>
    </row>
    <row r="49" spans="1:41">
      <c r="A49" s="8">
        <f t="shared" si="5"/>
        <v>18</v>
      </c>
      <c r="B49" s="77"/>
      <c r="C49" s="9"/>
      <c r="D49" s="9"/>
      <c r="E49" s="31" t="s">
        <v>58</v>
      </c>
      <c r="F49" s="32">
        <f t="shared" si="4"/>
        <v>12</v>
      </c>
      <c r="G49" s="12"/>
      <c r="H49" s="20"/>
    </row>
    <row r="50" spans="1:41">
      <c r="A50" s="8">
        <f t="shared" si="5"/>
        <v>19</v>
      </c>
      <c r="B50" s="77"/>
      <c r="C50" s="9"/>
      <c r="D50" s="9"/>
      <c r="E50" s="31" t="s">
        <v>58</v>
      </c>
      <c r="F50" s="32">
        <f t="shared" si="4"/>
        <v>12</v>
      </c>
      <c r="G50" s="12"/>
      <c r="H50" s="20"/>
    </row>
    <row r="51" spans="1:41" s="8" customFormat="1">
      <c r="A51" s="8">
        <f t="shared" si="5"/>
        <v>20</v>
      </c>
      <c r="B51" s="78"/>
      <c r="C51" s="9"/>
      <c r="D51" s="9"/>
      <c r="E51" s="31" t="s">
        <v>58</v>
      </c>
      <c r="F51" s="32">
        <f t="shared" si="4"/>
        <v>12</v>
      </c>
      <c r="G51" s="12"/>
      <c r="H51" s="20"/>
      <c r="AM51"/>
      <c r="AN51"/>
      <c r="AO51"/>
    </row>
    <row r="52" spans="1:41" ht="15" customHeight="1">
      <c r="H52" s="22"/>
    </row>
    <row r="53" spans="1:41" ht="15" customHeight="1">
      <c r="H53" s="22"/>
    </row>
    <row r="54" spans="1:41" ht="15" customHeight="1">
      <c r="H54" s="22"/>
      <c r="AM54" s="30"/>
      <c r="AN54" s="30"/>
    </row>
    <row r="55" spans="1:41" ht="15" customHeight="1">
      <c r="H55" s="22"/>
      <c r="AM55" s="30"/>
      <c r="AN55" s="30"/>
    </row>
    <row r="56" spans="1:41" ht="15" customHeight="1">
      <c r="H56" s="22"/>
      <c r="AM56" s="30"/>
      <c r="AN56" s="30"/>
    </row>
    <row r="57" spans="1:41" ht="15" customHeight="1">
      <c r="H57" s="22"/>
      <c r="AM57" s="30"/>
      <c r="AN57" s="30"/>
    </row>
    <row r="58" spans="1:41" ht="15" customHeight="1">
      <c r="H58" s="22"/>
      <c r="AM58" s="30"/>
      <c r="AN58" s="30"/>
    </row>
    <row r="59" spans="1:41" ht="15" customHeight="1">
      <c r="H59" s="22"/>
      <c r="AM59" s="30"/>
      <c r="AN59" s="30"/>
    </row>
    <row r="60" spans="1:41" ht="15" customHeight="1">
      <c r="H60" s="22"/>
      <c r="AM60" s="30"/>
      <c r="AN60" s="30"/>
    </row>
    <row r="61" spans="1:41" ht="15" customHeight="1">
      <c r="H61" s="22"/>
      <c r="AM61" s="30"/>
      <c r="AN61" s="30"/>
    </row>
    <row r="62" spans="1:41" ht="15" customHeight="1">
      <c r="H62" s="22"/>
      <c r="AM62" s="30"/>
      <c r="AN62" s="30"/>
    </row>
    <row r="63" spans="1:41" s="3" customFormat="1" ht="15" customHeight="1">
      <c r="G63" s="10"/>
      <c r="H63" s="22"/>
      <c r="I63" s="1"/>
      <c r="J63" s="1"/>
      <c r="K63" s="1"/>
      <c r="L63" s="1"/>
      <c r="AM63" s="30"/>
      <c r="AN63" s="30"/>
      <c r="AO63"/>
    </row>
    <row r="64" spans="1:41" s="3" customFormat="1" ht="15" customHeight="1">
      <c r="G64" s="10"/>
      <c r="H64" s="22"/>
      <c r="I64" s="1"/>
      <c r="J64" s="1"/>
      <c r="K64" s="1"/>
      <c r="L64" s="1"/>
      <c r="AM64" s="30"/>
      <c r="AN64" s="30"/>
      <c r="AO64"/>
    </row>
    <row r="65" spans="7:41" s="3" customFormat="1" ht="15" customHeight="1">
      <c r="G65" s="10"/>
      <c r="H65" s="22"/>
      <c r="I65" s="1"/>
      <c r="J65" s="1"/>
      <c r="K65" s="1"/>
      <c r="L65" s="1"/>
      <c r="AM65"/>
      <c r="AN65"/>
      <c r="AO65"/>
    </row>
    <row r="66" spans="7:41" s="3" customFormat="1" ht="15" customHeight="1">
      <c r="G66" s="10"/>
      <c r="H66" s="22"/>
      <c r="I66" s="1"/>
      <c r="J66" s="1"/>
      <c r="K66" s="1"/>
      <c r="L66" s="1"/>
      <c r="AM66"/>
      <c r="AN66"/>
      <c r="AO66"/>
    </row>
    <row r="67" spans="7:41" s="3" customFormat="1" ht="15" customHeight="1">
      <c r="G67" s="10"/>
      <c r="H67" s="22"/>
      <c r="I67" s="1"/>
      <c r="J67" s="1"/>
      <c r="K67" s="1"/>
      <c r="L67" s="1"/>
      <c r="AM67"/>
      <c r="AN67"/>
      <c r="AO67"/>
    </row>
    <row r="68" spans="7:41" s="3" customFormat="1" ht="15" customHeight="1">
      <c r="G68" s="10"/>
      <c r="H68" s="22"/>
      <c r="I68" s="1"/>
      <c r="J68" s="1"/>
      <c r="K68" s="1"/>
      <c r="L68" s="1"/>
      <c r="AM68"/>
      <c r="AN68"/>
      <c r="AO68"/>
    </row>
    <row r="69" spans="7:41" s="3" customFormat="1" ht="15" customHeight="1">
      <c r="G69" s="10"/>
      <c r="H69" s="22"/>
      <c r="I69" s="1"/>
      <c r="J69" s="1"/>
      <c r="K69" s="1"/>
      <c r="L69" s="1"/>
      <c r="AM69"/>
      <c r="AN69"/>
      <c r="AO69"/>
    </row>
    <row r="70" spans="7:41" s="3" customFormat="1" ht="15" customHeight="1">
      <c r="G70" s="10"/>
      <c r="H70" s="22"/>
      <c r="I70" s="1"/>
      <c r="J70" s="1"/>
      <c r="K70" s="1"/>
      <c r="L70" s="1"/>
      <c r="AM70"/>
      <c r="AN70"/>
      <c r="AO70"/>
    </row>
    <row r="71" spans="7:41" s="3" customFormat="1" ht="15" customHeight="1">
      <c r="G71" s="10"/>
      <c r="H71" s="2"/>
      <c r="I71" s="1"/>
      <c r="J71" s="1"/>
      <c r="K71" s="1"/>
      <c r="L71" s="1"/>
      <c r="AM71"/>
      <c r="AN71"/>
      <c r="AO71"/>
    </row>
    <row r="72" spans="7:41" s="3" customFormat="1" ht="15" customHeight="1">
      <c r="G72" s="10"/>
      <c r="H72" s="2"/>
      <c r="I72" s="1"/>
      <c r="J72" s="1"/>
      <c r="K72" s="1"/>
      <c r="L72" s="1"/>
      <c r="AM72"/>
      <c r="AN72"/>
      <c r="AO72"/>
    </row>
    <row r="73" spans="7:41" s="3" customFormat="1" ht="15" customHeight="1">
      <c r="G73" s="10"/>
      <c r="H73" s="2"/>
      <c r="I73" s="1"/>
      <c r="J73" s="1"/>
      <c r="K73" s="1"/>
      <c r="L73" s="1"/>
      <c r="AM73"/>
      <c r="AN73"/>
      <c r="AO73"/>
    </row>
    <row r="74" spans="7:41" s="3" customFormat="1" ht="15" customHeight="1">
      <c r="G74" s="10"/>
      <c r="H74" s="2"/>
      <c r="I74" s="1"/>
      <c r="J74" s="1"/>
      <c r="K74" s="1"/>
      <c r="L74" s="1"/>
      <c r="AM74"/>
      <c r="AN74"/>
      <c r="AO74"/>
    </row>
    <row r="75" spans="7:41" s="3" customFormat="1" ht="15" customHeight="1">
      <c r="G75" s="10"/>
      <c r="H75" s="2"/>
      <c r="I75" s="1"/>
      <c r="J75" s="1"/>
      <c r="K75" s="1"/>
      <c r="L75" s="1"/>
      <c r="AM75"/>
      <c r="AN75"/>
      <c r="AO75"/>
    </row>
    <row r="76" spans="7:41" s="3" customFormat="1" ht="15" customHeight="1">
      <c r="G76" s="10"/>
      <c r="H76" s="2"/>
      <c r="I76" s="1"/>
      <c r="J76" s="1"/>
      <c r="K76" s="1"/>
      <c r="L76" s="1"/>
      <c r="AM76"/>
      <c r="AN76"/>
      <c r="AO76"/>
    </row>
    <row r="77" spans="7:41" s="3" customFormat="1" ht="15" customHeight="1">
      <c r="G77" s="10"/>
      <c r="H77" s="2"/>
      <c r="I77" s="1"/>
      <c r="J77" s="1"/>
      <c r="K77" s="1"/>
      <c r="L77" s="1"/>
      <c r="AM77"/>
      <c r="AN77"/>
      <c r="AO77"/>
    </row>
    <row r="78" spans="7:41" s="3" customFormat="1" ht="15" customHeight="1">
      <c r="G78" s="10"/>
      <c r="H78" s="2"/>
      <c r="I78" s="1"/>
      <c r="J78" s="1"/>
      <c r="K78" s="1"/>
      <c r="L78" s="1"/>
      <c r="AM78"/>
      <c r="AN78"/>
      <c r="AO78"/>
    </row>
    <row r="79" spans="7:41" ht="15" customHeight="1"/>
    <row r="80" spans="7:41" ht="15" customHeight="1"/>
    <row r="81" spans="8:8" ht="15" customHeight="1"/>
    <row r="83" spans="8:8" ht="15.75" thickBot="1"/>
    <row r="84" spans="8:8" ht="18.75" thickBot="1">
      <c r="H84" s="18"/>
    </row>
    <row r="85" spans="8:8">
      <c r="H85" s="5"/>
    </row>
    <row r="86" spans="8:8">
      <c r="H86" s="5"/>
    </row>
    <row r="87" spans="8:8">
      <c r="H87" s="5"/>
    </row>
    <row r="88" spans="8:8">
      <c r="H88" s="5"/>
    </row>
    <row r="89" spans="8:8">
      <c r="H89" s="5"/>
    </row>
    <row r="90" spans="8:8">
      <c r="H90" s="5"/>
    </row>
    <row r="91" spans="8:8">
      <c r="H91" s="4"/>
    </row>
    <row r="92" spans="8:8">
      <c r="H92" s="5"/>
    </row>
    <row r="93" spans="8:8">
      <c r="H93" s="5"/>
    </row>
    <row r="94" spans="8:8">
      <c r="H94" s="5"/>
    </row>
    <row r="95" spans="8:8">
      <c r="H95" s="5"/>
    </row>
    <row r="96" spans="8:8">
      <c r="H96" s="5"/>
    </row>
    <row r="97" spans="8:8">
      <c r="H97" s="5"/>
    </row>
    <row r="98" spans="8:8">
      <c r="H98" s="5"/>
    </row>
    <row r="99" spans="8:8">
      <c r="H99" s="5"/>
    </row>
    <row r="100" spans="8:8">
      <c r="H100" s="5"/>
    </row>
    <row r="101" spans="8:8">
      <c r="H101" s="5"/>
    </row>
    <row r="102" spans="8:8">
      <c r="H102" s="5"/>
    </row>
    <row r="103" spans="8:8">
      <c r="H103" s="5"/>
    </row>
    <row r="104" spans="8:8">
      <c r="H104" s="5"/>
    </row>
    <row r="105" spans="8:8">
      <c r="H105" s="5"/>
    </row>
  </sheetData>
  <protectedRanges>
    <protectedRange sqref="E4:E9 E11:E30 E32:E51" name="Ingreso"/>
  </protectedRanges>
  <mergeCells count="4">
    <mergeCell ref="D2:G2"/>
    <mergeCell ref="B4:B9"/>
    <mergeCell ref="B11:B30"/>
    <mergeCell ref="B32:B51"/>
  </mergeCells>
  <conditionalFormatting sqref="F4">
    <cfRule type="cellIs" dxfId="3" priority="5" stopIfTrue="1" operator="equal">
      <formula>0</formula>
    </cfRule>
  </conditionalFormatting>
  <conditionalFormatting sqref="F5:F9">
    <cfRule type="cellIs" dxfId="2" priority="4" stopIfTrue="1" operator="equal">
      <formula>0</formula>
    </cfRule>
  </conditionalFormatting>
  <conditionalFormatting sqref="F11:F30">
    <cfRule type="cellIs" dxfId="1" priority="3" stopIfTrue="1" operator="equal">
      <formula>0</formula>
    </cfRule>
  </conditionalFormatting>
  <conditionalFormatting sqref="F32:F51">
    <cfRule type="cellIs" dxfId="0" priority="2" stopIfTrue="1" operator="equal">
      <formula>0</formula>
    </cfRule>
  </conditionalFormatting>
  <dataValidations count="1">
    <dataValidation type="list" allowBlank="1" showInputMessage="1" showErrorMessage="1" error="Por favor especifique &quot;Otro&quot; y en la siguiente columna especifíquelo" sqref="E4:E9 E11:E30 E32:E51">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6</vt:i4>
      </vt:variant>
    </vt:vector>
  </HeadingPairs>
  <TitlesOfParts>
    <vt:vector size="10" baseType="lpstr">
      <vt:lpstr>1. Muestra a Realizar</vt:lpstr>
      <vt:lpstr>2. Mod. Inst. CDI, HI Y LP</vt:lpstr>
      <vt:lpstr>3. Servicios de HCB </vt:lpstr>
      <vt:lpstr>4. Mod. Familiar DIMF</vt:lpstr>
      <vt:lpstr>'2. Mod. Inst. CDI, HI Y LP'!Área_de_impresión</vt:lpstr>
      <vt:lpstr>'3. Servicios de HCB '!Área_de_impresión</vt:lpstr>
      <vt:lpstr>'4. Mod. Familiar DIMF'!Área_de_impresión</vt:lpstr>
      <vt:lpstr>'2. Mod. Inst. CDI, HI Y LP'!Títulos_a_imprimir</vt:lpstr>
      <vt:lpstr>'3. Servicios de HCB '!Títulos_a_imprimir</vt:lpstr>
      <vt:lpstr>'4. Mod. Familiar DIMF'!Títulos_a_imprimir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2017-05-08T22:52:12Z</cp:lastPrinted>
  <dcterms:created xsi:type="dcterms:W3CDTF">2014-08-27T18:56:17Z</dcterms:created>
  <dcterms:modified xsi:type="dcterms:W3CDTF">2017-09-19T20:48:06Z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