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F11"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2" i="9"/>
  <c r="F23" i="9"/>
  <c r="F26" i="9"/>
  <c r="F27" i="9"/>
  <c r="F30" i="9"/>
  <c r="AO9" i="9"/>
  <c r="F9" i="9"/>
  <c r="AO8" i="9"/>
  <c r="F8" i="9"/>
  <c r="AO7" i="9"/>
  <c r="F7" i="9"/>
  <c r="AO6" i="9"/>
  <c r="F20" i="9" s="1"/>
  <c r="F6" i="9"/>
  <c r="AO5" i="9"/>
  <c r="F5" i="9"/>
  <c r="A5" i="9"/>
  <c r="A6" i="9" s="1"/>
  <c r="A7" i="9" s="1"/>
  <c r="A8" i="9" s="1"/>
  <c r="A9" i="9" s="1"/>
  <c r="AO4" i="9"/>
  <c r="AO3" i="9"/>
  <c r="F4" i="9" s="1"/>
  <c r="F29" i="9" l="1"/>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<sst xmlns="http://schemas.openxmlformats.org/spreadsheetml/2006/main" count="450" uniqueCount="205">
  <si>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</si>
  <si>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</si>
  <si>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</si>
  <si>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</si>
  <si>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</si>
  <si>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</si>
  <si>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</si>
  <si>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</si>
  <si>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</si>
  <si>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</si>
  <si>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</si>
  <si>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</si>
  <si>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</si>
  <si>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</si>
  <si>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</si>
  <si>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</si>
  <si>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</si>
  <si>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</si>
  <si>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</si>
  <si>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</si>
  <si>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</si>
  <si>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</si>
  <si>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</si>
  <si>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</si>
  <si>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</si>
  <si>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</si>
  <si>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</si>
  <si>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</si>
  <si>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</si>
  <si>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</si>
  <si>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</si>
  <si>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</si>
  <si>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</si>
  <si>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</si>
  <si>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</si>
  <si>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</si>
  <si>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</si>
  <si>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</si>
  <si>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</si>
  <si>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</si>
  <si>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</si>
  <si>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</si>
  <si>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</si>
  <si>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</si>
  <si>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</si>
  <si>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</si>
  <si>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</si>
  <si>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</si>
  <si>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</si>
  <si>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</si>
  <si>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</si>
  <si>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</si>
  <si>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</si>
  <si>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</si>
  <si>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</si>
  <si>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</si>
  <si>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</si>
  <si>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</si>
  <si>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</si>
  <si>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</si>
  <si>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</si>
  <si>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</si>
  <si>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</si>
  <si>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</si>
  <si>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</si>
  <si>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</si>
  <si>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</si>
  <si>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</si>
  <si>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</si>
  <si>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</si>
  <si>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</si>
  <si>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</si>
  <si>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</si>
  <si>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</si>
  <si>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</si>
  <si>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</si>
  <si>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</si>
  <si>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</si>
  <si>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</si>
  <si>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</si>
  <si>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</si>
  <si>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</si>
  <si>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</si>
  <si>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</si>
  <si>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</si>
  <si>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</si>
  <si>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</si>
  <si>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</si>
  <si>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</si>
  <si>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</si>
  <si>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</si>
  <si>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</si>
  <si>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</si>
  <si>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</si>
  <si>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</si>
  <si>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</si>
  <si>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</si>
  <si>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</si>
  <si>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</si>
  <si>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</si>
  <si>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</si>
  <si>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</si>
  <si>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</si>
  <si>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</si>
  <si>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</si>
  <si>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</si>
  <si>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</si>
  <si>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</si>
  <si>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</si>
  <si>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</si>
  <si>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</si>
  <si>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</si>
  <si>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</si>
  <si>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</si>
  <si>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</si>
  <si>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</si>
  <si>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</si>
  <si>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</si>
  <si>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</si>
  <si>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</si>
  <si>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</si>
  <si>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</si>
  <si>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</si>
  <si>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</si>
  <si>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</si>
  <si>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</si>
  <si>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</si>
  <si>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</si>
  <si>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</si>
  <si>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</si>
  <si>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</si>
  <si>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</si>
  <si>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</si>
  <si>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</si>
  <si>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</si>
  <si>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</si>
  <si>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</si>
  <si>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</si>
  <si>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</si>
  <si>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</si>
  <si>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</si>
  <si>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</si>
  <si>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</si>
  <si>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</si>
  <si>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</si>
  <si>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</si>
  <si>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</si>
  <si>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</si>
  <si>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</si>
  <si>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</si>
  <si>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</si>
  <si>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</si>
  <si>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</si>
  <si>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</si>
  <si>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</si>
  <si>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</si>
  <si>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</si>
  <si>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</si>
  <si>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</si>
  <si>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</si>
  <si>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</si>
  <si>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</si>
  <si>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</si>
  <si>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</si>
  <si>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</si>
  <si>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</si>
  <si>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</si>
  <si>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</si>
  <si>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</si>
  <si>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</si>
  <si>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</si>
  <si>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</si>
  <si>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</si>
  <si>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</si>
  <si>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</si>
  <si>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</si>
  <si>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</si>
  <si>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</si>
  <si>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</si>
  <si>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</si>
  <si>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</si>
  <si>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</si>
  <si>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</si>
  <si>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</si>
  <si>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</si>
  <si>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</si>
  <si>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</si>
  <si>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</si>
  <si>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</si>
  <si>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</si>
  <si>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</si>
  <si>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</si>
  <si>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</si>
  <si>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</si>
  <si>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</si>
  <si>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</si>
  <si>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</si>
  <si>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</si>
  <si>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</si>
  <si>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</si>
  <si>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</si>
  <si>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</si>
  <si>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</si>
  <si>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</si>
  <si>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Mis Primeros Pasos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</si>
</sst>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v>20803</v>
      </c>
      <c r="AM4" s="23">
        <v>6</v>
      </c>
      <c r="AN4" s="15" t="s">
        <v>60</v>
      </c>
      <c r="AO4" s="25">
        <f>12/3</f>
        <v>4</v>
      </c>
    </row>
    <row r="5" spans="1:41" s="8" customFormat="1">
      <c r="A5" s="8">
        <f>A4+1</f>
        <v>2</v>
      </c>
      <c r="B5" s="84"/>
      <c r="C5" s="9" t="s">
        <v>48</v>
      </c>
      <c r="D5" s="9" t="s">
        <v>165</v>
      </c>
      <c r="E5" s="31" t="s">
        <v>58</v>
      </c>
      <c r="F5" s="32">
        <f t="shared" si="0"/>
        <v>12</v>
      </c>
      <c r="G5" s="12"/>
      <c r="H5" s="20">
        <v>89066</v>
      </c>
      <c r="AM5" s="23">
        <v>7</v>
      </c>
      <c r="AN5" s="15" t="s">
        <v>61</v>
      </c>
      <c r="AO5" s="26">
        <f>12/4</f>
        <v>3</v>
      </c>
    </row>
    <row r="6" spans="1:41" s="8" customFormat="1">
      <c r="A6" s="8">
        <f t="shared" ref="A6:A9" si="1">A5+1</f>
        <v>3</v>
      </c>
      <c r="B6" s="84"/>
      <c r="C6" s="9" t="s">
        <v>49</v>
      </c>
      <c r="D6" s="9"/>
      <c r="E6" s="31" t="s">
        <v>58</v>
      </c>
      <c r="F6" s="32">
        <f t="shared" si="0"/>
        <v>12</v>
      </c>
      <c r="G6" s="12"/>
      <c r="H6" s="20">
        <v>89227</v>
      </c>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t="s">
        <v>166</v>
      </c>
      <c r="E8" s="31" t="s">
        <v>58</v>
      </c>
      <c r="F8" s="32">
        <f t="shared" si="0"/>
        <v>12</v>
      </c>
      <c r="G8" s="12"/>
      <c r="H8" s="20">
        <v>22550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7"/>
      <c r="C12" s="9" t="s">
        <v>170</v>
      </c>
      <c r="D12" s="9" t="s">
        <v>171</v>
      </c>
      <c r="E12" s="31" t="s">
        <v>62</v>
      </c>
      <c r="F12" s="32">
        <f t="shared" si="2"/>
        <v>2</v>
      </c>
      <c r="G12" s="12" t="s">
        <v>172</v>
      </c>
      <c r="H12" s="20">
        <v>1000</v>
      </c>
      <c r="AM12" s="23">
        <v>14</v>
      </c>
      <c r="AN12" s="15" t="s">
        <v>68</v>
      </c>
      <c r="AO12" s="25">
        <f>12/12</f>
        <v>1</v>
      </c>
    </row>
    <row r="13" spans="1:41">
      <c r="A13" s="8">
        <f t="shared" ref="A13:A30" si="3">A12+1</f>
        <v>3</v>
      </c>
      <c r="B13" s="77"/>
      <c r="C13" s="9" t="s">
        <v>173</v>
      </c>
      <c r="D13" s="9" t="s">
        <v>171</v>
      </c>
      <c r="E13" s="31" t="s">
        <v>62</v>
      </c>
      <c r="F13" s="32">
        <f t="shared" si="2"/>
        <v>2</v>
      </c>
      <c r="G13" s="12" t="s">
        <v>174</v>
      </c>
      <c r="H13" s="20">
        <v>4500</v>
      </c>
      <c r="AM13" s="23">
        <v>15</v>
      </c>
      <c r="AN13" s="15" t="s">
        <v>69</v>
      </c>
      <c r="AO13" s="24">
        <f>1/2</f>
        <v>0.5</v>
      </c>
    </row>
    <row r="14" spans="1:41">
      <c r="A14" s="8">
        <f t="shared" si="3"/>
        <v>4</v>
      </c>
      <c r="B14" s="77"/>
      <c r="C14" s="9" t="s">
        <v>175</v>
      </c>
      <c r="D14" s="9" t="s">
        <v>176</v>
      </c>
      <c r="E14" s="31" t="s">
        <v>62</v>
      </c>
      <c r="F14" s="32">
        <f t="shared" si="2"/>
        <v>2</v>
      </c>
      <c r="G14" s="12" t="s">
        <v>177</v>
      </c>
      <c r="H14" s="20">
        <v>4500</v>
      </c>
      <c r="AM14" s="23">
        <v>16</v>
      </c>
      <c r="AN14" s="15" t="s">
        <v>70</v>
      </c>
      <c r="AO14" s="24">
        <f>1/3</f>
        <v>0.33333333333333331</v>
      </c>
    </row>
    <row r="15" spans="1:41">
      <c r="A15" s="8">
        <f t="shared" si="3"/>
        <v>5</v>
      </c>
      <c r="B15" s="77"/>
      <c r="C15" s="9" t="s">
        <v>178</v>
      </c>
      <c r="D15" s="9" t="s">
        <v>179</v>
      </c>
      <c r="E15" s="31" t="s">
        <v>62</v>
      </c>
      <c r="F15" s="32">
        <f t="shared" si="2"/>
        <v>2</v>
      </c>
      <c r="G15" s="12" t="s">
        <v>180</v>
      </c>
      <c r="H15" s="20">
        <v>5000</v>
      </c>
      <c r="AM15" s="23">
        <v>17</v>
      </c>
      <c r="AN15" s="15" t="s">
        <v>71</v>
      </c>
      <c r="AO15" s="24">
        <f>1/4</f>
        <v>0.25</v>
      </c>
    </row>
    <row r="16" spans="1:41">
      <c r="A16" s="8">
        <f t="shared" si="3"/>
        <v>6</v>
      </c>
      <c r="B16" s="77"/>
      <c r="C16" s="9" t="s">
        <v>181</v>
      </c>
      <c r="D16" s="9" t="s">
        <v>176</v>
      </c>
      <c r="E16" s="31" t="s">
        <v>62</v>
      </c>
      <c r="F16" s="32">
        <f t="shared" si="2"/>
        <v>2</v>
      </c>
      <c r="G16" s="12" t="s">
        <v>182</v>
      </c>
      <c r="H16" s="20">
        <v>8000</v>
      </c>
      <c r="AM16" s="23">
        <v>18</v>
      </c>
      <c r="AN16" s="15" t="s">
        <v>72</v>
      </c>
      <c r="AO16" s="24">
        <f>1/5</f>
        <v>0.2</v>
      </c>
    </row>
    <row r="17" spans="1:41">
      <c r="A17" s="8">
        <f t="shared" si="3"/>
        <v>7</v>
      </c>
      <c r="B17" s="77"/>
      <c r="C17" s="9" t="s">
        <v>183</v>
      </c>
      <c r="D17" s="9" t="s">
        <v>184</v>
      </c>
      <c r="E17" s="31" t="s">
        <v>62</v>
      </c>
      <c r="F17" s="32">
        <f t="shared" si="2"/>
        <v>2</v>
      </c>
      <c r="G17" s="12" t="s">
        <v>185</v>
      </c>
      <c r="H17" s="20">
        <v>5000</v>
      </c>
      <c r="AM17" s="23">
        <v>19</v>
      </c>
      <c r="AN17" s="15" t="s">
        <v>73</v>
      </c>
      <c r="AO17" s="24">
        <f>1/10</f>
        <v>0.1</v>
      </c>
    </row>
    <row r="18" spans="1:41">
      <c r="A18" s="8">
        <f t="shared" si="3"/>
        <v>8</v>
      </c>
      <c r="B18" s="77"/>
      <c r="C18" s="9" t="s">
        <v>186</v>
      </c>
      <c r="D18" s="9" t="s">
        <v>179</v>
      </c>
      <c r="E18" s="31" t="s">
        <v>62</v>
      </c>
      <c r="F18" s="32">
        <f t="shared" si="2"/>
        <v>2</v>
      </c>
      <c r="G18" s="12" t="s">
        <v>187</v>
      </c>
      <c r="H18" s="20">
        <v>9000</v>
      </c>
      <c r="AM18" s="23">
        <v>20</v>
      </c>
      <c r="AN18" s="15" t="s">
        <v>74</v>
      </c>
      <c r="AO18" s="25">
        <f>1/20</f>
        <v>0.05</v>
      </c>
    </row>
    <row r="19" spans="1:41">
      <c r="A19" s="8">
        <f t="shared" si="3"/>
        <v>9</v>
      </c>
      <c r="B19" s="77"/>
      <c r="C19" s="9" t="s">
        <v>188</v>
      </c>
      <c r="D19" s="9" t="s">
        <v>189</v>
      </c>
      <c r="E19" s="31" t="s">
        <v>62</v>
      </c>
      <c r="F19" s="32">
        <f t="shared" si="2"/>
        <v>2</v>
      </c>
      <c r="G19" s="12" t="s">
        <v>190</v>
      </c>
      <c r="H19" s="20">
        <v>2500</v>
      </c>
      <c r="AM19" s="23">
        <v>21</v>
      </c>
      <c r="AN19" s="15" t="s">
        <v>52</v>
      </c>
      <c r="AO19" s="25">
        <v>0</v>
      </c>
    </row>
    <row r="20" spans="1:41">
      <c r="A20" s="8">
        <f t="shared" si="3"/>
        <v>10</v>
      </c>
      <c r="B20" s="77"/>
      <c r="C20" s="9" t="s">
        <v>191</v>
      </c>
      <c r="D20" s="9" t="s">
        <v>171</v>
      </c>
      <c r="E20" s="31" t="s">
        <v>62</v>
      </c>
      <c r="F20" s="32">
        <f t="shared" si="2"/>
        <v>2</v>
      </c>
      <c r="G20" s="12" t="s">
        <v>192</v>
      </c>
      <c r="H20" s="20">
        <v>3600</v>
      </c>
      <c r="AM20" s="23">
        <v>22</v>
      </c>
      <c r="AN20" s="15"/>
      <c r="AO20" s="25"/>
    </row>
    <row r="21" spans="1:41">
      <c r="A21" s="8">
        <f t="shared" si="3"/>
        <v>11</v>
      </c>
      <c r="B21" s="77"/>
      <c r="C21" s="9" t="s">
        <v>193</v>
      </c>
      <c r="D21" s="9" t="s">
        <v>171</v>
      </c>
      <c r="E21" s="31" t="s">
        <v>62</v>
      </c>
      <c r="F21" s="32">
        <f t="shared" si="2"/>
        <v>2</v>
      </c>
      <c r="G21" s="12" t="s">
        <v>194</v>
      </c>
      <c r="H21" s="20">
        <v>8500</v>
      </c>
      <c r="AM21" s="23">
        <v>23</v>
      </c>
      <c r="AN21" s="15"/>
      <c r="AO21" s="25"/>
    </row>
    <row r="22" spans="1:41" ht="15.75" thickBot="1">
      <c r="A22" s="8">
        <f t="shared" si="3"/>
        <v>12</v>
      </c>
      <c r="B22" s="77"/>
      <c r="C22" s="9" t="s">
        <v>195</v>
      </c>
      <c r="D22" s="9" t="s">
        <v>179</v>
      </c>
      <c r="E22" s="31" t="s">
        <v>62</v>
      </c>
      <c r="F22" s="32">
        <f t="shared" si="2"/>
        <v>2</v>
      </c>
      <c r="G22" s="12" t="s">
        <v>198</v>
      </c>
      <c r="H22" s="20">
        <v>1200</v>
      </c>
      <c r="AM22" s="27">
        <v>24</v>
      </c>
      <c r="AN22" s="28"/>
      <c r="AO22" s="29">
        <v>0</v>
      </c>
    </row>
    <row r="23" spans="1:41">
      <c r="A23" s="8">
        <f t="shared" si="3"/>
        <v>13</v>
      </c>
      <c r="B23" s="77"/>
      <c r="C23" s="9" t="s">
        <v>196</v>
      </c>
      <c r="D23" s="9" t="s">
        <v>171</v>
      </c>
      <c r="E23" s="31" t="s">
        <v>62</v>
      </c>
      <c r="F23" s="32">
        <f t="shared" si="2"/>
        <v>2</v>
      </c>
      <c r="G23" s="12" t="s">
        <v>197</v>
      </c>
      <c r="H23" s="20">
        <v>1500</v>
      </c>
    </row>
    <row r="24" spans="1:41">
      <c r="A24" s="8">
        <f t="shared" si="3"/>
        <v>14</v>
      </c>
      <c r="B24" s="77"/>
      <c r="C24" s="9" t="s">
        <v>199</v>
      </c>
      <c r="D24" s="9" t="s">
        <v>200</v>
      </c>
      <c r="E24" s="31" t="s">
        <v>62</v>
      </c>
      <c r="F24" s="32">
        <f t="shared" si="2"/>
        <v>2</v>
      </c>
      <c r="G24" s="12" t="s">
        <v>201</v>
      </c>
      <c r="H24" s="20">
        <v>1700</v>
      </c>
    </row>
    <row r="25" spans="1:41">
      <c r="A25" s="8">
        <f t="shared" si="3"/>
        <v>15</v>
      </c>
      <c r="B25" s="77"/>
      <c r="C25" s="9" t="s">
        <v>202</v>
      </c>
      <c r="D25" s="9" t="s">
        <v>179</v>
      </c>
      <c r="E25" s="31" t="s">
        <v>62</v>
      </c>
      <c r="F25" s="32">
        <f t="shared" si="2"/>
        <v>2</v>
      </c>
      <c r="G25" s="12" t="s">
        <v>203</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