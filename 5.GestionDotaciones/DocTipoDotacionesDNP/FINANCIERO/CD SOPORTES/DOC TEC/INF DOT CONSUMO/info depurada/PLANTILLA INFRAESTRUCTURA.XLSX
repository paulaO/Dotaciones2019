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inson.parada\Desktop\218A232. SERV PRIMERA INF E2\INF DOT CONSUMO Y TRANSP\DOT BTA\info depurada\"/>
    </mc:Choice>
  </mc:AlternateContent>
  <bookViews>
    <workbookView xWindow="0" yWindow="0" windowWidth="28800" windowHeight="12210" activeTab="1"/>
  </bookViews>
  <sheets>
    <sheet name="Hoja2" sheetId="2" r:id="rId1"/>
    <sheet name="Hoja1" sheetId="1" r:id="rId2"/>
  </sheets>
  <externalReferences>
    <externalReference r:id="rId3"/>
  </externalReferences>
  <definedNames>
    <definedName name="_xlnm._FilterDatabase" localSheetId="1" hidden="1">Hoja1!$B$2:$P$68</definedName>
  </definedNames>
  <calcPr calcId="171027" concurrentCalc="0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" i="1" l="1"/>
  <c r="P6" i="1"/>
  <c r="P23" i="1"/>
  <c r="P35" i="1"/>
  <c r="P36" i="1"/>
  <c r="P46" i="1"/>
  <c r="P45" i="1"/>
  <c r="P22" i="1"/>
</calcChain>
</file>

<file path=xl/sharedStrings.xml><?xml version="1.0" encoding="utf-8"?>
<sst xmlns="http://schemas.openxmlformats.org/spreadsheetml/2006/main" count="484" uniqueCount="123">
  <si>
    <t>ID</t>
  </si>
  <si>
    <t>NOMBRE DEL CDI</t>
  </si>
  <si>
    <t>NÚMERO DE NIÑOS</t>
  </si>
  <si>
    <t>MODALIDAD</t>
  </si>
  <si>
    <t>SERVICIO</t>
  </si>
  <si>
    <t>LOCALIDAD</t>
  </si>
  <si>
    <t>CATEGORIA</t>
  </si>
  <si>
    <t>ELEMENTO</t>
  </si>
  <si>
    <t>CANTIDAD</t>
  </si>
  <si>
    <t>PERIODICIDAD</t>
  </si>
  <si>
    <t>VECES/AÑO</t>
  </si>
  <si>
    <t>DESCRIPCION</t>
  </si>
  <si>
    <t>PRECIO UNITARIO INCLUIDO IVA</t>
  </si>
  <si>
    <t>Comunitaria</t>
  </si>
  <si>
    <t>HCB Tradicionales</t>
  </si>
  <si>
    <t>Bimestral</t>
  </si>
  <si>
    <t>Mensual</t>
  </si>
  <si>
    <t>Semestral</t>
  </si>
  <si>
    <t xml:space="preserve"> HI EL CEFETERITO</t>
  </si>
  <si>
    <t>Institucional</t>
  </si>
  <si>
    <t>Hogares Infantiles</t>
  </si>
  <si>
    <t>Barrios Unidos</t>
  </si>
  <si>
    <t>Trimestral</t>
  </si>
  <si>
    <t>Infraestructura</t>
  </si>
  <si>
    <t>FUMIGACION</t>
  </si>
  <si>
    <t>FUMIGACION Y CONTROL DE PLAGAS</t>
  </si>
  <si>
    <t>LAVADO TANQUES</t>
  </si>
  <si>
    <t>TANQUE DE 500 LTS</t>
  </si>
  <si>
    <t>HCB LA CASITA DE MADERA</t>
  </si>
  <si>
    <t>UNA LIMPIEZA CADA 6 MESES</t>
  </si>
  <si>
    <t>UN LAVADO DE TANQUES CADA SEIS MESES</t>
  </si>
  <si>
    <t>HCB HOGAR FELIZ</t>
  </si>
  <si>
    <t>HCB OSITO JUGUETON</t>
  </si>
  <si>
    <t>HCB MIS PITUFOS</t>
  </si>
  <si>
    <t>Fundacion Crecer</t>
  </si>
  <si>
    <t>Engativa</t>
  </si>
  <si>
    <t>Anual</t>
  </si>
  <si>
    <t xml:space="preserve">SEGURO NIÑOS </t>
  </si>
  <si>
    <t xml:space="preserve">Seguro todo riesgo </t>
  </si>
  <si>
    <t>Fumigación y control de plagas</t>
  </si>
  <si>
    <t xml:space="preserve">Tanqwue de agua </t>
  </si>
  <si>
    <t xml:space="preserve">DESTAPE DE CAÑERIAS, GOTERAS, VIDRIOS, PINTURA </t>
  </si>
  <si>
    <t xml:space="preserve">Mantenimiento  general </t>
  </si>
  <si>
    <t>Familiar</t>
  </si>
  <si>
    <t>Desarrollo Infantil en Medio Familiar</t>
  </si>
  <si>
    <t>Asociacion Mi Segundo Hogar Paris Francia</t>
  </si>
  <si>
    <t>LAVADO DE TANQUES Y FUMIGACION</t>
  </si>
  <si>
    <t xml:space="preserve">MANTENIMIENTO(cañerias, pintura etc) </t>
  </si>
  <si>
    <t xml:space="preserve">RECARGA DE EXTINTOR </t>
  </si>
  <si>
    <t>recarga extintor</t>
  </si>
  <si>
    <t>Asociacion Mis Primeros Amigos</t>
  </si>
  <si>
    <t xml:space="preserve">PINTURA EN ACEITE (obligatorio según icbf) </t>
  </si>
  <si>
    <t xml:space="preserve">Pintura anual  en aceite  blanco </t>
  </si>
  <si>
    <t>Fundacion Gracia de Vivir</t>
  </si>
  <si>
    <t>Jardines Sociales</t>
  </si>
  <si>
    <t xml:space="preserve">PODADO DE JARDIN </t>
  </si>
  <si>
    <t>podado de jardines exteriores</t>
  </si>
  <si>
    <t>CANECAS</t>
  </si>
  <si>
    <t xml:space="preserve">FUMIGACION </t>
  </si>
  <si>
    <t xml:space="preserve">fumigacion </t>
  </si>
  <si>
    <t>RECARGA EXTINTORES</t>
  </si>
  <si>
    <t>recarga extintores</t>
  </si>
  <si>
    <t>MANTENIMIENTO LICUADORAS</t>
  </si>
  <si>
    <t>mantenimiento licuadoras</t>
  </si>
  <si>
    <t>MANTENIMIENTO CANALES Y GOTERAS</t>
  </si>
  <si>
    <t>HI Alejandria - Meisen</t>
  </si>
  <si>
    <t>Ciudad Bolivar</t>
  </si>
  <si>
    <t>Mantenimiento computadores</t>
  </si>
  <si>
    <t>Mantenimiento preventivo a tres equipos de computo y punto de red</t>
  </si>
  <si>
    <t>Insumos plaguicidas</t>
  </si>
  <si>
    <t>Recarga de extintores de 20 libras</t>
  </si>
  <si>
    <t>Tres extintores</t>
  </si>
  <si>
    <t>Recarga de extintores de 10 libras</t>
  </si>
  <si>
    <t>Un extintor</t>
  </si>
  <si>
    <t>Cambio de valvulas de descargue</t>
  </si>
  <si>
    <t>Mantenimiento impresora</t>
  </si>
  <si>
    <t>Impresora laser</t>
  </si>
  <si>
    <t>HCB  -  Nuevas estrellitas</t>
  </si>
  <si>
    <t>HCB Agrupados</t>
  </si>
  <si>
    <t>Dos canecas grandes</t>
  </si>
  <si>
    <t>Forros de colchonetas antifluidos</t>
  </si>
  <si>
    <t>8 forros</t>
  </si>
  <si>
    <t>Reposición mesa plastica</t>
  </si>
  <si>
    <t>Una mesa plastica</t>
  </si>
  <si>
    <t>Reposición licuadora</t>
  </si>
  <si>
    <t>Cada 3 Años</t>
  </si>
  <si>
    <t>Una licuadora</t>
  </si>
  <si>
    <t>HCB  -  Las Mañanitas</t>
  </si>
  <si>
    <t>Dos canecas de pintura</t>
  </si>
  <si>
    <t>7 forros</t>
  </si>
  <si>
    <t>DIMF - Potosi</t>
  </si>
  <si>
    <t>Dos canecas</t>
  </si>
  <si>
    <t>Brochas y rodillos</t>
  </si>
  <si>
    <t>Dos brochas y tres rodillos</t>
  </si>
  <si>
    <t>PINTURA</t>
  </si>
  <si>
    <t>LAVADO DE TANQUES</t>
  </si>
  <si>
    <t>UNIDAD DE MEDIDA</t>
  </si>
  <si>
    <t>OTROS</t>
  </si>
  <si>
    <t>CONTROL DE PLAGAS</t>
  </si>
  <si>
    <t>LTS</t>
  </si>
  <si>
    <t>m2</t>
  </si>
  <si>
    <t>HI - Carrusel de la alegria</t>
  </si>
  <si>
    <t>Bosa</t>
  </si>
  <si>
    <t>Servicios Publicos</t>
  </si>
  <si>
    <t>Otro</t>
  </si>
  <si>
    <t xml:space="preserve">SERVICIO DE FUMIGACION </t>
  </si>
  <si>
    <t>DESCRIPCION ANT</t>
  </si>
  <si>
    <t>Total general</t>
  </si>
  <si>
    <t>DESCRIPCION DA</t>
  </si>
  <si>
    <t>UNIDAD DE MEDIDA DA</t>
  </si>
  <si>
    <t>(en blanco)</t>
  </si>
  <si>
    <t>anual</t>
  </si>
  <si>
    <t>trimestral</t>
  </si>
  <si>
    <t>FUMIGACION - PROMEDIO SIMPLE --&gt;</t>
  </si>
  <si>
    <t>FUMIGACION - MEDIA GEOMETRICA --&gt;</t>
  </si>
  <si>
    <t>Información tomada del último estudio de sector de fumigación realizado en el año 2017 actualizado a 2018 con IPC del 4,09% (ES de minima cuantia #20 de 2017). Se toma el promedio simple de la medida de tendencia central utilizada en el estudio (media geometrica) excluyendo los inmuebles de mas de 1.000 M2</t>
  </si>
  <si>
    <t>Información tomada del último estudio de sector de lavado de tanques realizado en el año 2017 actualizado a 2018 con IPC del 4,09% (ES de minima cuantia #20 de 2017). Se toma el promedio simple de la medida de tendencia central utilizada en el estudio (media geometrica) excluyendo los tanques superiores a 6 M3</t>
  </si>
  <si>
    <t>Información tomada del último estudio de sector de recarga de extintores realizado en el año 2017 actualizado a 2018 con IPC del 4,09% (ES de minima cuantia #47 de 2017). Se toma el promedio simple de la medida de tendencia central utilizada en el estudio (promedio de las 3 más bajas)</t>
  </si>
  <si>
    <t>Regional Caldas</t>
  </si>
  <si>
    <t>Cooashogares</t>
  </si>
  <si>
    <t>CONTROL PLAGAS Y ROEDORES</t>
  </si>
  <si>
    <t>Martinita Angel</t>
  </si>
  <si>
    <t>control general de plagas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</si>
</sst>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164" fontId="2" fillId="0" borderId="1" xfId="1" applyNumberFormat="1" applyFont="1" applyBorder="1" applyAlignment="1">
      <alignment horizontal="left" vertical="top" wrapText="1"/>
    </xf>
    <xf numFmtId="0" fontId="0" fillId="0" borderId="0" xfId="0" pivotButton="1"/>
    <xf numFmtId="0" fontId="3" fillId="3" borderId="1" xfId="0" applyFont="1" applyFill="1" applyBorder="1" applyAlignment="1">
      <alignment horizontal="center" vertical="center" wrapText="1"/>
    </xf>
    <xf numFmtId="164" fontId="2" fillId="0" borderId="0" xfId="1" applyNumberFormat="1" applyFont="1" applyAlignment="1">
      <alignment horizontal="left" vertical="top" wrapText="1"/>
    </xf>
    <xf numFmtId="164" fontId="3" fillId="0" borderId="0" xfId="1" applyNumberFormat="1" applyFont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164" fontId="4" fillId="2" borderId="1" xfId="1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inson.parada/UNIDAD%20D/ROBINSON.PARADA/Mis%20documentos/ESTUDIO%20DE%20MERCADO/2017/218A232.%20SERV%20PRIMERA%20INF%20E2/INF%20COSTEO/DOT%20BTA/PLANTILLA%20CONSOLIDA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Listas"/>
    </sheetNames>
    <sheetDataSet>
      <sheetData sheetId="0"/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ria Fernanda Rojas Luengas" refreshedDate="43004.489344907408" createdVersion="5" refreshedVersion="5" minRefreshableVersion="3" recordCount="45">
  <cacheSource type="worksheet">
    <worksheetSource ref="B2:P68" sheet="Hoja1"/>
  </cacheSource>
  <cacheFields count="15">
    <cacheField name="DESCRIPCION" numFmtId="0">
      <sharedItems count="5">
        <s v="FUMIGACION"/>
        <s v="LAVADO TANQUES"/>
        <s v="OTROS"/>
        <s v="RECARGA EXTINTORES"/>
        <s v="CONTROL DE PLAGAS"/>
      </sharedItems>
    </cacheField>
    <cacheField name="UNIDAD DE MEDIDA" numFmtId="0">
      <sharedItems containsBlank="1" count="3">
        <s v="m2"/>
        <s v="LTS"/>
        <m/>
      </sharedItems>
    </cacheField>
    <cacheField name="ID" numFmtId="0">
      <sharedItems containsSemiMixedTypes="0" containsString="0" containsNumber="1" containsInteger="1" minValue="1" maxValue="8"/>
    </cacheField>
    <cacheField name="NOMBRE DEL CDI" numFmtId="0">
      <sharedItems/>
    </cacheField>
    <cacheField name="NÚMERO DE NIÑOS" numFmtId="0">
      <sharedItems containsSemiMixedTypes="0" containsString="0" containsNumber="1" containsInteger="1" minValue="13" maxValue="436"/>
    </cacheField>
    <cacheField name="MODALIDAD" numFmtId="0">
      <sharedItems/>
    </cacheField>
    <cacheField name="SERVICIO" numFmtId="0">
      <sharedItems/>
    </cacheField>
    <cacheField name="LOCALIDAD" numFmtId="0">
      <sharedItems/>
    </cacheField>
    <cacheField name="CATEGORIA" numFmtId="0">
      <sharedItems/>
    </cacheField>
    <cacheField name="ELEMENTO" numFmtId="0">
      <sharedItems/>
    </cacheField>
    <cacheField name="CANTIDAD" numFmtId="0">
      <sharedItems containsString="0" containsBlank="1" containsNumber="1" containsInteger="1" minValue="1" maxValue="8"/>
    </cacheField>
    <cacheField name="PERIODICIDAD" numFmtId="0">
      <sharedItems/>
    </cacheField>
    <cacheField name="VECES/AÑO" numFmtId="0">
      <sharedItems containsSemiMixedTypes="0" containsString="0" containsNumber="1" minValue="0.33333333333333331" maxValue="12"/>
    </cacheField>
    <cacheField name="DESCRIPCION ANT" numFmtId="0">
      <sharedItems containsBlank="1" count="28">
        <s v="FUMIGACION Y CONTROL DE PLAGAS"/>
        <s v="TANQUE DE 500 LTS"/>
        <s v="UNA LIMPIEZA CADA 6 MESES"/>
        <s v="UN LAVADO DE TANQUES CADA SEIS MESES"/>
        <s v="Tanqwue de agua "/>
        <s v="Mantenimiento  general "/>
        <s v="Fumigación y control de plagas"/>
        <s v="recarga extintor"/>
        <s v="Pintura anual  en aceite  blanco "/>
        <s v="podado de jardines exteriores"/>
        <s v="fumigacion "/>
        <s v="recarga extintores"/>
        <s v="mantenimiento licuadoras"/>
        <m/>
        <s v="Mantenimiento preventivo a tres equipos de computo y punto de red"/>
        <s v="Tres extintores"/>
        <s v="Un extintor"/>
        <s v="Impresora laser"/>
        <s v="Dos canecas grandes"/>
        <s v="8 forros"/>
        <s v="Una mesa plastica"/>
        <s v="Una licuadora"/>
        <s v="Dos canecas de pintura"/>
        <s v="7 forros"/>
        <s v="Dos canecas"/>
        <s v="Dos brochas y tres rodillos"/>
        <s v="Seguro todo riesgo "/>
        <s v="SERVICIO DE FUMIGACION "/>
      </sharedItems>
    </cacheField>
    <cacheField name="PRECIO UNITARIO INCLUIDO IVA" numFmtId="164">
      <sharedItems containsSemiMixedTypes="0" containsString="0" containsNumber="1" minValue="7185" maxValue="9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">
  <r>
    <x v="0"/>
    <x v="0"/>
    <n v="1"/>
    <s v=" HI EL CEFETERITO"/>
    <n v="200"/>
    <s v="Institucional"/>
    <s v="Hogares Infantiles"/>
    <s v="Barrios Unidos"/>
    <s v="Infraestructura"/>
    <s v="FUMIGACION"/>
    <n v="1"/>
    <s v="Semestral"/>
    <n v="2"/>
    <x v="0"/>
    <n v="85000"/>
  </r>
  <r>
    <x v="1"/>
    <x v="1"/>
    <n v="1"/>
    <s v=" HI EL CEFETERITO"/>
    <n v="200"/>
    <s v="Institucional"/>
    <s v="Hogares Infantiles"/>
    <s v="Barrios Unidos"/>
    <s v="Infraestructura"/>
    <s v="LAVADO TANQUES"/>
    <n v="1"/>
    <s v="Semestral"/>
    <n v="2"/>
    <x v="1"/>
    <n v="41000"/>
  </r>
  <r>
    <x v="0"/>
    <x v="0"/>
    <n v="3"/>
    <s v="HCB LA CASITA DE MADERA"/>
    <n v="14"/>
    <s v="Comunitaria"/>
    <s v="HCB Tradicionales"/>
    <s v="Barrios Unidos"/>
    <s v="Infraestructura"/>
    <s v="FUMIGACION"/>
    <n v="1"/>
    <s v="Trimestral"/>
    <n v="2"/>
    <x v="2"/>
    <n v="50000"/>
  </r>
  <r>
    <x v="1"/>
    <x v="1"/>
    <n v="3"/>
    <s v="HCB LA CASITA DE MADERA"/>
    <n v="14"/>
    <s v="Comunitaria"/>
    <s v="HCB Tradicionales"/>
    <s v="Barrios Unidos"/>
    <s v="Infraestructura"/>
    <s v="LAVADO TANQUES"/>
    <n v="1"/>
    <s v="Trimestral"/>
    <n v="2"/>
    <x v="3"/>
    <n v="50000"/>
  </r>
  <r>
    <x v="0"/>
    <x v="0"/>
    <n v="4"/>
    <s v="HCB HOGAR FELIZ"/>
    <n v="14"/>
    <s v="Comunitaria"/>
    <s v="HCB Tradicionales"/>
    <s v="Barrios Unidos"/>
    <s v="Infraestructura"/>
    <s v="FUMIGACION"/>
    <m/>
    <s v="Trimestral"/>
    <n v="2"/>
    <x v="2"/>
    <n v="50000"/>
  </r>
  <r>
    <x v="1"/>
    <x v="1"/>
    <n v="4"/>
    <s v="HCB HOGAR FELIZ"/>
    <n v="14"/>
    <s v="Comunitaria"/>
    <s v="HCB Tradicionales"/>
    <s v="Barrios Unidos"/>
    <s v="Infraestructura"/>
    <s v="LAVADO TANQUES"/>
    <m/>
    <s v="Trimestral"/>
    <n v="2"/>
    <x v="3"/>
    <n v="50000"/>
  </r>
  <r>
    <x v="0"/>
    <x v="0"/>
    <n v="5"/>
    <s v="HCB OSITO JUGUETON"/>
    <n v="14"/>
    <s v="Comunitaria"/>
    <s v="HCB Tradicionales"/>
    <s v="Barrios Unidos"/>
    <s v="Infraestructura"/>
    <s v="FUMIGACION"/>
    <m/>
    <s v="Trimestral"/>
    <n v="2"/>
    <x v="2"/>
    <n v="50000"/>
  </r>
  <r>
    <x v="1"/>
    <x v="1"/>
    <n v="5"/>
    <s v="HCB OSITO JUGUETON"/>
    <n v="14"/>
    <s v="Comunitaria"/>
    <s v="HCB Tradicionales"/>
    <s v="Barrios Unidos"/>
    <s v="Infraestructura"/>
    <s v="LAVADO TANQUES"/>
    <m/>
    <s v="Trimestral"/>
    <n v="2"/>
    <x v="3"/>
    <n v="50000"/>
  </r>
  <r>
    <x v="0"/>
    <x v="0"/>
    <n v="6"/>
    <s v="HCB MIS PITUFOS"/>
    <n v="14"/>
    <s v="Comunitaria"/>
    <s v="HCB Tradicionales"/>
    <s v="Barrios Unidos"/>
    <s v="Infraestructura"/>
    <s v="FUMIGACION"/>
    <m/>
    <s v="Trimestral"/>
    <n v="2"/>
    <x v="2"/>
    <n v="45000"/>
  </r>
  <r>
    <x v="1"/>
    <x v="1"/>
    <n v="6"/>
    <s v="HCB MIS PITUFOS"/>
    <n v="14"/>
    <s v="Comunitaria"/>
    <s v="HCB Tradicionales"/>
    <s v="Barrios Unidos"/>
    <s v="Infraestructura"/>
    <s v="LAVADO TANQUES"/>
    <m/>
    <s v="Trimestral"/>
    <n v="2"/>
    <x v="3"/>
    <n v="45000"/>
  </r>
  <r>
    <x v="0"/>
    <x v="0"/>
    <n v="1"/>
    <s v="Fundacion Crecer"/>
    <n v="243"/>
    <s v="Institucional"/>
    <s v="Hogares Infantiles"/>
    <s v="Engativa"/>
    <s v="Infraestructura"/>
    <s v="FUMIGACION"/>
    <n v="1"/>
    <s v="Semestral"/>
    <n v="2"/>
    <x v="0"/>
    <n v="180000"/>
  </r>
  <r>
    <x v="1"/>
    <x v="1"/>
    <n v="1"/>
    <s v="Fundacion Crecer"/>
    <n v="243"/>
    <s v="Institucional"/>
    <s v="Hogares Infantiles"/>
    <s v="Engativa"/>
    <s v="Infraestructura"/>
    <s v="LAVADO TANQUES"/>
    <n v="1"/>
    <s v="Semestral"/>
    <n v="2"/>
    <x v="4"/>
    <n v="150000"/>
  </r>
  <r>
    <x v="2"/>
    <x v="2"/>
    <n v="1"/>
    <s v="Fundacion Crecer"/>
    <n v="243"/>
    <s v="Institucional"/>
    <s v="Hogares Infantiles"/>
    <s v="Engativa"/>
    <s v="Infraestructura"/>
    <s v="DESTAPE DE CAÑERIAS, GOTERAS, VIDRIOS, PINTURA "/>
    <n v="1"/>
    <s v="Bimestral"/>
    <n v="6"/>
    <x v="5"/>
    <n v="300000"/>
  </r>
  <r>
    <x v="0"/>
    <x v="0"/>
    <n v="3"/>
    <s v="Asociacion Mi Segundo Hogar Paris Francia"/>
    <n v="14"/>
    <s v="Comunitaria"/>
    <s v="HCB Tradicionales"/>
    <s v="Engativa"/>
    <s v="Infraestructura"/>
    <s v="LAVADO DE TANQUES Y FUMIGACION"/>
    <n v="1"/>
    <s v="Semestral"/>
    <n v="2"/>
    <x v="6"/>
    <n v="70000"/>
  </r>
  <r>
    <x v="2"/>
    <x v="2"/>
    <n v="3"/>
    <s v="Asociacion Mi Segundo Hogar Paris Francia"/>
    <n v="14"/>
    <s v="Comunitaria"/>
    <s v="HCB Tradicionales"/>
    <s v="Engativa"/>
    <s v="Infraestructura"/>
    <s v="MANTENIMIENTO(cañerias, pintura etc) "/>
    <n v="1"/>
    <s v="Semestral"/>
    <n v="2"/>
    <x v="5"/>
    <n v="300000"/>
  </r>
  <r>
    <x v="3"/>
    <x v="2"/>
    <n v="3"/>
    <s v="Asociacion Mi Segundo Hogar Paris Francia"/>
    <n v="14"/>
    <s v="Comunitaria"/>
    <s v="HCB Tradicionales"/>
    <s v="Engativa"/>
    <s v="Infraestructura"/>
    <s v="RECARGA DE EXTINTOR "/>
    <n v="1"/>
    <s v="Anual"/>
    <n v="1"/>
    <x v="7"/>
    <n v="12000"/>
  </r>
  <r>
    <x v="0"/>
    <x v="0"/>
    <n v="4"/>
    <s v="Asociacion Mis Primeros Amigos"/>
    <n v="28"/>
    <s v="Comunitaria"/>
    <s v="HCB Tradicionales"/>
    <s v="Engativa"/>
    <s v="Infraestructura"/>
    <s v="LAVADO DE TANQUES Y FUMIGACION"/>
    <n v="1"/>
    <s v="Semestral"/>
    <n v="2"/>
    <x v="6"/>
    <n v="60000"/>
  </r>
  <r>
    <x v="2"/>
    <x v="2"/>
    <n v="4"/>
    <s v="Asociacion Mis Primeros Amigos"/>
    <n v="28"/>
    <s v="Comunitaria"/>
    <s v="HCB Tradicionales"/>
    <s v="Engativa"/>
    <s v="Infraestructura"/>
    <s v="MANTENIMIENTO(cañerias, pintura etc) "/>
    <n v="1"/>
    <s v="Semestral"/>
    <n v="2"/>
    <x v="5"/>
    <n v="140000"/>
  </r>
  <r>
    <x v="3"/>
    <x v="2"/>
    <n v="4"/>
    <s v="Asociacion Mis Primeros Amigos"/>
    <n v="28"/>
    <s v="Comunitaria"/>
    <s v="HCB Tradicionales"/>
    <s v="Engativa"/>
    <s v="Infraestructura"/>
    <s v="RECARGA DE EXTINTOR "/>
    <n v="1"/>
    <s v="Anual"/>
    <n v="1"/>
    <x v="7"/>
    <n v="18000"/>
  </r>
  <r>
    <x v="2"/>
    <x v="2"/>
    <n v="4"/>
    <s v="Asociacion Mis Primeros Amigos"/>
    <n v="28"/>
    <s v="Comunitaria"/>
    <s v="HCB Tradicionales"/>
    <s v="Engativa"/>
    <s v="Infraestructura"/>
    <s v="PINTURA EN ACEITE (obligatorio según icbf) "/>
    <n v="1"/>
    <s v="Mensual"/>
    <n v="12"/>
    <x v="8"/>
    <n v="120000"/>
  </r>
  <r>
    <x v="2"/>
    <x v="2"/>
    <n v="5"/>
    <s v="Fundacion Gracia de Vivir"/>
    <n v="340"/>
    <s v="Institucional"/>
    <s v="Jardines Sociales"/>
    <s v="Engativa"/>
    <s v="Infraestructura"/>
    <s v="PODADO DE JARDIN "/>
    <n v="1"/>
    <s v="Trimestral"/>
    <n v="4"/>
    <x v="9"/>
    <n v="150000"/>
  </r>
  <r>
    <x v="2"/>
    <x v="2"/>
    <n v="5"/>
    <s v="Fundacion Gracia de Vivir"/>
    <n v="340"/>
    <s v="Institucional"/>
    <s v="Jardines Sociales"/>
    <s v="Engativa"/>
    <s v="Infraestructura"/>
    <s v="CANECAS"/>
    <n v="1"/>
    <s v="Anual"/>
    <n v="1"/>
    <x v="6"/>
    <n v="105000"/>
  </r>
  <r>
    <x v="1"/>
    <x v="1"/>
    <n v="5"/>
    <s v="Fundacion Gracia de Vivir"/>
    <n v="340"/>
    <s v="Institucional"/>
    <s v="Jardines Sociales"/>
    <s v="Engativa"/>
    <s v="Infraestructura"/>
    <s v="LAVADO TANQUES"/>
    <n v="1"/>
    <s v="Semestral"/>
    <n v="2"/>
    <x v="4"/>
    <n v="310000"/>
  </r>
  <r>
    <x v="0"/>
    <x v="0"/>
    <n v="5"/>
    <s v="Fundacion Gracia de Vivir"/>
    <n v="340"/>
    <s v="Institucional"/>
    <s v="Jardines Sociales"/>
    <s v="Engativa"/>
    <s v="Infraestructura"/>
    <s v="FUMIGACION "/>
    <n v="1"/>
    <s v="Semestral"/>
    <n v="2"/>
    <x v="10"/>
    <n v="90000"/>
  </r>
  <r>
    <x v="3"/>
    <x v="2"/>
    <n v="5"/>
    <s v="Fundacion Gracia de Vivir"/>
    <n v="340"/>
    <s v="Institucional"/>
    <s v="Jardines Sociales"/>
    <s v="Engativa"/>
    <s v="Infraestructura"/>
    <s v="RECARGA EXTINTORES"/>
    <n v="1"/>
    <s v="Anual"/>
    <n v="1"/>
    <x v="11"/>
    <n v="132500"/>
  </r>
  <r>
    <x v="2"/>
    <x v="2"/>
    <n v="5"/>
    <s v="Fundacion Gracia de Vivir"/>
    <n v="340"/>
    <s v="Institucional"/>
    <s v="Jardines Sociales"/>
    <s v="Engativa"/>
    <s v="Infraestructura"/>
    <s v="MANTENIMIENTO LICUADORAS"/>
    <n v="1"/>
    <s v="Semestral"/>
    <n v="2"/>
    <x v="12"/>
    <n v="230000"/>
  </r>
  <r>
    <x v="2"/>
    <x v="2"/>
    <n v="5"/>
    <s v="Fundacion Gracia de Vivir"/>
    <n v="340"/>
    <s v="Institucional"/>
    <s v="Jardines Sociales"/>
    <s v="Engativa"/>
    <s v="Infraestructura"/>
    <s v="MANTENIMIENTO CANALES Y GOTERAS"/>
    <n v="1"/>
    <s v="Anual"/>
    <n v="1"/>
    <x v="13"/>
    <n v="900000"/>
  </r>
  <r>
    <x v="2"/>
    <x v="2"/>
    <n v="1"/>
    <s v="HI Alejandria - Meisen"/>
    <n v="230"/>
    <s v="Institucional"/>
    <s v="Hogares Infantiles"/>
    <s v="Ciudad Bolivar"/>
    <s v="Infraestructura"/>
    <s v="Mantenimiento computadores"/>
    <n v="3"/>
    <s v="Trimestral"/>
    <n v="4"/>
    <x v="14"/>
    <n v="66666.666666666672"/>
  </r>
  <r>
    <x v="4"/>
    <x v="2"/>
    <n v="1"/>
    <s v="HI Alejandria - Meisen"/>
    <n v="230"/>
    <s v="Institucional"/>
    <s v="Hogares Infantiles"/>
    <s v="Ciudad Bolivar"/>
    <s v="Infraestructura"/>
    <s v="Insumos plaguicidas"/>
    <n v="1"/>
    <s v="Semestral"/>
    <n v="2"/>
    <x v="13"/>
    <n v="34000"/>
  </r>
  <r>
    <x v="0"/>
    <x v="0"/>
    <n v="1"/>
    <s v="HI Alejandria - Meisen"/>
    <n v="230"/>
    <s v="Institucional"/>
    <s v="Hogares Infantiles"/>
    <s v="Ciudad Bolivar"/>
    <s v="Infraestructura"/>
    <s v="FUMIGACION"/>
    <n v="1"/>
    <s v="Semestral"/>
    <n v="2"/>
    <x v="13"/>
    <n v="51000"/>
  </r>
  <r>
    <x v="1"/>
    <x v="1"/>
    <n v="1"/>
    <s v="HI Alejandria - Meisen"/>
    <n v="230"/>
    <s v="Institucional"/>
    <s v="Hogares Infantiles"/>
    <s v="Ciudad Bolivar"/>
    <s v="Infraestructura"/>
    <s v="LAVADO DE TANQUES"/>
    <n v="1"/>
    <s v="Semestral"/>
    <n v="2"/>
    <x v="13"/>
    <n v="100000"/>
  </r>
  <r>
    <x v="3"/>
    <x v="2"/>
    <n v="1"/>
    <s v="HI Alejandria - Meisen"/>
    <n v="230"/>
    <s v="Institucional"/>
    <s v="Hogares Infantiles"/>
    <s v="Ciudad Bolivar"/>
    <s v="Infraestructura"/>
    <s v="Recarga de extintores de 20 libras"/>
    <n v="3"/>
    <s v="Trimestral"/>
    <n v="4"/>
    <x v="15"/>
    <n v="15000"/>
  </r>
  <r>
    <x v="3"/>
    <x v="2"/>
    <n v="1"/>
    <s v="HI Alejandria - Meisen"/>
    <n v="230"/>
    <s v="Institucional"/>
    <s v="Hogares Infantiles"/>
    <s v="Ciudad Bolivar"/>
    <s v="Infraestructura"/>
    <s v="Recarga de extintores de 10 libras"/>
    <n v="1"/>
    <s v="Trimestral"/>
    <n v="4"/>
    <x v="16"/>
    <n v="13000"/>
  </r>
  <r>
    <x v="2"/>
    <x v="2"/>
    <n v="1"/>
    <s v="HI Alejandria - Meisen"/>
    <n v="230"/>
    <s v="Institucional"/>
    <s v="Hogares Infantiles"/>
    <s v="Ciudad Bolivar"/>
    <s v="Infraestructura"/>
    <s v="Cambio de valvulas de descargue"/>
    <n v="3"/>
    <s v="Anual"/>
    <n v="1"/>
    <x v="13"/>
    <n v="15000"/>
  </r>
  <r>
    <x v="2"/>
    <x v="2"/>
    <n v="1"/>
    <s v="HI Alejandria - Meisen"/>
    <n v="230"/>
    <s v="Institucional"/>
    <s v="Hogares Infantiles"/>
    <s v="Ciudad Bolivar"/>
    <s v="Infraestructura"/>
    <s v="Mantenimiento impresora"/>
    <n v="1"/>
    <s v="Trimestral"/>
    <n v="4"/>
    <x v="17"/>
    <n v="65000"/>
  </r>
  <r>
    <x v="2"/>
    <x v="2"/>
    <n v="2"/>
    <s v="HCB  -  Nuevas estrellitas"/>
    <n v="14"/>
    <s v="Comunitaria"/>
    <s v="HCB Agrupados"/>
    <s v="Ciudad Bolivar"/>
    <s v="Infraestructura"/>
    <s v="PINTURA"/>
    <n v="2"/>
    <s v="Anual"/>
    <n v="1"/>
    <x v="18"/>
    <n v="128000"/>
  </r>
  <r>
    <x v="2"/>
    <x v="2"/>
    <n v="2"/>
    <s v="HCB  -  Nuevas estrellitas"/>
    <n v="14"/>
    <s v="Comunitaria"/>
    <s v="HCB Agrupados"/>
    <s v="Ciudad Bolivar"/>
    <s v="Infraestructura"/>
    <s v="Forros de colchonetas antifluidos"/>
    <n v="8"/>
    <s v="Anual"/>
    <n v="1"/>
    <x v="19"/>
    <n v="12000"/>
  </r>
  <r>
    <x v="2"/>
    <x v="2"/>
    <n v="2"/>
    <s v="HCB  -  Nuevas estrellitas"/>
    <n v="14"/>
    <s v="Comunitaria"/>
    <s v="HCB Agrupados"/>
    <s v="Ciudad Bolivar"/>
    <s v="Infraestructura"/>
    <s v="Reposición mesa plastica"/>
    <n v="1"/>
    <s v="Anual"/>
    <n v="1"/>
    <x v="20"/>
    <n v="55000"/>
  </r>
  <r>
    <x v="2"/>
    <x v="2"/>
    <n v="2"/>
    <s v="HCB  -  Nuevas estrellitas"/>
    <n v="14"/>
    <s v="Comunitaria"/>
    <s v="HCB Agrupados"/>
    <s v="Ciudad Bolivar"/>
    <s v="Infraestructura"/>
    <s v="Reposición licuadora"/>
    <n v="1"/>
    <s v="Cada 3 Años"/>
    <n v="0.33333333333333331"/>
    <x v="21"/>
    <n v="100000"/>
  </r>
  <r>
    <x v="2"/>
    <x v="2"/>
    <n v="3"/>
    <s v="HCB  -  Las Mañanitas"/>
    <n v="13"/>
    <s v="Comunitaria"/>
    <s v="HCB Agrupados"/>
    <s v="Ciudad Bolivar"/>
    <s v="Infraestructura"/>
    <s v="PINTURA"/>
    <n v="2"/>
    <s v="Anual"/>
    <n v="1"/>
    <x v="22"/>
    <n v="52500"/>
  </r>
  <r>
    <x v="2"/>
    <x v="2"/>
    <n v="3"/>
    <s v="HCB  -  Las Mañanitas"/>
    <n v="13"/>
    <s v="Comunitaria"/>
    <s v="HCB Agrupados"/>
    <s v="Ciudad Bolivar"/>
    <s v="Infraestructura"/>
    <s v="Forros de colchonetas antifluidos"/>
    <n v="7"/>
    <s v="Anual"/>
    <n v="1"/>
    <x v="23"/>
    <n v="25000"/>
  </r>
  <r>
    <x v="2"/>
    <x v="2"/>
    <n v="4"/>
    <s v="DIMF - Potosi"/>
    <n v="300"/>
    <s v="Familiar"/>
    <s v="Desarrollo Infantil en Medio Familiar"/>
    <s v="Ciudad Bolivar"/>
    <s v="Infraestructura"/>
    <s v="PINTURA"/>
    <n v="2"/>
    <s v="Anual"/>
    <n v="1"/>
    <x v="24"/>
    <n v="150000"/>
  </r>
  <r>
    <x v="2"/>
    <x v="2"/>
    <n v="4"/>
    <s v="DIMF - Potosi"/>
    <n v="300"/>
    <s v="Familiar"/>
    <s v="Desarrollo Infantil en Medio Familiar"/>
    <s v="Ciudad Bolivar"/>
    <s v="Infraestructura"/>
    <s v="Brochas y rodillos"/>
    <n v="2"/>
    <s v="Trimestral"/>
    <n v="4"/>
    <x v="25"/>
    <n v="25000"/>
  </r>
  <r>
    <x v="2"/>
    <x v="2"/>
    <n v="1"/>
    <s v="Fundacion Crecer"/>
    <n v="243"/>
    <s v="Institucional"/>
    <s v="Hogares Infantiles"/>
    <s v="Engativa"/>
    <s v="Infraestructura"/>
    <s v="SEGURO NIÑOS "/>
    <n v="1"/>
    <s v="Anual"/>
    <n v="1"/>
    <x v="26"/>
    <n v="7185"/>
  </r>
  <r>
    <x v="0"/>
    <x v="0"/>
    <n v="8"/>
    <s v="HI - Carrusel de la alegria"/>
    <n v="436"/>
    <s v="Institucional"/>
    <s v="Hogares Infantiles"/>
    <s v="Bosa"/>
    <s v="Servicios Publicos"/>
    <s v="Otro"/>
    <n v="1"/>
    <s v="Semestral"/>
    <n v="2"/>
    <x v="27"/>
    <n v="3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compact="0" compactData="0" gridDropZones="1" multipleFieldFilters="0">
  <location ref="A3:H10" firstHeaderRow="2" firstDataRow="2" firstDataCol="2"/>
  <pivotFields count="15">
    <pivotField axis="axisRow" compact="0" outline="0" showAll="0" defaultSubtotal="0">
      <items count="5">
        <item x="4"/>
        <item x="0"/>
        <item x="1"/>
        <item x="2"/>
        <item x="3"/>
      </items>
    </pivotField>
    <pivotField axis="axisRow" compact="0" outline="0" showAll="0" defaultSubtotal="0">
      <items count="3">
        <item x="1"/>
        <item x="0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28">
        <item x="23"/>
        <item x="19"/>
        <item x="25"/>
        <item x="24"/>
        <item x="22"/>
        <item x="18"/>
        <item x="10"/>
        <item x="0"/>
        <item x="6"/>
        <item x="17"/>
        <item x="5"/>
        <item x="12"/>
        <item x="14"/>
        <item x="8"/>
        <item x="9"/>
        <item x="7"/>
        <item x="11"/>
        <item x="26"/>
        <item x="27"/>
        <item x="1"/>
        <item x="4"/>
        <item x="15"/>
        <item x="16"/>
        <item x="3"/>
        <item x="21"/>
        <item x="2"/>
        <item x="20"/>
        <item x="13"/>
      </items>
    </pivotField>
    <pivotField compact="0" numFmtId="164" outline="0" showAll="0" defaultSubtotal="0"/>
  </pivotFields>
  <rowFields count="2">
    <field x="0"/>
    <field x="1"/>
  </rowFields>
  <rowItems count="6">
    <i>
      <x/>
      <x v="2"/>
    </i>
    <i>
      <x v="1"/>
      <x v="1"/>
    </i>
    <i>
      <x v="2"/>
      <x/>
    </i>
    <i>
      <x v="3"/>
      <x v="2"/>
    </i>
    <i>
      <x v="4"/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10"/>
  <sheetViews>
    <sheetView workbookViewId="0">
      <selection activeCell="A9" sqref="A9"/>
    </sheetView>
  </sheetViews>
  <sheetFormatPr baseColWidth="10" defaultRowHeight="15" x14ac:dyDescent="0.25"/>
  <cols>
    <col min="1" max="1" width="19.75" bestFit="1" customWidth="1"/>
    <col min="2" max="2" width="18.5" bestFit="1" customWidth="1"/>
  </cols>
  <sheetData>
    <row r="4" spans="1:2" x14ac:dyDescent="0.25">
      <c r="A4" s="8" t="s">
        <v>11</v>
      </c>
      <c r="B4" s="8" t="s">
        <v>96</v>
      </c>
    </row>
    <row r="5" spans="1:2" x14ac:dyDescent="0.25">
      <c r="A5" t="s">
        <v>98</v>
      </c>
      <c r="B5" t="s">
        <v>110</v>
      </c>
    </row>
    <row r="6" spans="1:2" x14ac:dyDescent="0.25">
      <c r="A6" t="s">
        <v>24</v>
      </c>
      <c r="B6" t="s">
        <v>100</v>
      </c>
    </row>
    <row r="7" spans="1:2" x14ac:dyDescent="0.25">
      <c r="A7" t="s">
        <v>26</v>
      </c>
      <c r="B7" t="s">
        <v>99</v>
      </c>
    </row>
    <row r="8" spans="1:2" x14ac:dyDescent="0.25">
      <c r="A8" t="s">
        <v>97</v>
      </c>
      <c r="B8" t="s">
        <v>110</v>
      </c>
    </row>
    <row r="9" spans="1:2" x14ac:dyDescent="0.25">
      <c r="A9" t="s">
        <v>60</v>
      </c>
      <c r="B9" t="s">
        <v>110</v>
      </c>
    </row>
    <row r="10" spans="1:2" x14ac:dyDescent="0.25">
      <c r="A10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68"/>
  <sheetViews>
    <sheetView showGridLines="0" tabSelected="1" zoomScale="80" zoomScaleNormal="80" workbookViewId="0">
      <pane xSplit="10" ySplit="2" topLeftCell="K3" activePane="bottomRight" state="frozen"/>
      <selection pane="topRight" activeCell="F1" sqref="F1"/>
      <selection pane="bottomLeft" activeCell="A3" sqref="A3"/>
      <selection pane="bottomRight" activeCell="B2" sqref="B2"/>
    </sheetView>
  </sheetViews>
  <sheetFormatPr baseColWidth="10" defaultColWidth="11" defaultRowHeight="12.75" x14ac:dyDescent="0.25"/>
  <cols>
    <col min="1" max="1" width="1.375" style="2" customWidth="1"/>
    <col min="2" max="2" width="13.5" style="2" customWidth="1"/>
    <col min="3" max="3" width="4.375" style="2" customWidth="1"/>
    <col min="4" max="4" width="6.625" style="1" customWidth="1"/>
    <col min="5" max="5" width="24.625" style="2" customWidth="1"/>
    <col min="6" max="6" width="12.25" style="2" customWidth="1"/>
    <col min="7" max="10" width="16.5" style="2" customWidth="1"/>
    <col min="11" max="11" width="30.125" style="2" customWidth="1"/>
    <col min="12" max="12" width="13.5" style="2" customWidth="1"/>
    <col min="13" max="13" width="17.75" style="2" customWidth="1"/>
    <col min="14" max="14" width="7.25" style="2" customWidth="1"/>
    <col min="15" max="15" width="37" style="2" customWidth="1"/>
    <col min="16" max="16" width="16.5" style="2" customWidth="1"/>
    <col min="17" max="17" width="11" style="2"/>
    <col min="18" max="18" width="11" style="10"/>
    <col min="19" max="16384" width="11" style="2"/>
  </cols>
  <sheetData>
    <row r="1" spans="2:18" ht="9.75" customHeight="1" x14ac:dyDescent="0.25"/>
    <row r="2" spans="2:18" s="4" customFormat="1" ht="24" customHeight="1" x14ac:dyDescent="0.25">
      <c r="B2" s="3" t="s">
        <v>108</v>
      </c>
      <c r="C2" s="3" t="s">
        <v>109</v>
      </c>
      <c r="D2" s="9" t="s">
        <v>0</v>
      </c>
      <c r="E2" s="9" t="s">
        <v>1</v>
      </c>
      <c r="F2" s="9" t="s">
        <v>2</v>
      </c>
      <c r="G2" s="9" t="s">
        <v>3</v>
      </c>
      <c r="H2" s="9" t="s">
        <v>4</v>
      </c>
      <c r="I2" s="9" t="s">
        <v>5</v>
      </c>
      <c r="J2" s="9" t="s">
        <v>6</v>
      </c>
      <c r="K2" s="9" t="s">
        <v>7</v>
      </c>
      <c r="L2" s="9" t="s">
        <v>8</v>
      </c>
      <c r="M2" s="9" t="s">
        <v>9</v>
      </c>
      <c r="N2" s="9" t="s">
        <v>10</v>
      </c>
      <c r="O2" s="9" t="s">
        <v>106</v>
      </c>
      <c r="P2" s="9" t="s">
        <v>12</v>
      </c>
      <c r="R2" s="11"/>
    </row>
    <row r="3" spans="2:18" ht="25.5" x14ac:dyDescent="0.25">
      <c r="B3" s="6" t="s">
        <v>98</v>
      </c>
      <c r="C3" s="6"/>
      <c r="D3" s="5">
        <v>1</v>
      </c>
      <c r="E3" s="6" t="s">
        <v>65</v>
      </c>
      <c r="F3" s="6">
        <v>230</v>
      </c>
      <c r="G3" s="6" t="s">
        <v>19</v>
      </c>
      <c r="H3" s="6" t="s">
        <v>20</v>
      </c>
      <c r="I3" s="6" t="s">
        <v>66</v>
      </c>
      <c r="J3" s="6" t="s">
        <v>23</v>
      </c>
      <c r="K3" s="6" t="s">
        <v>69</v>
      </c>
      <c r="L3" s="6">
        <v>1</v>
      </c>
      <c r="M3" s="6" t="s">
        <v>17</v>
      </c>
      <c r="N3" s="6">
        <v>2</v>
      </c>
      <c r="O3" s="6"/>
      <c r="P3" s="7">
        <v>34000</v>
      </c>
      <c r="Q3" s="2" t="s">
        <v>112</v>
      </c>
      <c r="R3" s="2"/>
    </row>
    <row r="4" spans="2:18" ht="25.5" x14ac:dyDescent="0.25">
      <c r="B4" s="6" t="s">
        <v>98</v>
      </c>
      <c r="C4" s="6"/>
      <c r="D4" s="5"/>
      <c r="E4" s="6" t="s">
        <v>119</v>
      </c>
      <c r="F4" s="6">
        <v>360</v>
      </c>
      <c r="G4" s="6" t="s">
        <v>19</v>
      </c>
      <c r="H4" s="6" t="s">
        <v>20</v>
      </c>
      <c r="I4" s="6" t="s">
        <v>118</v>
      </c>
      <c r="J4" s="6" t="s">
        <v>23</v>
      </c>
      <c r="K4" s="6" t="s">
        <v>120</v>
      </c>
      <c r="L4" s="6">
        <v>1</v>
      </c>
      <c r="M4" s="6" t="s">
        <v>16</v>
      </c>
      <c r="N4" s="6">
        <v>12</v>
      </c>
      <c r="O4" s="6"/>
      <c r="P4" s="7">
        <v>40000</v>
      </c>
      <c r="R4" s="2"/>
    </row>
    <row r="5" spans="2:18" ht="25.5" x14ac:dyDescent="0.25">
      <c r="B5" s="6" t="s">
        <v>98</v>
      </c>
      <c r="C5" s="6"/>
      <c r="D5" s="5"/>
      <c r="E5" s="6" t="s">
        <v>121</v>
      </c>
      <c r="F5" s="6"/>
      <c r="G5" s="6" t="s">
        <v>19</v>
      </c>
      <c r="H5" s="6" t="s">
        <v>20</v>
      </c>
      <c r="I5" s="6" t="s">
        <v>118</v>
      </c>
      <c r="J5" s="6" t="s">
        <v>23</v>
      </c>
      <c r="K5" s="6" t="s">
        <v>122</v>
      </c>
      <c r="L5" s="6">
        <v>1</v>
      </c>
      <c r="M5" s="6" t="s">
        <v>16</v>
      </c>
      <c r="N5" s="6">
        <v>12</v>
      </c>
      <c r="O5" s="6"/>
      <c r="P5" s="7">
        <v>33500</v>
      </c>
      <c r="R5" s="2"/>
    </row>
    <row r="6" spans="2:18" ht="26.25" customHeight="1" x14ac:dyDescent="0.25">
      <c r="B6" s="17" t="s">
        <v>113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9"/>
      <c r="P6" s="13">
        <f>AVERAGE(P3:P5)</f>
        <v>35833.333333333336</v>
      </c>
      <c r="R6" s="2"/>
    </row>
    <row r="7" spans="2:18" ht="26.25" customHeight="1" x14ac:dyDescent="0.25">
      <c r="B7" s="17" t="s">
        <v>114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9"/>
      <c r="P7" s="13">
        <f>GEOMEAN(P3:P5)</f>
        <v>35715.870405874506</v>
      </c>
      <c r="R7" s="2"/>
    </row>
    <row r="10" spans="2:18" x14ac:dyDescent="0.25">
      <c r="B10" s="6" t="s">
        <v>24</v>
      </c>
      <c r="C10" s="6" t="s">
        <v>100</v>
      </c>
      <c r="D10" s="5">
        <v>1</v>
      </c>
      <c r="E10" s="6" t="s">
        <v>18</v>
      </c>
      <c r="F10" s="6">
        <v>200</v>
      </c>
      <c r="G10" s="6" t="s">
        <v>19</v>
      </c>
      <c r="H10" s="6" t="s">
        <v>20</v>
      </c>
      <c r="I10" s="6" t="s">
        <v>21</v>
      </c>
      <c r="J10" s="6" t="s">
        <v>23</v>
      </c>
      <c r="K10" s="6" t="s">
        <v>24</v>
      </c>
      <c r="L10" s="6">
        <v>1</v>
      </c>
      <c r="M10" s="6" t="s">
        <v>17</v>
      </c>
      <c r="N10" s="6">
        <v>2</v>
      </c>
      <c r="O10" s="6" t="s">
        <v>25</v>
      </c>
      <c r="P10" s="7">
        <v>85000</v>
      </c>
      <c r="Q10" s="2" t="s">
        <v>112</v>
      </c>
      <c r="R10" s="2"/>
    </row>
    <row r="11" spans="2:18" x14ac:dyDescent="0.25">
      <c r="B11" s="6" t="s">
        <v>24</v>
      </c>
      <c r="C11" s="6" t="s">
        <v>100</v>
      </c>
      <c r="D11" s="5">
        <v>3</v>
      </c>
      <c r="E11" s="6" t="s">
        <v>28</v>
      </c>
      <c r="F11" s="6">
        <v>14</v>
      </c>
      <c r="G11" s="6" t="s">
        <v>13</v>
      </c>
      <c r="H11" s="6" t="s">
        <v>14</v>
      </c>
      <c r="I11" s="6" t="s">
        <v>21</v>
      </c>
      <c r="J11" s="6" t="s">
        <v>23</v>
      </c>
      <c r="K11" s="6" t="s">
        <v>24</v>
      </c>
      <c r="L11" s="6">
        <v>1</v>
      </c>
      <c r="M11" s="6" t="s">
        <v>22</v>
      </c>
      <c r="N11" s="6">
        <v>2</v>
      </c>
      <c r="O11" s="6" t="s">
        <v>29</v>
      </c>
      <c r="P11" s="7">
        <v>50000</v>
      </c>
      <c r="R11" s="2"/>
    </row>
    <row r="12" spans="2:18" ht="25.5" x14ac:dyDescent="0.25">
      <c r="B12" s="6" t="s">
        <v>24</v>
      </c>
      <c r="C12" s="6" t="s">
        <v>100</v>
      </c>
      <c r="D12" s="5">
        <v>4</v>
      </c>
      <c r="E12" s="6" t="s">
        <v>31</v>
      </c>
      <c r="F12" s="6">
        <v>14</v>
      </c>
      <c r="G12" s="6" t="s">
        <v>13</v>
      </c>
      <c r="H12" s="6" t="s">
        <v>14</v>
      </c>
      <c r="I12" s="6" t="s">
        <v>21</v>
      </c>
      <c r="J12" s="6" t="s">
        <v>23</v>
      </c>
      <c r="K12" s="6" t="s">
        <v>24</v>
      </c>
      <c r="L12" s="6"/>
      <c r="M12" s="6" t="s">
        <v>22</v>
      </c>
      <c r="N12" s="6">
        <v>2</v>
      </c>
      <c r="O12" s="6" t="s">
        <v>29</v>
      </c>
      <c r="P12" s="7">
        <v>50000</v>
      </c>
      <c r="R12" s="2"/>
    </row>
    <row r="13" spans="2:18" x14ac:dyDescent="0.25">
      <c r="B13" s="6" t="s">
        <v>24</v>
      </c>
      <c r="C13" s="6" t="s">
        <v>100</v>
      </c>
      <c r="D13" s="5">
        <v>5</v>
      </c>
      <c r="E13" s="6" t="s">
        <v>32</v>
      </c>
      <c r="F13" s="6">
        <v>14</v>
      </c>
      <c r="G13" s="6" t="s">
        <v>13</v>
      </c>
      <c r="H13" s="6" t="s">
        <v>14</v>
      </c>
      <c r="I13" s="6" t="s">
        <v>21</v>
      </c>
      <c r="J13" s="6" t="s">
        <v>23</v>
      </c>
      <c r="K13" s="6" t="s">
        <v>24</v>
      </c>
      <c r="L13" s="6"/>
      <c r="M13" s="6" t="s">
        <v>22</v>
      </c>
      <c r="N13" s="6">
        <v>2</v>
      </c>
      <c r="O13" s="6" t="s">
        <v>29</v>
      </c>
      <c r="P13" s="7">
        <v>50000</v>
      </c>
      <c r="R13" s="2"/>
    </row>
    <row r="14" spans="2:18" ht="25.5" x14ac:dyDescent="0.25">
      <c r="B14" s="6" t="s">
        <v>24</v>
      </c>
      <c r="C14" s="6" t="s">
        <v>100</v>
      </c>
      <c r="D14" s="5">
        <v>6</v>
      </c>
      <c r="E14" s="6" t="s">
        <v>33</v>
      </c>
      <c r="F14" s="6">
        <v>14</v>
      </c>
      <c r="G14" s="6" t="s">
        <v>13</v>
      </c>
      <c r="H14" s="6" t="s">
        <v>14</v>
      </c>
      <c r="I14" s="6" t="s">
        <v>21</v>
      </c>
      <c r="J14" s="6" t="s">
        <v>23</v>
      </c>
      <c r="K14" s="6" t="s">
        <v>24</v>
      </c>
      <c r="L14" s="6"/>
      <c r="M14" s="6" t="s">
        <v>22</v>
      </c>
      <c r="N14" s="6">
        <v>2</v>
      </c>
      <c r="O14" s="6" t="s">
        <v>29</v>
      </c>
      <c r="P14" s="7">
        <v>45000</v>
      </c>
      <c r="R14" s="2"/>
    </row>
    <row r="15" spans="2:18" x14ac:dyDescent="0.25">
      <c r="B15" s="6" t="s">
        <v>24</v>
      </c>
      <c r="C15" s="6" t="s">
        <v>100</v>
      </c>
      <c r="D15" s="5">
        <v>1</v>
      </c>
      <c r="E15" s="6" t="s">
        <v>34</v>
      </c>
      <c r="F15" s="6">
        <v>243</v>
      </c>
      <c r="G15" s="6" t="s">
        <v>19</v>
      </c>
      <c r="H15" s="6" t="s">
        <v>20</v>
      </c>
      <c r="I15" s="6" t="s">
        <v>35</v>
      </c>
      <c r="J15" s="6" t="s">
        <v>23</v>
      </c>
      <c r="K15" s="6" t="s">
        <v>24</v>
      </c>
      <c r="L15" s="6">
        <v>1</v>
      </c>
      <c r="M15" s="6" t="s">
        <v>17</v>
      </c>
      <c r="N15" s="6">
        <v>2</v>
      </c>
      <c r="O15" s="6" t="s">
        <v>25</v>
      </c>
      <c r="P15" s="7">
        <v>180000</v>
      </c>
      <c r="R15" s="2"/>
    </row>
    <row r="16" spans="2:18" ht="25.5" x14ac:dyDescent="0.25">
      <c r="B16" s="6" t="s">
        <v>24</v>
      </c>
      <c r="C16" s="6" t="s">
        <v>100</v>
      </c>
      <c r="D16" s="5">
        <v>3</v>
      </c>
      <c r="E16" s="6" t="s">
        <v>45</v>
      </c>
      <c r="F16" s="6">
        <v>14</v>
      </c>
      <c r="G16" s="6" t="s">
        <v>13</v>
      </c>
      <c r="H16" s="6" t="s">
        <v>14</v>
      </c>
      <c r="I16" s="6" t="s">
        <v>35</v>
      </c>
      <c r="J16" s="6" t="s">
        <v>23</v>
      </c>
      <c r="K16" s="6" t="s">
        <v>46</v>
      </c>
      <c r="L16" s="6">
        <v>1</v>
      </c>
      <c r="M16" s="6" t="s">
        <v>17</v>
      </c>
      <c r="N16" s="6">
        <v>2</v>
      </c>
      <c r="O16" s="6" t="s">
        <v>39</v>
      </c>
      <c r="P16" s="7">
        <v>70000</v>
      </c>
      <c r="R16" s="2"/>
    </row>
    <row r="17" spans="2:18" ht="25.5" x14ac:dyDescent="0.25">
      <c r="B17" s="6" t="s">
        <v>24</v>
      </c>
      <c r="C17" s="6" t="s">
        <v>100</v>
      </c>
      <c r="D17" s="5">
        <v>4</v>
      </c>
      <c r="E17" s="6" t="s">
        <v>50</v>
      </c>
      <c r="F17" s="6">
        <v>28</v>
      </c>
      <c r="G17" s="6" t="s">
        <v>13</v>
      </c>
      <c r="H17" s="6" t="s">
        <v>14</v>
      </c>
      <c r="I17" s="6" t="s">
        <v>35</v>
      </c>
      <c r="J17" s="6" t="s">
        <v>23</v>
      </c>
      <c r="K17" s="6" t="s">
        <v>46</v>
      </c>
      <c r="L17" s="6">
        <v>1</v>
      </c>
      <c r="M17" s="6" t="s">
        <v>17</v>
      </c>
      <c r="N17" s="6">
        <v>2</v>
      </c>
      <c r="O17" s="6" t="s">
        <v>39</v>
      </c>
      <c r="P17" s="7">
        <v>60000</v>
      </c>
      <c r="R17" s="2"/>
    </row>
    <row r="18" spans="2:18" ht="25.5" x14ac:dyDescent="0.25">
      <c r="B18" s="6" t="s">
        <v>24</v>
      </c>
      <c r="C18" s="6" t="s">
        <v>100</v>
      </c>
      <c r="D18" s="5">
        <v>5</v>
      </c>
      <c r="E18" s="6" t="s">
        <v>53</v>
      </c>
      <c r="F18" s="6">
        <v>340</v>
      </c>
      <c r="G18" s="6" t="s">
        <v>19</v>
      </c>
      <c r="H18" s="6" t="s">
        <v>54</v>
      </c>
      <c r="I18" s="6" t="s">
        <v>35</v>
      </c>
      <c r="J18" s="6" t="s">
        <v>23</v>
      </c>
      <c r="K18" s="6" t="s">
        <v>58</v>
      </c>
      <c r="L18" s="6">
        <v>1</v>
      </c>
      <c r="M18" s="6" t="s">
        <v>17</v>
      </c>
      <c r="N18" s="6">
        <v>2</v>
      </c>
      <c r="O18" s="6" t="s">
        <v>59</v>
      </c>
      <c r="P18" s="7">
        <v>90000</v>
      </c>
      <c r="R18" s="2"/>
    </row>
    <row r="19" spans="2:18" x14ac:dyDescent="0.25">
      <c r="B19" s="6" t="s">
        <v>24</v>
      </c>
      <c r="C19" s="6" t="s">
        <v>100</v>
      </c>
      <c r="D19" s="5">
        <v>1</v>
      </c>
      <c r="E19" s="6" t="s">
        <v>65</v>
      </c>
      <c r="F19" s="6">
        <v>230</v>
      </c>
      <c r="G19" s="6" t="s">
        <v>19</v>
      </c>
      <c r="H19" s="6" t="s">
        <v>20</v>
      </c>
      <c r="I19" s="6" t="s">
        <v>66</v>
      </c>
      <c r="J19" s="6" t="s">
        <v>23</v>
      </c>
      <c r="K19" s="6" t="s">
        <v>24</v>
      </c>
      <c r="L19" s="6">
        <v>1</v>
      </c>
      <c r="M19" s="6" t="s">
        <v>17</v>
      </c>
      <c r="N19" s="6">
        <v>2</v>
      </c>
      <c r="O19" s="6"/>
      <c r="P19" s="7">
        <v>51000</v>
      </c>
      <c r="R19" s="2"/>
    </row>
    <row r="20" spans="2:18" x14ac:dyDescent="0.25">
      <c r="B20" s="6" t="s">
        <v>24</v>
      </c>
      <c r="C20" s="6" t="s">
        <v>100</v>
      </c>
      <c r="D20" s="5">
        <v>8</v>
      </c>
      <c r="E20" s="6" t="s">
        <v>101</v>
      </c>
      <c r="F20" s="6">
        <v>436</v>
      </c>
      <c r="G20" s="6" t="s">
        <v>19</v>
      </c>
      <c r="H20" s="6" t="s">
        <v>20</v>
      </c>
      <c r="I20" s="6" t="s">
        <v>102</v>
      </c>
      <c r="J20" s="6" t="s">
        <v>103</v>
      </c>
      <c r="K20" s="6" t="s">
        <v>104</v>
      </c>
      <c r="L20" s="6">
        <v>1</v>
      </c>
      <c r="M20" s="6" t="s">
        <v>17</v>
      </c>
      <c r="N20" s="6">
        <v>2</v>
      </c>
      <c r="O20" s="12" t="s">
        <v>105</v>
      </c>
      <c r="P20" s="7">
        <v>312500</v>
      </c>
      <c r="R20" s="2"/>
    </row>
    <row r="21" spans="2:18" ht="26.25" customHeight="1" x14ac:dyDescent="0.25">
      <c r="B21" s="6" t="s">
        <v>24</v>
      </c>
      <c r="C21" s="6" t="s">
        <v>100</v>
      </c>
      <c r="D21" s="5"/>
      <c r="E21" s="14" t="s">
        <v>115</v>
      </c>
      <c r="F21" s="15"/>
      <c r="G21" s="15"/>
      <c r="H21" s="15"/>
      <c r="I21" s="15"/>
      <c r="J21" s="15"/>
      <c r="K21" s="15"/>
      <c r="L21" s="15"/>
      <c r="M21" s="15"/>
      <c r="N21" s="15"/>
      <c r="O21" s="16"/>
      <c r="P21" s="7">
        <v>282916.9487052632</v>
      </c>
      <c r="R21" s="2"/>
    </row>
    <row r="22" spans="2:18" ht="26.25" customHeight="1" x14ac:dyDescent="0.25">
      <c r="B22" s="17" t="s">
        <v>113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  <c r="P22" s="13">
        <f>AVERAGE(P10:P21)</f>
        <v>110534.7457254386</v>
      </c>
      <c r="R22" s="2"/>
    </row>
    <row r="23" spans="2:18" ht="26.25" customHeight="1" x14ac:dyDescent="0.25">
      <c r="B23" s="17" t="s">
        <v>114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  <c r="P23" s="13">
        <f>GEOMEAN(P10:P21)</f>
        <v>85218.145066113459</v>
      </c>
      <c r="R23" s="2"/>
    </row>
    <row r="26" spans="2:18" ht="25.5" x14ac:dyDescent="0.25">
      <c r="B26" s="6" t="s">
        <v>26</v>
      </c>
      <c r="C26" s="6" t="s">
        <v>99</v>
      </c>
      <c r="D26" s="5">
        <v>1</v>
      </c>
      <c r="E26" s="6" t="s">
        <v>18</v>
      </c>
      <c r="F26" s="6">
        <v>200</v>
      </c>
      <c r="G26" s="6" t="s">
        <v>19</v>
      </c>
      <c r="H26" s="6" t="s">
        <v>20</v>
      </c>
      <c r="I26" s="6" t="s">
        <v>21</v>
      </c>
      <c r="J26" s="6" t="s">
        <v>23</v>
      </c>
      <c r="K26" s="6" t="s">
        <v>26</v>
      </c>
      <c r="L26" s="6">
        <v>1</v>
      </c>
      <c r="M26" s="6" t="s">
        <v>17</v>
      </c>
      <c r="N26" s="6">
        <v>2</v>
      </c>
      <c r="O26" s="6" t="s">
        <v>27</v>
      </c>
      <c r="P26" s="7">
        <v>41000</v>
      </c>
      <c r="Q26" s="2" t="s">
        <v>111</v>
      </c>
      <c r="R26" s="2"/>
    </row>
    <row r="27" spans="2:18" ht="25.5" x14ac:dyDescent="0.25">
      <c r="B27" s="6" t="s">
        <v>26</v>
      </c>
      <c r="C27" s="6" t="s">
        <v>99</v>
      </c>
      <c r="D27" s="5">
        <v>3</v>
      </c>
      <c r="E27" s="6" t="s">
        <v>28</v>
      </c>
      <c r="F27" s="6">
        <v>14</v>
      </c>
      <c r="G27" s="6" t="s">
        <v>13</v>
      </c>
      <c r="H27" s="6" t="s">
        <v>14</v>
      </c>
      <c r="I27" s="6" t="s">
        <v>21</v>
      </c>
      <c r="J27" s="6" t="s">
        <v>23</v>
      </c>
      <c r="K27" s="6" t="s">
        <v>26</v>
      </c>
      <c r="L27" s="6">
        <v>1</v>
      </c>
      <c r="M27" s="6" t="s">
        <v>22</v>
      </c>
      <c r="N27" s="6">
        <v>2</v>
      </c>
      <c r="O27" s="6" t="s">
        <v>30</v>
      </c>
      <c r="P27" s="7">
        <v>50000</v>
      </c>
      <c r="R27" s="2"/>
    </row>
    <row r="28" spans="2:18" ht="25.5" x14ac:dyDescent="0.25">
      <c r="B28" s="6" t="s">
        <v>26</v>
      </c>
      <c r="C28" s="6" t="s">
        <v>99</v>
      </c>
      <c r="D28" s="5">
        <v>4</v>
      </c>
      <c r="E28" s="6" t="s">
        <v>31</v>
      </c>
      <c r="F28" s="6">
        <v>14</v>
      </c>
      <c r="G28" s="6" t="s">
        <v>13</v>
      </c>
      <c r="H28" s="6" t="s">
        <v>14</v>
      </c>
      <c r="I28" s="6" t="s">
        <v>21</v>
      </c>
      <c r="J28" s="6" t="s">
        <v>23</v>
      </c>
      <c r="K28" s="6" t="s">
        <v>26</v>
      </c>
      <c r="L28" s="6"/>
      <c r="M28" s="6" t="s">
        <v>22</v>
      </c>
      <c r="N28" s="6">
        <v>2</v>
      </c>
      <c r="O28" s="6" t="s">
        <v>30</v>
      </c>
      <c r="P28" s="7">
        <v>50000</v>
      </c>
      <c r="R28" s="2"/>
    </row>
    <row r="29" spans="2:18" ht="25.5" x14ac:dyDescent="0.25">
      <c r="B29" s="6" t="s">
        <v>26</v>
      </c>
      <c r="C29" s="6" t="s">
        <v>99</v>
      </c>
      <c r="D29" s="5">
        <v>5</v>
      </c>
      <c r="E29" s="6" t="s">
        <v>32</v>
      </c>
      <c r="F29" s="6">
        <v>14</v>
      </c>
      <c r="G29" s="6" t="s">
        <v>13</v>
      </c>
      <c r="H29" s="6" t="s">
        <v>14</v>
      </c>
      <c r="I29" s="6" t="s">
        <v>21</v>
      </c>
      <c r="J29" s="6" t="s">
        <v>23</v>
      </c>
      <c r="K29" s="6" t="s">
        <v>26</v>
      </c>
      <c r="L29" s="6"/>
      <c r="M29" s="6" t="s">
        <v>22</v>
      </c>
      <c r="N29" s="6">
        <v>2</v>
      </c>
      <c r="O29" s="6" t="s">
        <v>30</v>
      </c>
      <c r="P29" s="7">
        <v>50000</v>
      </c>
      <c r="R29" s="2"/>
    </row>
    <row r="30" spans="2:18" ht="25.5" x14ac:dyDescent="0.25">
      <c r="B30" s="6" t="s">
        <v>26</v>
      </c>
      <c r="C30" s="6" t="s">
        <v>99</v>
      </c>
      <c r="D30" s="5">
        <v>6</v>
      </c>
      <c r="E30" s="6" t="s">
        <v>33</v>
      </c>
      <c r="F30" s="6">
        <v>14</v>
      </c>
      <c r="G30" s="6" t="s">
        <v>13</v>
      </c>
      <c r="H30" s="6" t="s">
        <v>14</v>
      </c>
      <c r="I30" s="6" t="s">
        <v>21</v>
      </c>
      <c r="J30" s="6" t="s">
        <v>23</v>
      </c>
      <c r="K30" s="6" t="s">
        <v>26</v>
      </c>
      <c r="L30" s="6"/>
      <c r="M30" s="6" t="s">
        <v>22</v>
      </c>
      <c r="N30" s="6">
        <v>2</v>
      </c>
      <c r="O30" s="6" t="s">
        <v>30</v>
      </c>
      <c r="P30" s="7">
        <v>45000</v>
      </c>
      <c r="R30" s="2"/>
    </row>
    <row r="31" spans="2:18" ht="25.5" x14ac:dyDescent="0.25">
      <c r="B31" s="6" t="s">
        <v>26</v>
      </c>
      <c r="C31" s="6" t="s">
        <v>99</v>
      </c>
      <c r="D31" s="5">
        <v>1</v>
      </c>
      <c r="E31" s="6" t="s">
        <v>34</v>
      </c>
      <c r="F31" s="6">
        <v>243</v>
      </c>
      <c r="G31" s="6" t="s">
        <v>19</v>
      </c>
      <c r="H31" s="6" t="s">
        <v>20</v>
      </c>
      <c r="I31" s="6" t="s">
        <v>35</v>
      </c>
      <c r="J31" s="6" t="s">
        <v>23</v>
      </c>
      <c r="K31" s="6" t="s">
        <v>26</v>
      </c>
      <c r="L31" s="6">
        <v>1</v>
      </c>
      <c r="M31" s="6" t="s">
        <v>17</v>
      </c>
      <c r="N31" s="6">
        <v>2</v>
      </c>
      <c r="O31" s="6" t="s">
        <v>40</v>
      </c>
      <c r="P31" s="7">
        <v>150000</v>
      </c>
      <c r="R31" s="2"/>
    </row>
    <row r="32" spans="2:18" ht="25.5" x14ac:dyDescent="0.25">
      <c r="B32" s="6" t="s">
        <v>26</v>
      </c>
      <c r="C32" s="6" t="s">
        <v>99</v>
      </c>
      <c r="D32" s="5">
        <v>5</v>
      </c>
      <c r="E32" s="6" t="s">
        <v>53</v>
      </c>
      <c r="F32" s="6">
        <v>340</v>
      </c>
      <c r="G32" s="6" t="s">
        <v>19</v>
      </c>
      <c r="H32" s="6" t="s">
        <v>54</v>
      </c>
      <c r="I32" s="6" t="s">
        <v>35</v>
      </c>
      <c r="J32" s="6" t="s">
        <v>23</v>
      </c>
      <c r="K32" s="6" t="s">
        <v>26</v>
      </c>
      <c r="L32" s="6">
        <v>1</v>
      </c>
      <c r="M32" s="6" t="s">
        <v>17</v>
      </c>
      <c r="N32" s="6">
        <v>2</v>
      </c>
      <c r="O32" s="6" t="s">
        <v>40</v>
      </c>
      <c r="P32" s="7">
        <v>310000</v>
      </c>
      <c r="R32" s="2"/>
    </row>
    <row r="33" spans="2:18" ht="25.5" x14ac:dyDescent="0.25">
      <c r="B33" s="6" t="s">
        <v>26</v>
      </c>
      <c r="C33" s="6" t="s">
        <v>99</v>
      </c>
      <c r="D33" s="5">
        <v>1</v>
      </c>
      <c r="E33" s="6" t="s">
        <v>65</v>
      </c>
      <c r="F33" s="6">
        <v>230</v>
      </c>
      <c r="G33" s="6" t="s">
        <v>19</v>
      </c>
      <c r="H33" s="6" t="s">
        <v>20</v>
      </c>
      <c r="I33" s="6" t="s">
        <v>66</v>
      </c>
      <c r="J33" s="6" t="s">
        <v>23</v>
      </c>
      <c r="K33" s="6" t="s">
        <v>95</v>
      </c>
      <c r="L33" s="6">
        <v>1</v>
      </c>
      <c r="M33" s="6" t="s">
        <v>17</v>
      </c>
      <c r="N33" s="6">
        <v>2</v>
      </c>
      <c r="O33" s="6"/>
      <c r="P33" s="7">
        <v>100000</v>
      </c>
      <c r="R33" s="2"/>
    </row>
    <row r="34" spans="2:18" ht="26.25" customHeight="1" x14ac:dyDescent="0.25">
      <c r="B34" s="6" t="s">
        <v>26</v>
      </c>
      <c r="C34" s="6" t="s">
        <v>100</v>
      </c>
      <c r="D34" s="5"/>
      <c r="E34" s="14" t="s">
        <v>116</v>
      </c>
      <c r="F34" s="15"/>
      <c r="G34" s="15"/>
      <c r="H34" s="15"/>
      <c r="I34" s="15"/>
      <c r="J34" s="15"/>
      <c r="K34" s="15"/>
      <c r="L34" s="15"/>
      <c r="M34" s="15"/>
      <c r="N34" s="15"/>
      <c r="O34" s="16"/>
      <c r="P34" s="7">
        <v>103738.69624999999</v>
      </c>
      <c r="R34" s="2"/>
    </row>
    <row r="35" spans="2:18" ht="26.25" customHeight="1" x14ac:dyDescent="0.25">
      <c r="B35" s="17" t="s">
        <v>113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9"/>
      <c r="P35" s="13">
        <f>AVERAGE(P23:P34)</f>
        <v>98495.684131611342</v>
      </c>
      <c r="R35" s="2"/>
    </row>
    <row r="36" spans="2:18" ht="26.25" customHeight="1" x14ac:dyDescent="0.25">
      <c r="B36" s="17" t="s">
        <v>114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9"/>
      <c r="P36" s="13">
        <f>GEOMEAN(P23:P34)</f>
        <v>79010.210686481922</v>
      </c>
      <c r="R36" s="2"/>
    </row>
    <row r="39" spans="2:18" ht="25.5" x14ac:dyDescent="0.25">
      <c r="B39" s="6" t="s">
        <v>60</v>
      </c>
      <c r="C39" s="6"/>
      <c r="D39" s="5">
        <v>3</v>
      </c>
      <c r="E39" s="6" t="s">
        <v>45</v>
      </c>
      <c r="F39" s="6">
        <v>14</v>
      </c>
      <c r="G39" s="6" t="s">
        <v>13</v>
      </c>
      <c r="H39" s="6" t="s">
        <v>14</v>
      </c>
      <c r="I39" s="6" t="s">
        <v>35</v>
      </c>
      <c r="J39" s="6" t="s">
        <v>23</v>
      </c>
      <c r="K39" s="6" t="s">
        <v>48</v>
      </c>
      <c r="L39" s="6">
        <v>1</v>
      </c>
      <c r="M39" s="6" t="s">
        <v>36</v>
      </c>
      <c r="N39" s="6">
        <v>1</v>
      </c>
      <c r="O39" s="6" t="s">
        <v>49</v>
      </c>
      <c r="P39" s="7">
        <v>12000</v>
      </c>
      <c r="Q39" s="2" t="s">
        <v>111</v>
      </c>
      <c r="R39" s="2"/>
    </row>
    <row r="40" spans="2:18" ht="25.5" x14ac:dyDescent="0.25">
      <c r="B40" s="6" t="s">
        <v>60</v>
      </c>
      <c r="C40" s="6"/>
      <c r="D40" s="5">
        <v>4</v>
      </c>
      <c r="E40" s="6" t="s">
        <v>50</v>
      </c>
      <c r="F40" s="6">
        <v>28</v>
      </c>
      <c r="G40" s="6" t="s">
        <v>13</v>
      </c>
      <c r="H40" s="6" t="s">
        <v>14</v>
      </c>
      <c r="I40" s="6" t="s">
        <v>35</v>
      </c>
      <c r="J40" s="6" t="s">
        <v>23</v>
      </c>
      <c r="K40" s="6" t="s">
        <v>48</v>
      </c>
      <c r="L40" s="6">
        <v>1</v>
      </c>
      <c r="M40" s="6" t="s">
        <v>36</v>
      </c>
      <c r="N40" s="6">
        <v>1</v>
      </c>
      <c r="O40" s="6" t="s">
        <v>49</v>
      </c>
      <c r="P40" s="7">
        <v>18000</v>
      </c>
      <c r="R40" s="2"/>
    </row>
    <row r="41" spans="2:18" ht="25.5" x14ac:dyDescent="0.25">
      <c r="B41" s="6" t="s">
        <v>60</v>
      </c>
      <c r="C41" s="6"/>
      <c r="D41" s="5">
        <v>5</v>
      </c>
      <c r="E41" s="6" t="s">
        <v>53</v>
      </c>
      <c r="F41" s="6">
        <v>340</v>
      </c>
      <c r="G41" s="6" t="s">
        <v>19</v>
      </c>
      <c r="H41" s="6" t="s">
        <v>54</v>
      </c>
      <c r="I41" s="6" t="s">
        <v>35</v>
      </c>
      <c r="J41" s="6" t="s">
        <v>23</v>
      </c>
      <c r="K41" s="6" t="s">
        <v>60</v>
      </c>
      <c r="L41" s="6">
        <v>1</v>
      </c>
      <c r="M41" s="6" t="s">
        <v>36</v>
      </c>
      <c r="N41" s="6">
        <v>1</v>
      </c>
      <c r="O41" s="6" t="s">
        <v>61</v>
      </c>
      <c r="P41" s="7">
        <v>132500</v>
      </c>
      <c r="R41" s="2"/>
    </row>
    <row r="42" spans="2:18" ht="25.5" x14ac:dyDescent="0.25">
      <c r="B42" s="6" t="s">
        <v>60</v>
      </c>
      <c r="C42" s="6"/>
      <c r="D42" s="5">
        <v>1</v>
      </c>
      <c r="E42" s="6" t="s">
        <v>65</v>
      </c>
      <c r="F42" s="6">
        <v>230</v>
      </c>
      <c r="G42" s="6" t="s">
        <v>19</v>
      </c>
      <c r="H42" s="6" t="s">
        <v>20</v>
      </c>
      <c r="I42" s="6" t="s">
        <v>66</v>
      </c>
      <c r="J42" s="6" t="s">
        <v>23</v>
      </c>
      <c r="K42" s="6" t="s">
        <v>70</v>
      </c>
      <c r="L42" s="6">
        <v>3</v>
      </c>
      <c r="M42" s="6" t="s">
        <v>22</v>
      </c>
      <c r="N42" s="6">
        <v>4</v>
      </c>
      <c r="O42" s="6" t="s">
        <v>71</v>
      </c>
      <c r="P42" s="7">
        <v>15000</v>
      </c>
      <c r="R42" s="2"/>
    </row>
    <row r="43" spans="2:18" ht="25.5" x14ac:dyDescent="0.25">
      <c r="B43" s="6" t="s">
        <v>60</v>
      </c>
      <c r="C43" s="6"/>
      <c r="D43" s="5">
        <v>1</v>
      </c>
      <c r="E43" s="6" t="s">
        <v>65</v>
      </c>
      <c r="F43" s="6">
        <v>230</v>
      </c>
      <c r="G43" s="6" t="s">
        <v>19</v>
      </c>
      <c r="H43" s="6" t="s">
        <v>20</v>
      </c>
      <c r="I43" s="6" t="s">
        <v>66</v>
      </c>
      <c r="J43" s="6" t="s">
        <v>23</v>
      </c>
      <c r="K43" s="6" t="s">
        <v>72</v>
      </c>
      <c r="L43" s="6">
        <v>1</v>
      </c>
      <c r="M43" s="6" t="s">
        <v>22</v>
      </c>
      <c r="N43" s="6">
        <v>4</v>
      </c>
      <c r="O43" s="6" t="s">
        <v>73</v>
      </c>
      <c r="P43" s="7">
        <v>13000</v>
      </c>
      <c r="R43" s="2"/>
    </row>
    <row r="44" spans="2:18" ht="26.25" customHeight="1" x14ac:dyDescent="0.25">
      <c r="B44" s="6" t="s">
        <v>60</v>
      </c>
      <c r="C44" s="6" t="s">
        <v>100</v>
      </c>
      <c r="D44" s="5"/>
      <c r="E44" s="14" t="s">
        <v>117</v>
      </c>
      <c r="F44" s="15"/>
      <c r="G44" s="15"/>
      <c r="H44" s="15"/>
      <c r="I44" s="15"/>
      <c r="J44" s="15"/>
      <c r="K44" s="15"/>
      <c r="L44" s="15"/>
      <c r="M44" s="15"/>
      <c r="N44" s="15"/>
      <c r="O44" s="16"/>
      <c r="P44" s="7">
        <v>52437.072333333337</v>
      </c>
      <c r="R44" s="2"/>
    </row>
    <row r="45" spans="2:18" ht="26.25" customHeight="1" x14ac:dyDescent="0.25">
      <c r="B45" s="17" t="s">
        <v>113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9"/>
      <c r="P45" s="13">
        <f>AVERAGE(P33:P44)</f>
        <v>62418.166340142649</v>
      </c>
      <c r="R45" s="2"/>
    </row>
    <row r="46" spans="2:18" ht="26.25" customHeight="1" x14ac:dyDescent="0.25">
      <c r="B46" s="17" t="s">
        <v>114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9"/>
      <c r="P46" s="13">
        <f>GEOMEAN(P33:P44)</f>
        <v>43384.878780896928</v>
      </c>
      <c r="R46" s="2"/>
    </row>
    <row r="49" spans="2:18" ht="25.5" x14ac:dyDescent="0.25">
      <c r="B49" s="6" t="s">
        <v>97</v>
      </c>
      <c r="C49" s="6"/>
      <c r="D49" s="5">
        <v>1</v>
      </c>
      <c r="E49" s="6" t="s">
        <v>34</v>
      </c>
      <c r="F49" s="6">
        <v>243</v>
      </c>
      <c r="G49" s="6" t="s">
        <v>19</v>
      </c>
      <c r="H49" s="6" t="s">
        <v>20</v>
      </c>
      <c r="I49" s="6" t="s">
        <v>35</v>
      </c>
      <c r="J49" s="6" t="s">
        <v>23</v>
      </c>
      <c r="K49" s="6" t="s">
        <v>41</v>
      </c>
      <c r="L49" s="6">
        <v>1</v>
      </c>
      <c r="M49" s="6" t="s">
        <v>15</v>
      </c>
      <c r="N49" s="6">
        <v>6</v>
      </c>
      <c r="O49" s="6" t="s">
        <v>42</v>
      </c>
      <c r="P49" s="7">
        <v>300000</v>
      </c>
      <c r="R49" s="2"/>
    </row>
    <row r="50" spans="2:18" ht="25.5" x14ac:dyDescent="0.25">
      <c r="B50" s="6" t="s">
        <v>97</v>
      </c>
      <c r="C50" s="6"/>
      <c r="D50" s="5">
        <v>3</v>
      </c>
      <c r="E50" s="6" t="s">
        <v>45</v>
      </c>
      <c r="F50" s="6">
        <v>14</v>
      </c>
      <c r="G50" s="6" t="s">
        <v>13</v>
      </c>
      <c r="H50" s="6" t="s">
        <v>14</v>
      </c>
      <c r="I50" s="6" t="s">
        <v>35</v>
      </c>
      <c r="J50" s="6" t="s">
        <v>23</v>
      </c>
      <c r="K50" s="6" t="s">
        <v>47</v>
      </c>
      <c r="L50" s="6">
        <v>1</v>
      </c>
      <c r="M50" s="6" t="s">
        <v>17</v>
      </c>
      <c r="N50" s="6">
        <v>2</v>
      </c>
      <c r="O50" s="6" t="s">
        <v>42</v>
      </c>
      <c r="P50" s="7">
        <v>300000</v>
      </c>
      <c r="R50" s="2"/>
    </row>
    <row r="51" spans="2:18" ht="25.5" x14ac:dyDescent="0.25">
      <c r="B51" s="6" t="s">
        <v>97</v>
      </c>
      <c r="C51" s="6"/>
      <c r="D51" s="5">
        <v>4</v>
      </c>
      <c r="E51" s="6" t="s">
        <v>50</v>
      </c>
      <c r="F51" s="6">
        <v>28</v>
      </c>
      <c r="G51" s="6" t="s">
        <v>13</v>
      </c>
      <c r="H51" s="6" t="s">
        <v>14</v>
      </c>
      <c r="I51" s="6" t="s">
        <v>35</v>
      </c>
      <c r="J51" s="6" t="s">
        <v>23</v>
      </c>
      <c r="K51" s="6" t="s">
        <v>47</v>
      </c>
      <c r="L51" s="6">
        <v>1</v>
      </c>
      <c r="M51" s="6" t="s">
        <v>17</v>
      </c>
      <c r="N51" s="6">
        <v>2</v>
      </c>
      <c r="O51" s="6" t="s">
        <v>42</v>
      </c>
      <c r="P51" s="7">
        <v>140000</v>
      </c>
      <c r="R51" s="2"/>
    </row>
    <row r="52" spans="2:18" ht="25.5" x14ac:dyDescent="0.25">
      <c r="B52" s="6" t="s">
        <v>97</v>
      </c>
      <c r="C52" s="6"/>
      <c r="D52" s="5">
        <v>4</v>
      </c>
      <c r="E52" s="6" t="s">
        <v>50</v>
      </c>
      <c r="F52" s="6">
        <v>28</v>
      </c>
      <c r="G52" s="6" t="s">
        <v>13</v>
      </c>
      <c r="H52" s="6" t="s">
        <v>14</v>
      </c>
      <c r="I52" s="6" t="s">
        <v>35</v>
      </c>
      <c r="J52" s="6" t="s">
        <v>23</v>
      </c>
      <c r="K52" s="6" t="s">
        <v>51</v>
      </c>
      <c r="L52" s="6">
        <v>1</v>
      </c>
      <c r="M52" s="6" t="s">
        <v>16</v>
      </c>
      <c r="N52" s="6">
        <v>12</v>
      </c>
      <c r="O52" s="6" t="s">
        <v>52</v>
      </c>
      <c r="P52" s="7">
        <v>120000</v>
      </c>
      <c r="R52" s="2"/>
    </row>
    <row r="53" spans="2:18" x14ac:dyDescent="0.25">
      <c r="B53" s="6" t="s">
        <v>97</v>
      </c>
      <c r="C53" s="6"/>
      <c r="D53" s="5">
        <v>5</v>
      </c>
      <c r="E53" s="6" t="s">
        <v>53</v>
      </c>
      <c r="F53" s="6">
        <v>340</v>
      </c>
      <c r="G53" s="6" t="s">
        <v>19</v>
      </c>
      <c r="H53" s="6" t="s">
        <v>54</v>
      </c>
      <c r="I53" s="6" t="s">
        <v>35</v>
      </c>
      <c r="J53" s="6" t="s">
        <v>23</v>
      </c>
      <c r="K53" s="6" t="s">
        <v>55</v>
      </c>
      <c r="L53" s="6">
        <v>1</v>
      </c>
      <c r="M53" s="6" t="s">
        <v>22</v>
      </c>
      <c r="N53" s="6">
        <v>4</v>
      </c>
      <c r="O53" s="6" t="s">
        <v>56</v>
      </c>
      <c r="P53" s="7">
        <v>150000</v>
      </c>
      <c r="R53" s="2"/>
    </row>
    <row r="54" spans="2:18" x14ac:dyDescent="0.25">
      <c r="B54" s="6" t="s">
        <v>97</v>
      </c>
      <c r="C54" s="6"/>
      <c r="D54" s="5">
        <v>5</v>
      </c>
      <c r="E54" s="6" t="s">
        <v>53</v>
      </c>
      <c r="F54" s="6">
        <v>340</v>
      </c>
      <c r="G54" s="6" t="s">
        <v>19</v>
      </c>
      <c r="H54" s="6" t="s">
        <v>54</v>
      </c>
      <c r="I54" s="6" t="s">
        <v>35</v>
      </c>
      <c r="J54" s="6" t="s">
        <v>23</v>
      </c>
      <c r="K54" s="6" t="s">
        <v>57</v>
      </c>
      <c r="L54" s="6">
        <v>1</v>
      </c>
      <c r="M54" s="6" t="s">
        <v>36</v>
      </c>
      <c r="N54" s="6">
        <v>1</v>
      </c>
      <c r="O54" s="6" t="s">
        <v>39</v>
      </c>
      <c r="P54" s="7">
        <v>105000</v>
      </c>
      <c r="R54" s="2"/>
    </row>
    <row r="55" spans="2:18" x14ac:dyDescent="0.25">
      <c r="B55" s="6" t="s">
        <v>97</v>
      </c>
      <c r="C55" s="6"/>
      <c r="D55" s="5">
        <v>5</v>
      </c>
      <c r="E55" s="6" t="s">
        <v>53</v>
      </c>
      <c r="F55" s="6">
        <v>340</v>
      </c>
      <c r="G55" s="6" t="s">
        <v>19</v>
      </c>
      <c r="H55" s="6" t="s">
        <v>54</v>
      </c>
      <c r="I55" s="6" t="s">
        <v>35</v>
      </c>
      <c r="J55" s="6" t="s">
        <v>23</v>
      </c>
      <c r="K55" s="6" t="s">
        <v>62</v>
      </c>
      <c r="L55" s="6">
        <v>1</v>
      </c>
      <c r="M55" s="6" t="s">
        <v>17</v>
      </c>
      <c r="N55" s="6">
        <v>2</v>
      </c>
      <c r="O55" s="6" t="s">
        <v>63</v>
      </c>
      <c r="P55" s="7">
        <v>230000</v>
      </c>
      <c r="R55" s="2"/>
    </row>
    <row r="56" spans="2:18" ht="25.5" x14ac:dyDescent="0.25">
      <c r="B56" s="6" t="s">
        <v>97</v>
      </c>
      <c r="C56" s="6"/>
      <c r="D56" s="5">
        <v>5</v>
      </c>
      <c r="E56" s="6" t="s">
        <v>53</v>
      </c>
      <c r="F56" s="6">
        <v>340</v>
      </c>
      <c r="G56" s="6" t="s">
        <v>19</v>
      </c>
      <c r="H56" s="6" t="s">
        <v>54</v>
      </c>
      <c r="I56" s="6" t="s">
        <v>35</v>
      </c>
      <c r="J56" s="6" t="s">
        <v>23</v>
      </c>
      <c r="K56" s="6" t="s">
        <v>64</v>
      </c>
      <c r="L56" s="6">
        <v>1</v>
      </c>
      <c r="M56" s="6" t="s">
        <v>36</v>
      </c>
      <c r="N56" s="6">
        <v>1</v>
      </c>
      <c r="O56" s="6"/>
      <c r="P56" s="7">
        <v>900000</v>
      </c>
      <c r="R56" s="2"/>
    </row>
    <row r="57" spans="2:18" ht="25.5" x14ac:dyDescent="0.25">
      <c r="B57" s="6" t="s">
        <v>97</v>
      </c>
      <c r="C57" s="6"/>
      <c r="D57" s="5">
        <v>1</v>
      </c>
      <c r="E57" s="6" t="s">
        <v>65</v>
      </c>
      <c r="F57" s="6">
        <v>230</v>
      </c>
      <c r="G57" s="6" t="s">
        <v>19</v>
      </c>
      <c r="H57" s="6" t="s">
        <v>20</v>
      </c>
      <c r="I57" s="6" t="s">
        <v>66</v>
      </c>
      <c r="J57" s="6" t="s">
        <v>23</v>
      </c>
      <c r="K57" s="6" t="s">
        <v>67</v>
      </c>
      <c r="L57" s="6">
        <v>3</v>
      </c>
      <c r="M57" s="6" t="s">
        <v>22</v>
      </c>
      <c r="N57" s="6">
        <v>4</v>
      </c>
      <c r="O57" s="6" t="s">
        <v>68</v>
      </c>
      <c r="P57" s="7">
        <v>66666.666666666672</v>
      </c>
    </row>
    <row r="58" spans="2:18" x14ac:dyDescent="0.25">
      <c r="B58" s="6" t="s">
        <v>97</v>
      </c>
      <c r="C58" s="6"/>
      <c r="D58" s="5">
        <v>1</v>
      </c>
      <c r="E58" s="6" t="s">
        <v>65</v>
      </c>
      <c r="F58" s="6">
        <v>230</v>
      </c>
      <c r="G58" s="6" t="s">
        <v>19</v>
      </c>
      <c r="H58" s="6" t="s">
        <v>20</v>
      </c>
      <c r="I58" s="6" t="s">
        <v>66</v>
      </c>
      <c r="J58" s="6" t="s">
        <v>23</v>
      </c>
      <c r="K58" s="6" t="s">
        <v>74</v>
      </c>
      <c r="L58" s="6">
        <v>3</v>
      </c>
      <c r="M58" s="6" t="s">
        <v>36</v>
      </c>
      <c r="N58" s="6">
        <v>1</v>
      </c>
      <c r="O58" s="6"/>
      <c r="P58" s="7">
        <v>15000</v>
      </c>
      <c r="R58" s="2"/>
    </row>
    <row r="59" spans="2:18" x14ac:dyDescent="0.25">
      <c r="B59" s="6" t="s">
        <v>97</v>
      </c>
      <c r="C59" s="6"/>
      <c r="D59" s="5">
        <v>1</v>
      </c>
      <c r="E59" s="6" t="s">
        <v>65</v>
      </c>
      <c r="F59" s="6">
        <v>230</v>
      </c>
      <c r="G59" s="6" t="s">
        <v>19</v>
      </c>
      <c r="H59" s="6" t="s">
        <v>20</v>
      </c>
      <c r="I59" s="6" t="s">
        <v>66</v>
      </c>
      <c r="J59" s="6" t="s">
        <v>23</v>
      </c>
      <c r="K59" s="6" t="s">
        <v>75</v>
      </c>
      <c r="L59" s="6">
        <v>1</v>
      </c>
      <c r="M59" s="6" t="s">
        <v>22</v>
      </c>
      <c r="N59" s="6">
        <v>4</v>
      </c>
      <c r="O59" s="6" t="s">
        <v>76</v>
      </c>
      <c r="P59" s="7">
        <v>65000</v>
      </c>
      <c r="R59" s="2"/>
    </row>
    <row r="60" spans="2:18" x14ac:dyDescent="0.25">
      <c r="B60" s="6" t="s">
        <v>97</v>
      </c>
      <c r="C60" s="6"/>
      <c r="D60" s="5">
        <v>2</v>
      </c>
      <c r="E60" s="6" t="s">
        <v>77</v>
      </c>
      <c r="F60" s="6">
        <v>14</v>
      </c>
      <c r="G60" s="6" t="s">
        <v>13</v>
      </c>
      <c r="H60" s="6" t="s">
        <v>78</v>
      </c>
      <c r="I60" s="6" t="s">
        <v>66</v>
      </c>
      <c r="J60" s="6" t="s">
        <v>23</v>
      </c>
      <c r="K60" s="6" t="s">
        <v>94</v>
      </c>
      <c r="L60" s="6">
        <v>2</v>
      </c>
      <c r="M60" s="6" t="s">
        <v>36</v>
      </c>
      <c r="N60" s="6">
        <v>1</v>
      </c>
      <c r="O60" s="6" t="s">
        <v>79</v>
      </c>
      <c r="P60" s="7">
        <v>128000</v>
      </c>
      <c r="R60" s="2"/>
    </row>
    <row r="61" spans="2:18" x14ac:dyDescent="0.25">
      <c r="B61" s="6" t="s">
        <v>97</v>
      </c>
      <c r="C61" s="6"/>
      <c r="D61" s="5">
        <v>2</v>
      </c>
      <c r="E61" s="6" t="s">
        <v>77</v>
      </c>
      <c r="F61" s="6">
        <v>14</v>
      </c>
      <c r="G61" s="6" t="s">
        <v>13</v>
      </c>
      <c r="H61" s="6" t="s">
        <v>78</v>
      </c>
      <c r="I61" s="6" t="s">
        <v>66</v>
      </c>
      <c r="J61" s="6" t="s">
        <v>23</v>
      </c>
      <c r="K61" s="6" t="s">
        <v>80</v>
      </c>
      <c r="L61" s="6">
        <v>8</v>
      </c>
      <c r="M61" s="6" t="s">
        <v>36</v>
      </c>
      <c r="N61" s="6">
        <v>1</v>
      </c>
      <c r="O61" s="6" t="s">
        <v>81</v>
      </c>
      <c r="P61" s="7">
        <v>12000</v>
      </c>
      <c r="R61" s="2"/>
    </row>
    <row r="62" spans="2:18" x14ac:dyDescent="0.25">
      <c r="B62" s="6" t="s">
        <v>97</v>
      </c>
      <c r="C62" s="6"/>
      <c r="D62" s="5">
        <v>2</v>
      </c>
      <c r="E62" s="6" t="s">
        <v>77</v>
      </c>
      <c r="F62" s="6">
        <v>14</v>
      </c>
      <c r="G62" s="6" t="s">
        <v>13</v>
      </c>
      <c r="H62" s="6" t="s">
        <v>78</v>
      </c>
      <c r="I62" s="6" t="s">
        <v>66</v>
      </c>
      <c r="J62" s="6" t="s">
        <v>23</v>
      </c>
      <c r="K62" s="6" t="s">
        <v>82</v>
      </c>
      <c r="L62" s="6">
        <v>1</v>
      </c>
      <c r="M62" s="6" t="s">
        <v>36</v>
      </c>
      <c r="N62" s="6">
        <v>1</v>
      </c>
      <c r="O62" s="6" t="s">
        <v>83</v>
      </c>
      <c r="P62" s="7">
        <v>55000</v>
      </c>
      <c r="R62" s="2"/>
    </row>
    <row r="63" spans="2:18" x14ac:dyDescent="0.25">
      <c r="B63" s="6" t="s">
        <v>97</v>
      </c>
      <c r="C63" s="6"/>
      <c r="D63" s="5">
        <v>2</v>
      </c>
      <c r="E63" s="6" t="s">
        <v>77</v>
      </c>
      <c r="F63" s="6">
        <v>14</v>
      </c>
      <c r="G63" s="6" t="s">
        <v>13</v>
      </c>
      <c r="H63" s="6" t="s">
        <v>78</v>
      </c>
      <c r="I63" s="6" t="s">
        <v>66</v>
      </c>
      <c r="J63" s="6" t="s">
        <v>23</v>
      </c>
      <c r="K63" s="6" t="s">
        <v>84</v>
      </c>
      <c r="L63" s="6">
        <v>1</v>
      </c>
      <c r="M63" s="6" t="s">
        <v>85</v>
      </c>
      <c r="N63" s="6">
        <v>0.33333333333333331</v>
      </c>
      <c r="O63" s="6" t="s">
        <v>86</v>
      </c>
      <c r="P63" s="7">
        <v>100000</v>
      </c>
      <c r="R63" s="2"/>
    </row>
    <row r="64" spans="2:18" x14ac:dyDescent="0.25">
      <c r="B64" s="6" t="s">
        <v>97</v>
      </c>
      <c r="C64" s="6"/>
      <c r="D64" s="5">
        <v>3</v>
      </c>
      <c r="E64" s="6" t="s">
        <v>87</v>
      </c>
      <c r="F64" s="6">
        <v>13</v>
      </c>
      <c r="G64" s="6" t="s">
        <v>13</v>
      </c>
      <c r="H64" s="6" t="s">
        <v>78</v>
      </c>
      <c r="I64" s="6" t="s">
        <v>66</v>
      </c>
      <c r="J64" s="6" t="s">
        <v>23</v>
      </c>
      <c r="K64" s="6" t="s">
        <v>94</v>
      </c>
      <c r="L64" s="6">
        <v>2</v>
      </c>
      <c r="M64" s="6" t="s">
        <v>36</v>
      </c>
      <c r="N64" s="6">
        <v>1</v>
      </c>
      <c r="O64" s="6" t="s">
        <v>88</v>
      </c>
      <c r="P64" s="7">
        <v>52500</v>
      </c>
      <c r="R64" s="2"/>
    </row>
    <row r="65" spans="2:18" x14ac:dyDescent="0.25">
      <c r="B65" s="6" t="s">
        <v>97</v>
      </c>
      <c r="C65" s="6"/>
      <c r="D65" s="5">
        <v>3</v>
      </c>
      <c r="E65" s="6" t="s">
        <v>87</v>
      </c>
      <c r="F65" s="6">
        <v>13</v>
      </c>
      <c r="G65" s="6" t="s">
        <v>13</v>
      </c>
      <c r="H65" s="6" t="s">
        <v>78</v>
      </c>
      <c r="I65" s="6" t="s">
        <v>66</v>
      </c>
      <c r="J65" s="6" t="s">
        <v>23</v>
      </c>
      <c r="K65" s="6" t="s">
        <v>80</v>
      </c>
      <c r="L65" s="6">
        <v>7</v>
      </c>
      <c r="M65" s="6" t="s">
        <v>36</v>
      </c>
      <c r="N65" s="6">
        <v>1</v>
      </c>
      <c r="O65" s="6" t="s">
        <v>89</v>
      </c>
      <c r="P65" s="7">
        <v>25000</v>
      </c>
      <c r="R65" s="2"/>
    </row>
    <row r="66" spans="2:18" ht="25.5" x14ac:dyDescent="0.25">
      <c r="B66" s="6" t="s">
        <v>97</v>
      </c>
      <c r="C66" s="6"/>
      <c r="D66" s="5">
        <v>4</v>
      </c>
      <c r="E66" s="6" t="s">
        <v>90</v>
      </c>
      <c r="F66" s="6">
        <v>300</v>
      </c>
      <c r="G66" s="6" t="s">
        <v>43</v>
      </c>
      <c r="H66" s="6" t="s">
        <v>44</v>
      </c>
      <c r="I66" s="6" t="s">
        <v>66</v>
      </c>
      <c r="J66" s="6" t="s">
        <v>23</v>
      </c>
      <c r="K66" s="6" t="s">
        <v>94</v>
      </c>
      <c r="L66" s="6">
        <v>2</v>
      </c>
      <c r="M66" s="6" t="s">
        <v>36</v>
      </c>
      <c r="N66" s="6">
        <v>1</v>
      </c>
      <c r="O66" s="6" t="s">
        <v>91</v>
      </c>
      <c r="P66" s="7">
        <v>150000</v>
      </c>
      <c r="R66" s="2"/>
    </row>
    <row r="67" spans="2:18" ht="25.5" x14ac:dyDescent="0.25">
      <c r="B67" s="6" t="s">
        <v>97</v>
      </c>
      <c r="C67" s="6"/>
      <c r="D67" s="5">
        <v>4</v>
      </c>
      <c r="E67" s="6" t="s">
        <v>90</v>
      </c>
      <c r="F67" s="6">
        <v>300</v>
      </c>
      <c r="G67" s="6" t="s">
        <v>43</v>
      </c>
      <c r="H67" s="6" t="s">
        <v>44</v>
      </c>
      <c r="I67" s="6" t="s">
        <v>66</v>
      </c>
      <c r="J67" s="6" t="s">
        <v>23</v>
      </c>
      <c r="K67" s="6" t="s">
        <v>92</v>
      </c>
      <c r="L67" s="6">
        <v>2</v>
      </c>
      <c r="M67" s="6" t="s">
        <v>22</v>
      </c>
      <c r="N67" s="6">
        <v>4</v>
      </c>
      <c r="O67" s="6" t="s">
        <v>93</v>
      </c>
      <c r="P67" s="7">
        <v>25000</v>
      </c>
      <c r="R67" s="2"/>
    </row>
    <row r="68" spans="2:18" x14ac:dyDescent="0.25">
      <c r="B68" s="6" t="s">
        <v>97</v>
      </c>
      <c r="C68" s="6"/>
      <c r="D68" s="5">
        <v>1</v>
      </c>
      <c r="E68" s="6" t="s">
        <v>34</v>
      </c>
      <c r="F68" s="6">
        <v>243</v>
      </c>
      <c r="G68" s="6" t="s">
        <v>19</v>
      </c>
      <c r="H68" s="6" t="s">
        <v>20</v>
      </c>
      <c r="I68" s="6" t="s">
        <v>35</v>
      </c>
      <c r="J68" s="6" t="s">
        <v>23</v>
      </c>
      <c r="K68" s="6" t="s">
        <v>37</v>
      </c>
      <c r="L68" s="6">
        <v>1</v>
      </c>
      <c r="M68" s="6" t="s">
        <v>36</v>
      </c>
      <c r="N68" s="6">
        <v>1</v>
      </c>
      <c r="O68" s="6" t="s">
        <v>38</v>
      </c>
      <c r="P68" s="7">
        <v>7185</v>
      </c>
      <c r="R68" s="2"/>
    </row>
  </sheetData>
  <autoFilter ref="B2:P68"/>
  <sortState ref="B3:Q68">
    <sortCondition ref="B3:B68"/>
  </sortState>
  <mergeCells count="11">
    <mergeCell ref="E44:O44"/>
    <mergeCell ref="B45:O45"/>
    <mergeCell ref="B46:O46"/>
    <mergeCell ref="B6:O6"/>
    <mergeCell ref="B7:O7"/>
    <mergeCell ref="B22:O22"/>
    <mergeCell ref="B23:O23"/>
    <mergeCell ref="E21:O21"/>
    <mergeCell ref="E34:O34"/>
    <mergeCell ref="B35:O35"/>
    <mergeCell ref="B36:O36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IF(G3="Institucional",'C:\Users\robinson.parada\UNIDAD D\ROBINSON.PARADA\Mis documentos\ESTUDIO DE MERCADO\2017\218A232. SERV PRIMERA INF E2\INF COSTEO\DOT BTA\[PLANTILLA CONSOLIDADA.xlsx]Listas'!#REF!,IF(G3="Familiar",'C:\Users\robinson.parada\UNIDAD D\ROBINSON.PARADA\Mis documentos\ESTUDIO DE MERCADO\2017\218A232. SERV PRIMERA INF E2\INF COSTEO\DOT BTA\[PLANTILLA CONSOLIDADA.xlsx]Listas'!#REF!,IF(G3="Comunitaria",'C:\Users\robinson.parada\UNIDAD D\ROBINSON.PARADA\Mis documentos\ESTUDIO DE MERCADO\2017\218A232. SERV PRIMERA INF E2\INF COSTEO\DOT BTA\[PLANTILLA CONSOLIDADA.xlsx]Listas'!#REF!,)))</xm:f>
          </x14:formula1>
          <xm:sqref>H49:H55 H10:H18 H27:H33 H3:H5</xm:sqref>
        </x14:dataValidation>
        <x14:dataValidation type="list" allowBlank="1" showInputMessage="1" showErrorMessage="1">
          <x14:formula1>
            <xm:f>'C:\Users\robinson.parada\UNIDAD D\ROBINSON.PARADA\Mis documentos\ESTUDIO DE MERCADO\2017\218A232. SERV PRIMERA INF E2\INF COSTEO\DOT BTA\[PLANTILLA CONSOLIDADA.xlsx]Listas'!#REF!</xm:f>
          </x14:formula1>
          <xm:sqref>J49:J55 G42 G49:G55 I42:J42 G10:G20 I49:I56 G26:G33 I10:J20 I26:J33 I3 G3:G5 J3:J5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Robinson Hernan Parada Barajas</dc:creator>
  <cp:lastModifiedBy>Robinson Hernan Parada Barajas</cp:lastModifiedBy>
  <dcterms:created xsi:type="dcterms:W3CDTF">2017-09-19T21:44:59Z</dcterms:created>
  <dcterms:modified xsi:type="dcterms:W3CDTF">2018-02-15T20:53:44Z</dcterms:modified>
</cp:coreProperties>
</file>