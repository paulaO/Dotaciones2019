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123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INFINITO/Documents/GitHub/Infraestructura-Dotaciones2019/5.GestionDotaciones/AbuDhabi/CDI-CiudadelaMia-Choco/"/>
    </mc:Choice>
  </mc:AlternateContent>
  <xr:revisionPtr revIDLastSave="0" documentId="8_{5DFF07AE-07F1-DE44-A954-DA2CE10DF3C6}" xr6:coauthVersionLast="40" xr6:coauthVersionMax="40" xr10:uidLastSave="{00000000-0000-0000-0000-000000000000}"/>
  <bookViews>
    <workbookView xWindow="0" yWindow="460" windowWidth="13060" windowHeight="14060" tabRatio="776" activeTab="2" xr2:uid="{00000000-000D-0000-FFFF-FFFF00000000}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10" i="3" l="1"/>
  <c r="E25" i="2" l="1"/>
  <c r="D25" i="2"/>
  <c r="N1" i="1" l="1"/>
  <c r="H3" i="1"/>
  <c r="N885" i="1" s="1"/>
  <c r="O885" i="1" s="1"/>
  <c r="I3" i="1"/>
  <c r="N1135" i="1" s="1"/>
  <c r="O1135" i="1" s="1"/>
  <c r="J3" i="1"/>
  <c r="N444" i="1" s="1"/>
  <c r="O444" i="1" s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 s="1"/>
  <c r="O254" i="1"/>
  <c r="O258" i="1"/>
  <c r="O264" i="1"/>
  <c r="O265" i="1"/>
  <c r="O266" i="1"/>
  <c r="O267" i="1"/>
  <c r="O269" i="1"/>
  <c r="M271" i="1"/>
  <c r="N282" i="1"/>
  <c r="O282" i="1" s="1"/>
  <c r="N283" i="1"/>
  <c r="O283" i="1"/>
  <c r="N285" i="1"/>
  <c r="O285" i="1" s="1"/>
  <c r="O289" i="1"/>
  <c r="O290" i="1"/>
  <c r="O294" i="1"/>
  <c r="O301" i="1"/>
  <c r="O302" i="1"/>
  <c r="O310" i="1"/>
  <c r="O313" i="1"/>
  <c r="O316" i="1"/>
  <c r="O319" i="1"/>
  <c r="N321" i="1"/>
  <c r="O321" i="1" s="1"/>
  <c r="O324" i="1"/>
  <c r="O325" i="1"/>
  <c r="N329" i="1"/>
  <c r="O329" i="1" s="1"/>
  <c r="N332" i="1"/>
  <c r="O332" i="1" s="1"/>
  <c r="N337" i="1"/>
  <c r="O337" i="1" s="1"/>
  <c r="N339" i="1"/>
  <c r="O339" i="1" s="1"/>
  <c r="N340" i="1"/>
  <c r="O340" i="1" s="1"/>
  <c r="N341" i="1"/>
  <c r="O341" i="1" s="1"/>
  <c r="N342" i="1"/>
  <c r="O342" i="1" s="1"/>
  <c r="N344" i="1"/>
  <c r="O344" i="1" s="1"/>
  <c r="N345" i="1"/>
  <c r="O345" i="1" s="1"/>
  <c r="N346" i="1"/>
  <c r="O346" i="1" s="1"/>
  <c r="N351" i="1"/>
  <c r="O351" i="1" s="1"/>
  <c r="N353" i="1"/>
  <c r="O353" i="1" s="1"/>
  <c r="N354" i="1"/>
  <c r="O354" i="1" s="1"/>
  <c r="O355" i="1"/>
  <c r="O356" i="1"/>
  <c r="O357" i="1"/>
  <c r="O358" i="1"/>
  <c r="O360" i="1"/>
  <c r="O363" i="1"/>
  <c r="O364" i="1"/>
  <c r="O365" i="1"/>
  <c r="N366" i="1"/>
  <c r="O366" i="1" s="1"/>
  <c r="O367" i="1"/>
  <c r="O370" i="1"/>
  <c r="N374" i="1"/>
  <c r="O374" i="1"/>
  <c r="O375" i="1"/>
  <c r="O382" i="1"/>
  <c r="O383" i="1"/>
  <c r="O395" i="1"/>
  <c r="O396" i="1"/>
  <c r="O398" i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/>
  <c r="N406" i="1"/>
  <c r="O406" i="1" s="1"/>
  <c r="N407" i="1"/>
  <c r="O407" i="1" s="1"/>
  <c r="N408" i="1"/>
  <c r="O408" i="1" s="1"/>
  <c r="O412" i="1"/>
  <c r="N416" i="1"/>
  <c r="O416" i="1" s="1"/>
  <c r="N417" i="1"/>
  <c r="O417" i="1" s="1"/>
  <c r="N418" i="1"/>
  <c r="O418" i="1"/>
  <c r="N419" i="1"/>
  <c r="O419" i="1" s="1"/>
  <c r="N420" i="1"/>
  <c r="O420" i="1"/>
  <c r="O422" i="1"/>
  <c r="O423" i="1"/>
  <c r="N424" i="1"/>
  <c r="O424" i="1" s="1"/>
  <c r="N425" i="1"/>
  <c r="O425" i="1" s="1"/>
  <c r="N426" i="1"/>
  <c r="O426" i="1" s="1"/>
  <c r="N427" i="1"/>
  <c r="O427" i="1"/>
  <c r="N428" i="1"/>
  <c r="O428" i="1" s="1"/>
  <c r="O429" i="1"/>
  <c r="O430" i="1"/>
  <c r="O431" i="1"/>
  <c r="N433" i="1"/>
  <c r="O433" i="1" s="1"/>
  <c r="N434" i="1"/>
  <c r="O434" i="1" s="1"/>
  <c r="O436" i="1"/>
  <c r="O439" i="1"/>
  <c r="N446" i="1"/>
  <c r="O446" i="1" s="1"/>
  <c r="O460" i="1"/>
  <c r="O461" i="1"/>
  <c r="O463" i="1"/>
  <c r="O464" i="1"/>
  <c r="N475" i="1"/>
  <c r="O475" i="1" s="1"/>
  <c r="N490" i="1"/>
  <c r="O490" i="1" s="1"/>
  <c r="N491" i="1"/>
  <c r="O491" i="1" s="1"/>
  <c r="O492" i="1"/>
  <c r="N493" i="1"/>
  <c r="O493" i="1"/>
  <c r="N494" i="1"/>
  <c r="O494" i="1" s="1"/>
  <c r="N495" i="1"/>
  <c r="O495" i="1" s="1"/>
  <c r="O496" i="1"/>
  <c r="N497" i="1"/>
  <c r="O497" i="1" s="1"/>
  <c r="N498" i="1"/>
  <c r="O498" i="1" s="1"/>
  <c r="N499" i="1"/>
  <c r="O499" i="1" s="1"/>
  <c r="O502" i="1"/>
  <c r="O503" i="1"/>
  <c r="O504" i="1"/>
  <c r="O505" i="1"/>
  <c r="N506" i="1"/>
  <c r="O506" i="1" s="1"/>
  <c r="O507" i="1"/>
  <c r="M509" i="1"/>
  <c r="N509" i="1"/>
  <c r="O509" i="1" s="1"/>
  <c r="N520" i="1"/>
  <c r="O520" i="1"/>
  <c r="N521" i="1"/>
  <c r="O521" i="1" s="1"/>
  <c r="N523" i="1"/>
  <c r="O523" i="1" s="1"/>
  <c r="N524" i="1"/>
  <c r="O524" i="1" s="1"/>
  <c r="N525" i="1"/>
  <c r="O525" i="1" s="1"/>
  <c r="N526" i="1"/>
  <c r="O526" i="1" s="1"/>
  <c r="O527" i="1"/>
  <c r="O528" i="1"/>
  <c r="N530" i="1"/>
  <c r="O530" i="1" s="1"/>
  <c r="N531" i="1"/>
  <c r="O531" i="1" s="1"/>
  <c r="O532" i="1"/>
  <c r="N533" i="1"/>
  <c r="O533" i="1" s="1"/>
  <c r="N534" i="1"/>
  <c r="O534" i="1" s="1"/>
  <c r="N535" i="1"/>
  <c r="O535" i="1" s="1"/>
  <c r="N536" i="1"/>
  <c r="O536" i="1"/>
  <c r="N537" i="1"/>
  <c r="O537" i="1" s="1"/>
  <c r="O539" i="1"/>
  <c r="O540" i="1"/>
  <c r="O548" i="1"/>
  <c r="O551" i="1"/>
  <c r="N553" i="1"/>
  <c r="O553" i="1" s="1"/>
  <c r="O554" i="1"/>
  <c r="O557" i="1"/>
  <c r="N558" i="1"/>
  <c r="O558" i="1" s="1"/>
  <c r="N559" i="1"/>
  <c r="O559" i="1" s="1"/>
  <c r="N560" i="1"/>
  <c r="O562" i="1"/>
  <c r="O563" i="1"/>
  <c r="N567" i="1"/>
  <c r="O567" i="1" s="1"/>
  <c r="N570" i="1"/>
  <c r="O570" i="1"/>
  <c r="N573" i="1"/>
  <c r="O573" i="1" s="1"/>
  <c r="N575" i="1"/>
  <c r="O575" i="1" s="1"/>
  <c r="N577" i="1"/>
  <c r="O577" i="1" s="1"/>
  <c r="N578" i="1"/>
  <c r="O578" i="1" s="1"/>
  <c r="N579" i="1"/>
  <c r="O579" i="1" s="1"/>
  <c r="N580" i="1"/>
  <c r="O580" i="1" s="1"/>
  <c r="N582" i="1"/>
  <c r="O582" i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/>
  <c r="N589" i="1"/>
  <c r="O589" i="1" s="1"/>
  <c r="N590" i="1"/>
  <c r="O590" i="1" s="1"/>
  <c r="N591" i="1"/>
  <c r="O591" i="1" s="1"/>
  <c r="N592" i="1"/>
  <c r="O592" i="1" s="1"/>
  <c r="O593" i="1"/>
  <c r="O594" i="1"/>
  <c r="O595" i="1"/>
  <c r="O596" i="1"/>
  <c r="N597" i="1"/>
  <c r="O597" i="1" s="1"/>
  <c r="O598" i="1"/>
  <c r="N599" i="1"/>
  <c r="O599" i="1" s="1"/>
  <c r="N600" i="1"/>
  <c r="O600" i="1" s="1"/>
  <c r="O601" i="1"/>
  <c r="O602" i="1"/>
  <c r="O603" i="1"/>
  <c r="N604" i="1"/>
  <c r="O604" i="1" s="1"/>
  <c r="O605" i="1"/>
  <c r="O606" i="1"/>
  <c r="O607" i="1"/>
  <c r="O608" i="1"/>
  <c r="O609" i="1"/>
  <c r="N610" i="1"/>
  <c r="O610" i="1"/>
  <c r="N611" i="1"/>
  <c r="O611" i="1" s="1"/>
  <c r="N612" i="1"/>
  <c r="O612" i="1" s="1"/>
  <c r="O613" i="1"/>
  <c r="O620" i="1"/>
  <c r="O621" i="1"/>
  <c r="O633" i="1"/>
  <c r="O634" i="1"/>
  <c r="O636" i="1"/>
  <c r="N638" i="1"/>
  <c r="O638" i="1" s="1"/>
  <c r="N639" i="1"/>
  <c r="O639" i="1" s="1"/>
  <c r="N640" i="1"/>
  <c r="O640" i="1" s="1"/>
  <c r="N641" i="1"/>
  <c r="O641" i="1" s="1"/>
  <c r="N642" i="1"/>
  <c r="O642" i="1"/>
  <c r="N643" i="1"/>
  <c r="O643" i="1" s="1"/>
  <c r="N644" i="1"/>
  <c r="O644" i="1" s="1"/>
  <c r="N645" i="1"/>
  <c r="O645" i="1" s="1"/>
  <c r="N646" i="1"/>
  <c r="O646" i="1" s="1"/>
  <c r="O650" i="1"/>
  <c r="N654" i="1"/>
  <c r="O654" i="1" s="1"/>
  <c r="N655" i="1"/>
  <c r="O655" i="1"/>
  <c r="N656" i="1"/>
  <c r="O656" i="1" s="1"/>
  <c r="N657" i="1"/>
  <c r="O657" i="1"/>
  <c r="N658" i="1"/>
  <c r="O658" i="1" s="1"/>
  <c r="O660" i="1"/>
  <c r="O661" i="1"/>
  <c r="N662" i="1"/>
  <c r="O662" i="1" s="1"/>
  <c r="N663" i="1"/>
  <c r="O663" i="1" s="1"/>
  <c r="N664" i="1"/>
  <c r="O664" i="1" s="1"/>
  <c r="N665" i="1"/>
  <c r="O665" i="1" s="1"/>
  <c r="N666" i="1"/>
  <c r="O666" i="1" s="1"/>
  <c r="O667" i="1"/>
  <c r="O668" i="1"/>
  <c r="O669" i="1"/>
  <c r="N671" i="1"/>
  <c r="O671" i="1"/>
  <c r="N672" i="1"/>
  <c r="O672" i="1" s="1"/>
  <c r="O674" i="1"/>
  <c r="O677" i="1"/>
  <c r="N684" i="1"/>
  <c r="O684" i="1" s="1"/>
  <c r="O698" i="1"/>
  <c r="O699" i="1"/>
  <c r="O701" i="1"/>
  <c r="O702" i="1"/>
  <c r="N713" i="1"/>
  <c r="O713" i="1" s="1"/>
  <c r="N728" i="1"/>
  <c r="O728" i="1" s="1"/>
  <c r="N729" i="1"/>
  <c r="O729" i="1"/>
  <c r="O730" i="1"/>
  <c r="N731" i="1"/>
  <c r="O731" i="1" s="1"/>
  <c r="N732" i="1"/>
  <c r="O732" i="1"/>
  <c r="N733" i="1"/>
  <c r="O733" i="1" s="1"/>
  <c r="O734" i="1"/>
  <c r="N735" i="1"/>
  <c r="O735" i="1"/>
  <c r="N736" i="1"/>
  <c r="O736" i="1" s="1"/>
  <c r="N737" i="1"/>
  <c r="O737" i="1"/>
  <c r="O740" i="1"/>
  <c r="O741" i="1"/>
  <c r="O742" i="1"/>
  <c r="O743" i="1"/>
  <c r="N744" i="1"/>
  <c r="O744" i="1" s="1"/>
  <c r="O745" i="1"/>
  <c r="M747" i="1"/>
  <c r="N747" i="1"/>
  <c r="O747" i="1"/>
  <c r="N758" i="1"/>
  <c r="O758" i="1" s="1"/>
  <c r="N759" i="1"/>
  <c r="O759" i="1"/>
  <c r="N761" i="1"/>
  <c r="O761" i="1" s="1"/>
  <c r="N762" i="1"/>
  <c r="O762" i="1" s="1"/>
  <c r="N763" i="1"/>
  <c r="O763" i="1" s="1"/>
  <c r="N764" i="1"/>
  <c r="O764" i="1"/>
  <c r="O765" i="1"/>
  <c r="O766" i="1"/>
  <c r="N768" i="1"/>
  <c r="O768" i="1"/>
  <c r="N769" i="1"/>
  <c r="O769" i="1" s="1"/>
  <c r="O770" i="1"/>
  <c r="N771" i="1"/>
  <c r="O771" i="1" s="1"/>
  <c r="N772" i="1"/>
  <c r="O772" i="1" s="1"/>
  <c r="N773" i="1"/>
  <c r="O773" i="1" s="1"/>
  <c r="N774" i="1"/>
  <c r="O774" i="1"/>
  <c r="N775" i="1"/>
  <c r="O775" i="1" s="1"/>
  <c r="O777" i="1"/>
  <c r="O778" i="1"/>
  <c r="O786" i="1"/>
  <c r="O789" i="1"/>
  <c r="N791" i="1"/>
  <c r="O791" i="1"/>
  <c r="O792" i="1"/>
  <c r="O795" i="1"/>
  <c r="N796" i="1"/>
  <c r="O796" i="1"/>
  <c r="N797" i="1"/>
  <c r="O797" i="1" s="1"/>
  <c r="N798" i="1"/>
  <c r="O798" i="1" s="1"/>
  <c r="O799" i="1" s="1"/>
  <c r="N799" i="1"/>
  <c r="O800" i="1"/>
  <c r="O801" i="1"/>
  <c r="N805" i="1"/>
  <c r="O805" i="1" s="1"/>
  <c r="N808" i="1"/>
  <c r="O808" i="1" s="1"/>
  <c r="N811" i="1"/>
  <c r="O811" i="1" s="1"/>
  <c r="N813" i="1"/>
  <c r="O813" i="1" s="1"/>
  <c r="N815" i="1"/>
  <c r="O815" i="1" s="1"/>
  <c r="N816" i="1"/>
  <c r="O816" i="1" s="1"/>
  <c r="N817" i="1"/>
  <c r="O817" i="1" s="1"/>
  <c r="N818" i="1"/>
  <c r="O818" i="1" s="1"/>
  <c r="N820" i="1"/>
  <c r="O820" i="1" s="1"/>
  <c r="N821" i="1"/>
  <c r="O821" i="1"/>
  <c r="N822" i="1"/>
  <c r="O822" i="1" s="1"/>
  <c r="N823" i="1"/>
  <c r="O823" i="1"/>
  <c r="N824" i="1"/>
  <c r="O824" i="1" s="1"/>
  <c r="N825" i="1"/>
  <c r="O825" i="1" s="1"/>
  <c r="N826" i="1"/>
  <c r="O826" i="1" s="1"/>
  <c r="N827" i="1"/>
  <c r="O827" i="1"/>
  <c r="N828" i="1"/>
  <c r="O828" i="1" s="1"/>
  <c r="N829" i="1"/>
  <c r="O829" i="1"/>
  <c r="N830" i="1"/>
  <c r="O830" i="1" s="1"/>
  <c r="O831" i="1"/>
  <c r="O832" i="1"/>
  <c r="O833" i="1"/>
  <c r="O834" i="1"/>
  <c r="N835" i="1"/>
  <c r="O835" i="1" s="1"/>
  <c r="O836" i="1"/>
  <c r="N837" i="1"/>
  <c r="O837" i="1" s="1"/>
  <c r="N838" i="1"/>
  <c r="O838" i="1" s="1"/>
  <c r="O839" i="1"/>
  <c r="O840" i="1"/>
  <c r="O841" i="1"/>
  <c r="N842" i="1"/>
  <c r="O842" i="1" s="1"/>
  <c r="O843" i="1"/>
  <c r="O844" i="1"/>
  <c r="O845" i="1"/>
  <c r="O846" i="1"/>
  <c r="O847" i="1"/>
  <c r="N848" i="1"/>
  <c r="O848" i="1" s="1"/>
  <c r="N849" i="1"/>
  <c r="O849" i="1" s="1"/>
  <c r="N850" i="1"/>
  <c r="O850" i="1" s="1"/>
  <c r="O851" i="1"/>
  <c r="O858" i="1"/>
  <c r="O859" i="1"/>
  <c r="O871" i="1"/>
  <c r="O872" i="1"/>
  <c r="O874" i="1"/>
  <c r="N876" i="1"/>
  <c r="O876" i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O888" i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O898" i="1"/>
  <c r="O899" i="1"/>
  <c r="N900" i="1"/>
  <c r="O900" i="1" s="1"/>
  <c r="N901" i="1"/>
  <c r="O901" i="1" s="1"/>
  <c r="N902" i="1"/>
  <c r="O902" i="1" s="1"/>
  <c r="N903" i="1"/>
  <c r="O903" i="1" s="1"/>
  <c r="N904" i="1"/>
  <c r="O904" i="1" s="1"/>
  <c r="O905" i="1"/>
  <c r="O906" i="1"/>
  <c r="O907" i="1"/>
  <c r="N909" i="1"/>
  <c r="O909" i="1" s="1"/>
  <c r="N910" i="1"/>
  <c r="O910" i="1" s="1"/>
  <c r="O912" i="1"/>
  <c r="O915" i="1"/>
  <c r="N922" i="1"/>
  <c r="O922" i="1" s="1"/>
  <c r="O936" i="1"/>
  <c r="O937" i="1"/>
  <c r="O939" i="1"/>
  <c r="O940" i="1"/>
  <c r="N951" i="1"/>
  <c r="O951" i="1" s="1"/>
  <c r="N966" i="1"/>
  <c r="O966" i="1" s="1"/>
  <c r="N967" i="1"/>
  <c r="O967" i="1" s="1"/>
  <c r="O968" i="1"/>
  <c r="N969" i="1"/>
  <c r="O969" i="1"/>
  <c r="N970" i="1"/>
  <c r="O970" i="1" s="1"/>
  <c r="N971" i="1"/>
  <c r="O971" i="1" s="1"/>
  <c r="O972" i="1"/>
  <c r="N973" i="1"/>
  <c r="O973" i="1" s="1"/>
  <c r="N974" i="1"/>
  <c r="O974" i="1" s="1"/>
  <c r="N975" i="1"/>
  <c r="O975" i="1" s="1"/>
  <c r="O978" i="1"/>
  <c r="O979" i="1"/>
  <c r="O980" i="1"/>
  <c r="O981" i="1"/>
  <c r="N982" i="1"/>
  <c r="O982" i="1" s="1"/>
  <c r="O983" i="1"/>
  <c r="M985" i="1"/>
  <c r="N985" i="1"/>
  <c r="O985" i="1" s="1"/>
  <c r="N996" i="1"/>
  <c r="O996" i="1" s="1"/>
  <c r="N997" i="1"/>
  <c r="O997" i="1"/>
  <c r="N999" i="1"/>
  <c r="O999" i="1" s="1"/>
  <c r="N1000" i="1"/>
  <c r="O1000" i="1"/>
  <c r="N1001" i="1"/>
  <c r="O1001" i="1" s="1"/>
  <c r="N1002" i="1"/>
  <c r="O1002" i="1" s="1"/>
  <c r="O1003" i="1"/>
  <c r="O1004" i="1"/>
  <c r="N1006" i="1"/>
  <c r="O1006" i="1" s="1"/>
  <c r="N1007" i="1"/>
  <c r="O1007" i="1"/>
  <c r="O1008" i="1"/>
  <c r="N1009" i="1"/>
  <c r="O1009" i="1" s="1"/>
  <c r="N1010" i="1"/>
  <c r="O1010" i="1" s="1"/>
  <c r="N1011" i="1"/>
  <c r="O1011" i="1" s="1"/>
  <c r="N1012" i="1"/>
  <c r="O1012" i="1" s="1"/>
  <c r="N1013" i="1"/>
  <c r="O1013" i="1"/>
  <c r="O1015" i="1"/>
  <c r="O1016" i="1"/>
  <c r="O1024" i="1"/>
  <c r="O1027" i="1"/>
  <c r="N1029" i="1"/>
  <c r="O1029" i="1" s="1"/>
  <c r="O1030" i="1"/>
  <c r="O1033" i="1"/>
  <c r="N1034" i="1"/>
  <c r="O1034" i="1"/>
  <c r="N1035" i="1"/>
  <c r="O1035" i="1" s="1"/>
  <c r="N1036" i="1"/>
  <c r="O1036" i="1"/>
  <c r="O1037" i="1" s="1"/>
  <c r="N1037" i="1"/>
  <c r="O1038" i="1"/>
  <c r="O1039" i="1"/>
  <c r="N1043" i="1"/>
  <c r="O1043" i="1" s="1"/>
  <c r="N1046" i="1"/>
  <c r="O1046" i="1" s="1"/>
  <c r="N1049" i="1"/>
  <c r="O1049" i="1" s="1"/>
  <c r="N1051" i="1"/>
  <c r="O1051" i="1" s="1"/>
  <c r="N1053" i="1"/>
  <c r="O1053" i="1" s="1"/>
  <c r="N1054" i="1"/>
  <c r="O1054" i="1" s="1"/>
  <c r="N1055" i="1"/>
  <c r="O1055" i="1" s="1"/>
  <c r="N1056" i="1"/>
  <c r="O1056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/>
  <c r="N1065" i="1"/>
  <c r="O1065" i="1" s="1"/>
  <c r="N1066" i="1"/>
  <c r="O1066" i="1" s="1"/>
  <c r="N1067" i="1"/>
  <c r="O1067" i="1" s="1"/>
  <c r="N1068" i="1"/>
  <c r="O1068" i="1" s="1"/>
  <c r="O1069" i="1"/>
  <c r="O1070" i="1"/>
  <c r="O1071" i="1"/>
  <c r="O1072" i="1"/>
  <c r="N1073" i="1"/>
  <c r="O1073" i="1" s="1"/>
  <c r="O1074" i="1"/>
  <c r="N1075" i="1"/>
  <c r="O1075" i="1" s="1"/>
  <c r="N1076" i="1"/>
  <c r="O1076" i="1" s="1"/>
  <c r="O1077" i="1"/>
  <c r="O1078" i="1"/>
  <c r="O1079" i="1"/>
  <c r="N1080" i="1"/>
  <c r="O1080" i="1" s="1"/>
  <c r="O1081" i="1"/>
  <c r="O1082" i="1"/>
  <c r="O1083" i="1"/>
  <c r="O1084" i="1"/>
  <c r="O1085" i="1"/>
  <c r="N1086" i="1"/>
  <c r="O1086" i="1" s="1"/>
  <c r="N1087" i="1"/>
  <c r="O1087" i="1" s="1"/>
  <c r="N1088" i="1"/>
  <c r="O1088" i="1" s="1"/>
  <c r="O1089" i="1"/>
  <c r="O1096" i="1"/>
  <c r="O1097" i="1"/>
  <c r="O1109" i="1"/>
  <c r="O1110" i="1"/>
  <c r="O1112" i="1"/>
  <c r="N1114" i="1"/>
  <c r="O1114" i="1" s="1"/>
  <c r="N1115" i="1"/>
  <c r="O1115" i="1"/>
  <c r="N1116" i="1"/>
  <c r="O1116" i="1" s="1"/>
  <c r="N1117" i="1"/>
  <c r="O1117" i="1"/>
  <c r="N1118" i="1"/>
  <c r="O1118" i="1" s="1"/>
  <c r="N1119" i="1"/>
  <c r="O1119" i="1"/>
  <c r="N1120" i="1"/>
  <c r="O1120" i="1" s="1"/>
  <c r="N1121" i="1"/>
  <c r="O1121" i="1"/>
  <c r="N1122" i="1"/>
  <c r="O1122" i="1" s="1"/>
  <c r="O1126" i="1"/>
  <c r="N1130" i="1"/>
  <c r="O1130" i="1" s="1"/>
  <c r="N1131" i="1"/>
  <c r="O1131" i="1" s="1"/>
  <c r="N1132" i="1"/>
  <c r="O1132" i="1" s="1"/>
  <c r="N1133" i="1"/>
  <c r="O1133" i="1" s="1"/>
  <c r="N1134" i="1"/>
  <c r="O1134" i="1" s="1"/>
  <c r="O1136" i="1"/>
  <c r="O1137" i="1"/>
  <c r="N1138" i="1"/>
  <c r="O1138" i="1"/>
  <c r="N1139" i="1"/>
  <c r="O1139" i="1" s="1"/>
  <c r="N1140" i="1"/>
  <c r="O1140" i="1" s="1"/>
  <c r="N1141" i="1"/>
  <c r="O1141" i="1" s="1"/>
  <c r="N1142" i="1"/>
  <c r="O1142" i="1" s="1"/>
  <c r="O1143" i="1"/>
  <c r="O1144" i="1"/>
  <c r="O1145" i="1"/>
  <c r="N1147" i="1"/>
  <c r="O1147" i="1" s="1"/>
  <c r="N1148" i="1"/>
  <c r="O1148" i="1" s="1"/>
  <c r="O1150" i="1"/>
  <c r="O1153" i="1"/>
  <c r="N1160" i="1"/>
  <c r="O1160" i="1" s="1"/>
  <c r="O1174" i="1"/>
  <c r="O1175" i="1"/>
  <c r="O1177" i="1"/>
  <c r="O1178" i="1"/>
  <c r="N1189" i="1"/>
  <c r="O1189" i="1" s="1"/>
  <c r="N919" i="1" l="1"/>
  <c r="O919" i="1" s="1"/>
  <c r="N421" i="1"/>
  <c r="O421" i="1" s="1"/>
  <c r="N889" i="1"/>
  <c r="O889" i="1" s="1"/>
  <c r="N159" i="1"/>
  <c r="N1128" i="1"/>
  <c r="O1128" i="1" s="1"/>
  <c r="N933" i="1"/>
  <c r="O933" i="1" s="1"/>
  <c r="N1186" i="1"/>
  <c r="O1186" i="1" s="1"/>
  <c r="N1156" i="1"/>
  <c r="O1156" i="1" s="1"/>
  <c r="N94" i="1"/>
  <c r="O94" i="1" s="1"/>
  <c r="N1168" i="1"/>
  <c r="O1168" i="1" s="1"/>
  <c r="N1152" i="1"/>
  <c r="O1152" i="1" s="1"/>
  <c r="N474" i="1"/>
  <c r="O474" i="1" s="1"/>
  <c r="N454" i="1"/>
  <c r="O454" i="1" s="1"/>
  <c r="N437" i="1"/>
  <c r="O437" i="1" s="1"/>
  <c r="N688" i="1"/>
  <c r="O688" i="1" s="1"/>
  <c r="N659" i="1"/>
  <c r="O659" i="1" s="1"/>
  <c r="N443" i="1"/>
  <c r="O443" i="1" s="1"/>
  <c r="N447" i="1"/>
  <c r="O447" i="1" s="1"/>
  <c r="N456" i="1"/>
  <c r="O456" i="1" s="1"/>
  <c r="N670" i="1"/>
  <c r="O670" i="1" s="1"/>
  <c r="N678" i="1"/>
  <c r="O678" i="1" s="1"/>
  <c r="N692" i="1"/>
  <c r="O692" i="1" s="1"/>
  <c r="N918" i="1"/>
  <c r="O918" i="1" s="1"/>
  <c r="N921" i="1"/>
  <c r="O921" i="1" s="1"/>
  <c r="N926" i="1"/>
  <c r="O926" i="1" s="1"/>
  <c r="N929" i="1"/>
  <c r="O929" i="1" s="1"/>
  <c r="N934" i="1"/>
  <c r="O934" i="1" s="1"/>
  <c r="N1146" i="1"/>
  <c r="O1146" i="1" s="1"/>
  <c r="N1162" i="1"/>
  <c r="O1162" i="1" s="1"/>
  <c r="N1166" i="1"/>
  <c r="O1166" i="1" s="1"/>
  <c r="N448" i="1"/>
  <c r="O448" i="1" s="1"/>
  <c r="N452" i="1"/>
  <c r="O452" i="1" s="1"/>
  <c r="N457" i="1"/>
  <c r="O457" i="1" s="1"/>
  <c r="N675" i="1"/>
  <c r="O675" i="1" s="1"/>
  <c r="N686" i="1"/>
  <c r="O686" i="1" s="1"/>
  <c r="N694" i="1"/>
  <c r="O694" i="1" s="1"/>
  <c r="N932" i="1"/>
  <c r="O932" i="1" s="1"/>
  <c r="N928" i="1"/>
  <c r="O928" i="1" s="1"/>
  <c r="N925" i="1"/>
  <c r="O925" i="1" s="1"/>
  <c r="N913" i="1"/>
  <c r="O913" i="1" s="1"/>
  <c r="N908" i="1"/>
  <c r="O908" i="1" s="1"/>
  <c r="N696" i="1"/>
  <c r="O696" i="1" s="1"/>
  <c r="N451" i="1"/>
  <c r="O451" i="1" s="1"/>
  <c r="N441" i="1"/>
  <c r="O441" i="1" s="1"/>
  <c r="N1172" i="1"/>
  <c r="O1172" i="1" s="1"/>
  <c r="N1154" i="1"/>
  <c r="O1154" i="1" s="1"/>
  <c r="N1151" i="1"/>
  <c r="O1151" i="1" s="1"/>
  <c r="N935" i="1"/>
  <c r="O935" i="1" s="1"/>
  <c r="N931" i="1"/>
  <c r="O931" i="1" s="1"/>
  <c r="N924" i="1"/>
  <c r="O924" i="1" s="1"/>
  <c r="N920" i="1"/>
  <c r="O920" i="1" s="1"/>
  <c r="N917" i="1"/>
  <c r="O917" i="1" s="1"/>
  <c r="N459" i="1"/>
  <c r="O459" i="1" s="1"/>
  <c r="N449" i="1"/>
  <c r="O449" i="1" s="1"/>
  <c r="N440" i="1"/>
  <c r="O440" i="1" s="1"/>
  <c r="N1170" i="1"/>
  <c r="O1170" i="1" s="1"/>
  <c r="N1164" i="1"/>
  <c r="O1164" i="1" s="1"/>
  <c r="N1158" i="1"/>
  <c r="O1158" i="1" s="1"/>
  <c r="N930" i="1"/>
  <c r="O930" i="1" s="1"/>
  <c r="N927" i="1"/>
  <c r="O927" i="1" s="1"/>
  <c r="N923" i="1"/>
  <c r="O923" i="1" s="1"/>
  <c r="N916" i="1"/>
  <c r="O916" i="1" s="1"/>
  <c r="N680" i="1"/>
  <c r="O680" i="1" s="1"/>
  <c r="N455" i="1"/>
  <c r="O455" i="1" s="1"/>
  <c r="N24" i="1"/>
  <c r="N1125" i="1"/>
  <c r="O1125" i="1" s="1"/>
  <c r="N1111" i="1"/>
  <c r="O1111" i="1" s="1"/>
  <c r="N469" i="1"/>
  <c r="O469" i="1" s="1"/>
  <c r="O560" i="1"/>
  <c r="O561" i="1" s="1"/>
  <c r="N561" i="1"/>
  <c r="N83" i="1"/>
  <c r="N88" i="1"/>
  <c r="N399" i="1"/>
  <c r="O399" i="1" s="1"/>
  <c r="N409" i="1"/>
  <c r="O409" i="1" s="1"/>
  <c r="N411" i="1"/>
  <c r="O411" i="1" s="1"/>
  <c r="N91" i="1"/>
  <c r="N648" i="1"/>
  <c r="O648" i="1" s="1"/>
  <c r="N803" i="1"/>
  <c r="O803" i="1" s="1"/>
  <c r="N26" i="1"/>
  <c r="N89" i="1"/>
  <c r="N327" i="1"/>
  <c r="O327" i="1" s="1"/>
  <c r="N397" i="1"/>
  <c r="O397" i="1" s="1"/>
  <c r="N413" i="1"/>
  <c r="O413" i="1" s="1"/>
  <c r="N564" i="1"/>
  <c r="N635" i="1"/>
  <c r="O635" i="1" s="1"/>
  <c r="N651" i="1"/>
  <c r="O651" i="1" s="1"/>
  <c r="N873" i="1"/>
  <c r="O873" i="1" s="1"/>
  <c r="N890" i="1"/>
  <c r="O890" i="1" s="1"/>
  <c r="N1124" i="1"/>
  <c r="O1124" i="1" s="1"/>
  <c r="N97" i="1"/>
  <c r="N101" i="1"/>
  <c r="N410" i="1"/>
  <c r="O410" i="1" s="1"/>
  <c r="N414" i="1"/>
  <c r="O414" i="1" s="1"/>
  <c r="N565" i="1"/>
  <c r="O565" i="1" s="1"/>
  <c r="N649" i="1"/>
  <c r="O649" i="1" s="1"/>
  <c r="N802" i="1"/>
  <c r="N886" i="1"/>
  <c r="O886" i="1" s="1"/>
  <c r="N1041" i="1"/>
  <c r="O1041" i="1" s="1"/>
  <c r="N1127" i="1"/>
  <c r="O1127" i="1" s="1"/>
  <c r="N1129" i="1"/>
  <c r="O1129" i="1" s="1"/>
  <c r="N1190" i="1"/>
  <c r="O1190" i="1" s="1"/>
  <c r="N1188" i="1"/>
  <c r="O1188" i="1" s="1"/>
  <c r="N1180" i="1"/>
  <c r="O1180" i="1" s="1"/>
  <c r="N1040" i="1"/>
  <c r="N950" i="1"/>
  <c r="O950" i="1" s="1"/>
  <c r="N946" i="1"/>
  <c r="O946" i="1" s="1"/>
  <c r="N942" i="1"/>
  <c r="O942" i="1" s="1"/>
  <c r="N714" i="1"/>
  <c r="O714" i="1" s="1"/>
  <c r="N712" i="1"/>
  <c r="O712" i="1" s="1"/>
  <c r="N653" i="1"/>
  <c r="O653" i="1" s="1"/>
  <c r="N476" i="1"/>
  <c r="O476" i="1" s="1"/>
  <c r="N468" i="1"/>
  <c r="O468" i="1" s="1"/>
  <c r="N326" i="1"/>
  <c r="N110" i="1"/>
  <c r="N93" i="1"/>
  <c r="N703" i="1"/>
  <c r="O703" i="1" s="1"/>
  <c r="N705" i="1"/>
  <c r="O705" i="1" s="1"/>
  <c r="N707" i="1"/>
  <c r="O707" i="1" s="1"/>
  <c r="N709" i="1"/>
  <c r="O709" i="1" s="1"/>
  <c r="N711" i="1"/>
  <c r="O711" i="1" s="1"/>
  <c r="N467" i="1"/>
  <c r="O467" i="1" s="1"/>
  <c r="N472" i="1"/>
  <c r="O472" i="1" s="1"/>
  <c r="N708" i="1"/>
  <c r="O708" i="1" s="1"/>
  <c r="N1179" i="1"/>
  <c r="O1179" i="1" s="1"/>
  <c r="N1181" i="1"/>
  <c r="O1181" i="1" s="1"/>
  <c r="N1183" i="1"/>
  <c r="O1183" i="1" s="1"/>
  <c r="N1185" i="1"/>
  <c r="O1185" i="1" s="1"/>
  <c r="N1187" i="1"/>
  <c r="O1187" i="1" s="1"/>
  <c r="N90" i="1"/>
  <c r="N465" i="1"/>
  <c r="O465" i="1" s="1"/>
  <c r="N470" i="1"/>
  <c r="O470" i="1" s="1"/>
  <c r="N473" i="1"/>
  <c r="O473" i="1" s="1"/>
  <c r="N706" i="1"/>
  <c r="O706" i="1" s="1"/>
  <c r="N941" i="1"/>
  <c r="O941" i="1" s="1"/>
  <c r="N943" i="1"/>
  <c r="O943" i="1" s="1"/>
  <c r="N945" i="1"/>
  <c r="O945" i="1" s="1"/>
  <c r="N947" i="1"/>
  <c r="O947" i="1" s="1"/>
  <c r="N949" i="1"/>
  <c r="O949" i="1" s="1"/>
  <c r="N162" i="1"/>
  <c r="N160" i="1"/>
  <c r="N161" i="1"/>
  <c r="N1182" i="1"/>
  <c r="O1182" i="1" s="1"/>
  <c r="N1123" i="1"/>
  <c r="O1123" i="1" s="1"/>
  <c r="N1113" i="1"/>
  <c r="O1113" i="1" s="1"/>
  <c r="N952" i="1"/>
  <c r="O952" i="1" s="1"/>
  <c r="N891" i="1"/>
  <c r="O891" i="1" s="1"/>
  <c r="N887" i="1"/>
  <c r="O887" i="1" s="1"/>
  <c r="N710" i="1"/>
  <c r="O710" i="1" s="1"/>
  <c r="N652" i="1"/>
  <c r="O652" i="1" s="1"/>
  <c r="N647" i="1"/>
  <c r="O647" i="1" s="1"/>
  <c r="N637" i="1"/>
  <c r="O637" i="1" s="1"/>
  <c r="N466" i="1"/>
  <c r="O466" i="1" s="1"/>
  <c r="N415" i="1"/>
  <c r="O415" i="1" s="1"/>
  <c r="N87" i="1"/>
  <c r="N1184" i="1"/>
  <c r="O1184" i="1" s="1"/>
  <c r="N948" i="1"/>
  <c r="O948" i="1" s="1"/>
  <c r="N944" i="1"/>
  <c r="O944" i="1" s="1"/>
  <c r="N875" i="1"/>
  <c r="O875" i="1" s="1"/>
  <c r="N704" i="1"/>
  <c r="O704" i="1" s="1"/>
  <c r="N471" i="1"/>
  <c r="O471" i="1" s="1"/>
  <c r="N84" i="1"/>
  <c r="N92" i="1"/>
  <c r="N95" i="1"/>
  <c r="O95" i="1" s="1"/>
  <c r="N111" i="1"/>
  <c r="N25" i="1"/>
  <c r="N109" i="1"/>
  <c r="N438" i="1"/>
  <c r="O438" i="1" s="1"/>
  <c r="N679" i="1"/>
  <c r="O679" i="1" s="1"/>
  <c r="N681" i="1"/>
  <c r="O681" i="1" s="1"/>
  <c r="N683" i="1"/>
  <c r="O683" i="1" s="1"/>
  <c r="N685" i="1"/>
  <c r="O685" i="1" s="1"/>
  <c r="N687" i="1"/>
  <c r="O687" i="1" s="1"/>
  <c r="N689" i="1"/>
  <c r="O689" i="1" s="1"/>
  <c r="N691" i="1"/>
  <c r="O691" i="1" s="1"/>
  <c r="N693" i="1"/>
  <c r="O693" i="1" s="1"/>
  <c r="N695" i="1"/>
  <c r="O695" i="1" s="1"/>
  <c r="N697" i="1"/>
  <c r="O697" i="1" s="1"/>
  <c r="N1173" i="1"/>
  <c r="O1173" i="1" s="1"/>
  <c r="N1171" i="1"/>
  <c r="O1171" i="1" s="1"/>
  <c r="N1169" i="1"/>
  <c r="O1169" i="1" s="1"/>
  <c r="N1167" i="1"/>
  <c r="O1167" i="1" s="1"/>
  <c r="N1165" i="1"/>
  <c r="O1165" i="1" s="1"/>
  <c r="N1163" i="1"/>
  <c r="O1163" i="1" s="1"/>
  <c r="N1161" i="1"/>
  <c r="O1161" i="1" s="1"/>
  <c r="N1159" i="1"/>
  <c r="O1159" i="1" s="1"/>
  <c r="N1157" i="1"/>
  <c r="O1157" i="1" s="1"/>
  <c r="N1155" i="1"/>
  <c r="O1155" i="1" s="1"/>
  <c r="N914" i="1"/>
  <c r="O914" i="1" s="1"/>
  <c r="N690" i="1"/>
  <c r="O690" i="1" s="1"/>
  <c r="N682" i="1"/>
  <c r="O682" i="1" s="1"/>
  <c r="N676" i="1"/>
  <c r="O676" i="1" s="1"/>
  <c r="N458" i="1"/>
  <c r="O458" i="1" s="1"/>
  <c r="N453" i="1"/>
  <c r="O453" i="1" s="1"/>
  <c r="N450" i="1"/>
  <c r="O450" i="1" s="1"/>
  <c r="N445" i="1"/>
  <c r="O445" i="1" s="1"/>
  <c r="N442" i="1"/>
  <c r="O442" i="1" s="1"/>
  <c r="N432" i="1"/>
  <c r="O432" i="1" s="1"/>
  <c r="F97" i="3"/>
  <c r="H97" i="3" s="1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 s="1"/>
  <c r="F101" i="3"/>
  <c r="H101" i="3" s="1"/>
  <c r="F102" i="3"/>
  <c r="H102" i="3" s="1"/>
  <c r="F103" i="3"/>
  <c r="H103" i="3" s="1"/>
  <c r="F105" i="3"/>
  <c r="H105" i="3" s="1"/>
  <c r="F106" i="3"/>
  <c r="H106" i="3" s="1"/>
  <c r="F107" i="3"/>
  <c r="H107" i="3" s="1"/>
  <c r="F109" i="3"/>
  <c r="H109" i="3" s="1"/>
  <c r="F113" i="3"/>
  <c r="H113" i="3" s="1"/>
  <c r="F123" i="3"/>
  <c r="H123" i="3" s="1"/>
  <c r="F139" i="3"/>
  <c r="H139" i="3" s="1"/>
  <c r="F140" i="3"/>
  <c r="H140" i="3" s="1"/>
  <c r="F141" i="3"/>
  <c r="H141" i="3" s="1"/>
  <c r="F142" i="3"/>
  <c r="H142" i="3" s="1"/>
  <c r="F143" i="3"/>
  <c r="H143" i="3" s="1"/>
  <c r="F145" i="3"/>
  <c r="H145" i="3" s="1"/>
  <c r="F147" i="3"/>
  <c r="H147" i="3" s="1"/>
  <c r="F148" i="3"/>
  <c r="H148" i="3" s="1"/>
  <c r="F151" i="3"/>
  <c r="H151" i="3" s="1"/>
  <c r="F154" i="3"/>
  <c r="H154" i="3" s="1"/>
  <c r="F156" i="3"/>
  <c r="H156" i="3" s="1"/>
  <c r="F164" i="3"/>
  <c r="H164" i="3" s="1"/>
  <c r="F165" i="3"/>
  <c r="H165" i="3" s="1"/>
  <c r="F167" i="3"/>
  <c r="H167" i="3" s="1"/>
  <c r="F176" i="3"/>
  <c r="H176" i="3" s="1"/>
  <c r="F177" i="3"/>
  <c r="H177" i="3" s="1"/>
  <c r="F199" i="3"/>
  <c r="H199" i="3" s="1"/>
  <c r="F200" i="3"/>
  <c r="H200" i="3" s="1"/>
  <c r="F260" i="3"/>
  <c r="H260" i="3" s="1"/>
  <c r="F261" i="3"/>
  <c r="H261" i="3" s="1"/>
  <c r="F262" i="3"/>
  <c r="H262" i="3" s="1"/>
  <c r="O1040" i="1" l="1"/>
  <c r="N1052" i="1"/>
  <c r="O1052" i="1" s="1"/>
  <c r="N1048" i="1"/>
  <c r="O1048" i="1" s="1"/>
  <c r="N814" i="1"/>
  <c r="O814" i="1" s="1"/>
  <c r="N810" i="1"/>
  <c r="O810" i="1" s="1"/>
  <c r="O802" i="1"/>
  <c r="O564" i="1"/>
  <c r="N572" i="1"/>
  <c r="O572" i="1" s="1"/>
  <c r="N576" i="1"/>
  <c r="O576" i="1" s="1"/>
  <c r="N571" i="1"/>
  <c r="O571" i="1" s="1"/>
  <c r="N809" i="1"/>
  <c r="O809" i="1" s="1"/>
  <c r="N1047" i="1"/>
  <c r="O1047" i="1" s="1"/>
  <c r="N333" i="1"/>
  <c r="O333" i="1" s="1"/>
  <c r="N334" i="1"/>
  <c r="O334" i="1" s="1"/>
  <c r="N338" i="1"/>
  <c r="O338" i="1" s="1"/>
  <c r="O326" i="1"/>
  <c r="N81" i="1"/>
  <c r="F26" i="2"/>
  <c r="H17" i="3" l="1"/>
  <c r="N98" i="1"/>
  <c r="N581" i="1"/>
  <c r="O581" i="1" s="1"/>
  <c r="N99" i="1"/>
  <c r="N128" i="1"/>
  <c r="N136" i="1"/>
  <c r="N100" i="1"/>
  <c r="N148" i="1"/>
  <c r="N819" i="1"/>
  <c r="O819" i="1" s="1"/>
  <c r="N1057" i="1"/>
  <c r="O1057" i="1" s="1"/>
  <c r="N10" i="1"/>
  <c r="O10" i="1" s="1"/>
  <c r="N102" i="1"/>
  <c r="N139" i="1"/>
  <c r="N343" i="1"/>
  <c r="O343" i="1" s="1"/>
  <c r="P3" i="1"/>
  <c r="P244" i="1"/>
  <c r="F271" i="3" s="1"/>
  <c r="H271" i="3" s="1"/>
  <c r="P243" i="1"/>
  <c r="F270" i="3" s="1"/>
  <c r="H270" i="3" s="1"/>
  <c r="P242" i="1"/>
  <c r="F269" i="3" s="1"/>
  <c r="H269" i="3" s="1"/>
  <c r="P241" i="1"/>
  <c r="P240" i="1"/>
  <c r="F267" i="3" s="1"/>
  <c r="H267" i="3" s="1"/>
  <c r="P239" i="1"/>
  <c r="F266" i="3" s="1"/>
  <c r="H266" i="3" s="1"/>
  <c r="P238" i="1"/>
  <c r="F265" i="3" s="1"/>
  <c r="H265" i="3" s="1"/>
  <c r="P237" i="1"/>
  <c r="F264" i="3" s="1"/>
  <c r="H264" i="3" s="1"/>
  <c r="P236" i="1"/>
  <c r="F263" i="3" s="1"/>
  <c r="H263" i="3" s="1"/>
  <c r="P226" i="1"/>
  <c r="F253" i="3" s="1"/>
  <c r="H253" i="3" s="1"/>
  <c r="P225" i="1"/>
  <c r="F252" i="3" s="1"/>
  <c r="H252" i="3" s="1"/>
  <c r="P224" i="1"/>
  <c r="F251" i="3" s="1"/>
  <c r="H251" i="3" s="1"/>
  <c r="P223" i="1"/>
  <c r="F250" i="3" s="1"/>
  <c r="H250" i="3" s="1"/>
  <c r="P222" i="1"/>
  <c r="F249" i="3" s="1"/>
  <c r="H249" i="3" s="1"/>
  <c r="P221" i="1"/>
  <c r="F248" i="3" s="1"/>
  <c r="H248" i="3" s="1"/>
  <c r="P220" i="1"/>
  <c r="F247" i="3" s="1"/>
  <c r="H247" i="3" s="1"/>
  <c r="P219" i="1"/>
  <c r="F246" i="3" s="1"/>
  <c r="H246" i="3" s="1"/>
  <c r="P218" i="1"/>
  <c r="F245" i="3" s="1"/>
  <c r="H245" i="3" s="1"/>
  <c r="P217" i="1"/>
  <c r="F244" i="3" s="1"/>
  <c r="H244" i="3" s="1"/>
  <c r="P216" i="1"/>
  <c r="F243" i="3" s="1"/>
  <c r="H243" i="3" s="1"/>
  <c r="P215" i="1"/>
  <c r="F242" i="3" s="1"/>
  <c r="H242" i="3" s="1"/>
  <c r="P214" i="1"/>
  <c r="F241" i="3" s="1"/>
  <c r="H241" i="3" s="1"/>
  <c r="P213" i="1"/>
  <c r="F240" i="3" s="1"/>
  <c r="H240" i="3" s="1"/>
  <c r="P212" i="1"/>
  <c r="F239" i="3" s="1"/>
  <c r="H239" i="3" s="1"/>
  <c r="P211" i="1"/>
  <c r="F238" i="3" s="1"/>
  <c r="H238" i="3" s="1"/>
  <c r="P210" i="1"/>
  <c r="F237" i="3" s="1"/>
  <c r="H237" i="3" s="1"/>
  <c r="P209" i="1"/>
  <c r="F236" i="3" s="1"/>
  <c r="H236" i="3" s="1"/>
  <c r="P208" i="1"/>
  <c r="F235" i="3" s="1"/>
  <c r="H235" i="3" s="1"/>
  <c r="P207" i="1"/>
  <c r="F234" i="3" s="1"/>
  <c r="H234" i="3" s="1"/>
  <c r="P206" i="1"/>
  <c r="F233" i="3" s="1"/>
  <c r="H233" i="3" s="1"/>
  <c r="P205" i="1"/>
  <c r="F232" i="3" s="1"/>
  <c r="H232" i="3" s="1"/>
  <c r="P204" i="1"/>
  <c r="F231" i="3" s="1"/>
  <c r="H231" i="3" s="1"/>
  <c r="P203" i="1"/>
  <c r="F230" i="3" s="1"/>
  <c r="P202" i="1"/>
  <c r="F229" i="3" s="1"/>
  <c r="P201" i="1"/>
  <c r="F228" i="3" s="1"/>
  <c r="P200" i="1"/>
  <c r="F227" i="3" s="1"/>
  <c r="P199" i="1"/>
  <c r="F226" i="3" s="1"/>
  <c r="P198" i="1"/>
  <c r="F225" i="3" s="1"/>
  <c r="P197" i="1"/>
  <c r="F224" i="3" s="1"/>
  <c r="P196" i="1"/>
  <c r="F223" i="3" s="1"/>
  <c r="P195" i="1"/>
  <c r="F222" i="3" s="1"/>
  <c r="P194" i="1"/>
  <c r="F221" i="3" s="1"/>
  <c r="H221" i="3" s="1"/>
  <c r="P193" i="1"/>
  <c r="F220" i="3" s="1"/>
  <c r="H220" i="3" s="1"/>
  <c r="P192" i="1"/>
  <c r="F219" i="3" s="1"/>
  <c r="H219" i="3" s="1"/>
  <c r="P191" i="1"/>
  <c r="F218" i="3" s="1"/>
  <c r="H218" i="3" s="1"/>
  <c r="P190" i="1"/>
  <c r="F217" i="3" s="1"/>
  <c r="H217" i="3" s="1"/>
  <c r="P189" i="1"/>
  <c r="F216" i="3" s="1"/>
  <c r="H216" i="3" s="1"/>
  <c r="P188" i="1"/>
  <c r="F215" i="3" s="1"/>
  <c r="H215" i="3" s="1"/>
  <c r="P187" i="1"/>
  <c r="F214" i="3" s="1"/>
  <c r="H214" i="3" s="1"/>
  <c r="P186" i="1"/>
  <c r="F213" i="3" s="1"/>
  <c r="H213" i="3" s="1"/>
  <c r="P185" i="1"/>
  <c r="F212" i="3" s="1"/>
  <c r="H212" i="3" s="1"/>
  <c r="P184" i="1"/>
  <c r="F211" i="3" s="1"/>
  <c r="H211" i="3" s="1"/>
  <c r="P183" i="1"/>
  <c r="F210" i="3" s="1"/>
  <c r="H210" i="3" s="1"/>
  <c r="P182" i="1"/>
  <c r="F209" i="3" s="1"/>
  <c r="H209" i="3" s="1"/>
  <c r="P181" i="1"/>
  <c r="F208" i="3" s="1"/>
  <c r="H208" i="3" s="1"/>
  <c r="P180" i="1"/>
  <c r="F207" i="3" s="1"/>
  <c r="H207" i="3" s="1"/>
  <c r="P179" i="1"/>
  <c r="F206" i="3" s="1"/>
  <c r="H206" i="3" s="1"/>
  <c r="P178" i="1"/>
  <c r="F205" i="3" s="1"/>
  <c r="H205" i="3" s="1"/>
  <c r="P177" i="1"/>
  <c r="F204" i="3" s="1"/>
  <c r="H204" i="3" s="1"/>
  <c r="P176" i="1"/>
  <c r="F203" i="3" s="1"/>
  <c r="H203" i="3" s="1"/>
  <c r="P175" i="1"/>
  <c r="F202" i="3" s="1"/>
  <c r="H202" i="3" s="1"/>
  <c r="P174" i="1"/>
  <c r="F201" i="3" s="1"/>
  <c r="H201" i="3" s="1"/>
  <c r="P41" i="1"/>
  <c r="F68" i="3" s="1"/>
  <c r="H68" i="3" s="1"/>
  <c r="P37" i="1"/>
  <c r="F64" i="3" s="1"/>
  <c r="H64" i="3" s="1"/>
  <c r="P36" i="1"/>
  <c r="P35" i="1"/>
  <c r="F62" i="3" s="1"/>
  <c r="H62" i="3" s="1"/>
  <c r="F268" i="3" l="1"/>
  <c r="H268" i="3" s="1"/>
  <c r="N256" i="1"/>
  <c r="O256" i="1" s="1"/>
  <c r="N268" i="1"/>
  <c r="O268" i="1" s="1"/>
  <c r="N286" i="1"/>
  <c r="O286" i="1" s="1"/>
  <c r="N288" i="1"/>
  <c r="O288" i="1" s="1"/>
  <c r="N296" i="1"/>
  <c r="O296" i="1" s="1"/>
  <c r="N298" i="1"/>
  <c r="O298" i="1" s="1"/>
  <c r="N361" i="1"/>
  <c r="O361" i="1" s="1"/>
  <c r="N373" i="1"/>
  <c r="O373" i="1" s="1"/>
  <c r="N257" i="1"/>
  <c r="O257" i="1" s="1"/>
  <c r="N287" i="1"/>
  <c r="O287" i="1" s="1"/>
  <c r="N297" i="1"/>
  <c r="O297" i="1" s="1"/>
  <c r="N322" i="1"/>
  <c r="N335" i="1"/>
  <c r="O335" i="1" s="1"/>
  <c r="N348" i="1"/>
  <c r="O348" i="1" s="1"/>
  <c r="O371" i="1"/>
  <c r="N252" i="1"/>
  <c r="O252" i="1" s="1"/>
  <c r="N255" i="1"/>
  <c r="O255" i="1" s="1"/>
  <c r="N347" i="1"/>
  <c r="O347" i="1" s="1"/>
  <c r="N350" i="1"/>
  <c r="O350" i="1" s="1"/>
  <c r="N372" i="1"/>
  <c r="O372" i="1" s="1"/>
  <c r="N259" i="1"/>
  <c r="O259" i="1" s="1"/>
  <c r="N292" i="1"/>
  <c r="O292" i="1" s="1"/>
  <c r="N295" i="1"/>
  <c r="O295" i="1" s="1"/>
  <c r="O368" i="1"/>
  <c r="N349" i="1"/>
  <c r="O349" i="1" s="1"/>
  <c r="N352" i="1"/>
  <c r="O352" i="1" s="1"/>
  <c r="N271" i="1"/>
  <c r="O271" i="1" s="1"/>
  <c r="O369" i="1"/>
  <c r="N260" i="1"/>
  <c r="O260" i="1" s="1"/>
  <c r="N293" i="1"/>
  <c r="O293" i="1" s="1"/>
  <c r="N299" i="1"/>
  <c r="O299" i="1" s="1"/>
  <c r="N315" i="1"/>
  <c r="O315" i="1" s="1"/>
  <c r="N362" i="1"/>
  <c r="O362" i="1" s="1"/>
  <c r="N261" i="1"/>
  <c r="O261" i="1" s="1"/>
  <c r="N320" i="1"/>
  <c r="O320" i="1" s="1"/>
  <c r="N359" i="1"/>
  <c r="O359" i="1" s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 s="1"/>
  <c r="N281" i="1"/>
  <c r="O281" i="1" s="1"/>
  <c r="N300" i="1"/>
  <c r="O300" i="1" s="1"/>
  <c r="N303" i="1"/>
  <c r="O303" i="1" s="1"/>
  <c r="N305" i="1"/>
  <c r="O305" i="1" s="1"/>
  <c r="N307" i="1"/>
  <c r="O307" i="1" s="1"/>
  <c r="N309" i="1"/>
  <c r="O309" i="1" s="1"/>
  <c r="N6" i="1"/>
  <c r="O6" i="1" s="1"/>
  <c r="N13" i="1"/>
  <c r="N20" i="1"/>
  <c r="N30" i="1"/>
  <c r="O30" i="1" s="1"/>
  <c r="N33" i="1"/>
  <c r="O33" i="1" s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 s="1"/>
  <c r="N273" i="1"/>
  <c r="O273" i="1" s="1"/>
  <c r="N306" i="1"/>
  <c r="O306" i="1" s="1"/>
  <c r="N379" i="1"/>
  <c r="O379" i="1" s="1"/>
  <c r="N389" i="1"/>
  <c r="O389" i="1" s="1"/>
  <c r="N392" i="1"/>
  <c r="O392" i="1" s="1"/>
  <c r="N516" i="1"/>
  <c r="O516" i="1" s="1"/>
  <c r="N518" i="1"/>
  <c r="O518" i="1" s="1"/>
  <c r="N542" i="1"/>
  <c r="O542" i="1" s="1"/>
  <c r="N544" i="1"/>
  <c r="O544" i="1" s="1"/>
  <c r="N546" i="1"/>
  <c r="O546" i="1" s="1"/>
  <c r="N626" i="1"/>
  <c r="N723" i="1"/>
  <c r="O723" i="1" s="1"/>
  <c r="N725" i="1"/>
  <c r="O725" i="1" s="1"/>
  <c r="N727" i="1"/>
  <c r="O727" i="1" s="1"/>
  <c r="N748" i="1"/>
  <c r="O748" i="1" s="1"/>
  <c r="N750" i="1"/>
  <c r="O750" i="1" s="1"/>
  <c r="N752" i="1"/>
  <c r="O752" i="1" s="1"/>
  <c r="N787" i="1"/>
  <c r="O787" i="1" s="1"/>
  <c r="N790" i="1"/>
  <c r="O790" i="1" s="1"/>
  <c r="N853" i="1"/>
  <c r="O853" i="1" s="1"/>
  <c r="N18" i="1"/>
  <c r="N40" i="1"/>
  <c r="N49" i="1"/>
  <c r="N56" i="1"/>
  <c r="N63" i="1"/>
  <c r="N77" i="1"/>
  <c r="N105" i="1"/>
  <c r="N117" i="1"/>
  <c r="N248" i="1"/>
  <c r="O248" i="1" s="1"/>
  <c r="N272" i="1"/>
  <c r="O272" i="1" s="1"/>
  <c r="N276" i="1"/>
  <c r="O276" i="1" s="1"/>
  <c r="N280" i="1"/>
  <c r="O280" i="1" s="1"/>
  <c r="N378" i="1"/>
  <c r="O378" i="1" s="1"/>
  <c r="N381" i="1"/>
  <c r="O381" i="1" s="1"/>
  <c r="N385" i="1"/>
  <c r="O385" i="1" s="1"/>
  <c r="N390" i="1"/>
  <c r="O390" i="1" s="1"/>
  <c r="N393" i="1"/>
  <c r="O393" i="1" s="1"/>
  <c r="N488" i="1"/>
  <c r="O488" i="1" s="1"/>
  <c r="N512" i="1"/>
  <c r="O512" i="1" s="1"/>
  <c r="N543" i="1"/>
  <c r="O543" i="1" s="1"/>
  <c r="N614" i="1"/>
  <c r="O614" i="1" s="1"/>
  <c r="N617" i="1"/>
  <c r="O617" i="1" s="1"/>
  <c r="N625" i="1"/>
  <c r="N629" i="1"/>
  <c r="O629" i="1" s="1"/>
  <c r="N726" i="1"/>
  <c r="O726" i="1" s="1"/>
  <c r="N749" i="1"/>
  <c r="O749" i="1" s="1"/>
  <c r="N755" i="1"/>
  <c r="O755" i="1" s="1"/>
  <c r="N781" i="1"/>
  <c r="O781" i="1" s="1"/>
  <c r="N854" i="1"/>
  <c r="O854" i="1" s="1"/>
  <c r="N856" i="1"/>
  <c r="O856" i="1" s="1"/>
  <c r="N861" i="1"/>
  <c r="O861" i="1" s="1"/>
  <c r="N863" i="1"/>
  <c r="N866" i="1"/>
  <c r="O866" i="1" s="1"/>
  <c r="N868" i="1"/>
  <c r="O868" i="1" s="1"/>
  <c r="N870" i="1"/>
  <c r="O870" i="1" s="1"/>
  <c r="N992" i="1"/>
  <c r="O992" i="1" s="1"/>
  <c r="N994" i="1"/>
  <c r="O994" i="1" s="1"/>
  <c r="N1018" i="1"/>
  <c r="O1018" i="1" s="1"/>
  <c r="N1020" i="1"/>
  <c r="O1020" i="1" s="1"/>
  <c r="N1022" i="1"/>
  <c r="O1022" i="1" s="1"/>
  <c r="N1102" i="1"/>
  <c r="N4" i="1"/>
  <c r="O4" i="1" s="1"/>
  <c r="N7" i="1"/>
  <c r="N21" i="1"/>
  <c r="N29" i="1"/>
  <c r="O29" i="1" s="1"/>
  <c r="N32" i="1"/>
  <c r="O32" i="1" s="1"/>
  <c r="N43" i="1"/>
  <c r="N51" i="1"/>
  <c r="N58" i="1"/>
  <c r="N66" i="1"/>
  <c r="N106" i="1"/>
  <c r="N119" i="1"/>
  <c r="N132" i="1"/>
  <c r="N249" i="1"/>
  <c r="O249" i="1" s="1"/>
  <c r="N314" i="1"/>
  <c r="O314" i="1" s="1"/>
  <c r="N386" i="1"/>
  <c r="O386" i="1" s="1"/>
  <c r="N394" i="1"/>
  <c r="O394" i="1" s="1"/>
  <c r="N486" i="1"/>
  <c r="O486" i="1" s="1"/>
  <c r="N489" i="1"/>
  <c r="O489" i="1" s="1"/>
  <c r="N510" i="1"/>
  <c r="O510" i="1" s="1"/>
  <c r="N538" i="1"/>
  <c r="O538" i="1" s="1"/>
  <c r="N541" i="1"/>
  <c r="O541" i="1" s="1"/>
  <c r="N549" i="1"/>
  <c r="O549" i="1" s="1"/>
  <c r="N552" i="1"/>
  <c r="O552" i="1" s="1"/>
  <c r="N615" i="1"/>
  <c r="O615" i="1" s="1"/>
  <c r="N623" i="1"/>
  <c r="O623" i="1" s="1"/>
  <c r="N627" i="1"/>
  <c r="O627" i="1" s="1"/>
  <c r="N632" i="1"/>
  <c r="O632" i="1" s="1"/>
  <c r="N724" i="1"/>
  <c r="O724" i="1" s="1"/>
  <c r="N776" i="1"/>
  <c r="O776" i="1" s="1"/>
  <c r="N779" i="1"/>
  <c r="O779" i="1" s="1"/>
  <c r="N784" i="1"/>
  <c r="O784" i="1" s="1"/>
  <c r="N852" i="1"/>
  <c r="O852" i="1" s="1"/>
  <c r="N864" i="1"/>
  <c r="N961" i="1"/>
  <c r="O961" i="1" s="1"/>
  <c r="N963" i="1"/>
  <c r="O963" i="1" s="1"/>
  <c r="N965" i="1"/>
  <c r="O965" i="1" s="1"/>
  <c r="N986" i="1"/>
  <c r="O986" i="1" s="1"/>
  <c r="N988" i="1"/>
  <c r="O988" i="1" s="1"/>
  <c r="N990" i="1"/>
  <c r="O990" i="1" s="1"/>
  <c r="N1025" i="1"/>
  <c r="O1025" i="1" s="1"/>
  <c r="N1028" i="1"/>
  <c r="O1028" i="1" s="1"/>
  <c r="N1091" i="1"/>
  <c r="O1091" i="1" s="1"/>
  <c r="N1093" i="1"/>
  <c r="O1093" i="1" s="1"/>
  <c r="N1095" i="1"/>
  <c r="O1095" i="1" s="1"/>
  <c r="N1098" i="1"/>
  <c r="O1098" i="1" s="1"/>
  <c r="N1100" i="1"/>
  <c r="O1100" i="1" s="1"/>
  <c r="N1103" i="1"/>
  <c r="O1103" i="1" s="1"/>
  <c r="N1105" i="1"/>
  <c r="O1105" i="1" s="1"/>
  <c r="N1107" i="1"/>
  <c r="O1107" i="1" s="1"/>
  <c r="N17" i="1"/>
  <c r="N31" i="1"/>
  <c r="O31" i="1" s="1"/>
  <c r="N46" i="1"/>
  <c r="N62" i="1"/>
  <c r="N126" i="1"/>
  <c r="N275" i="1"/>
  <c r="O275" i="1" s="1"/>
  <c r="N377" i="1"/>
  <c r="O377" i="1" s="1"/>
  <c r="N391" i="1"/>
  <c r="O391" i="1" s="1"/>
  <c r="N487" i="1"/>
  <c r="O487" i="1" s="1"/>
  <c r="N511" i="1"/>
  <c r="O511" i="1" s="1"/>
  <c r="N547" i="1"/>
  <c r="O547" i="1" s="1"/>
  <c r="N619" i="1"/>
  <c r="O619" i="1" s="1"/>
  <c r="N624" i="1"/>
  <c r="O624" i="1" s="1"/>
  <c r="N630" i="1"/>
  <c r="O630" i="1" s="1"/>
  <c r="N751" i="1"/>
  <c r="O751" i="1" s="1"/>
  <c r="N757" i="1"/>
  <c r="O757" i="1" s="1"/>
  <c r="N782" i="1"/>
  <c r="O782" i="1" s="1"/>
  <c r="N989" i="1"/>
  <c r="O989" i="1" s="1"/>
  <c r="N1014" i="1"/>
  <c r="O1014" i="1" s="1"/>
  <c r="N1017" i="1"/>
  <c r="O1017" i="1" s="1"/>
  <c r="N1021" i="1"/>
  <c r="O1021" i="1" s="1"/>
  <c r="N1099" i="1"/>
  <c r="O1099" i="1" s="1"/>
  <c r="N1104" i="1"/>
  <c r="O1104" i="1" s="1"/>
  <c r="N1108" i="1"/>
  <c r="O1108" i="1" s="1"/>
  <c r="N1201" i="1"/>
  <c r="N22" i="1"/>
  <c r="N52" i="1"/>
  <c r="N67" i="1"/>
  <c r="N108" i="1"/>
  <c r="N164" i="1"/>
  <c r="N246" i="1"/>
  <c r="N308" i="1"/>
  <c r="O308" i="1" s="1"/>
  <c r="N380" i="1"/>
  <c r="O380" i="1" s="1"/>
  <c r="N384" i="1"/>
  <c r="O384" i="1" s="1"/>
  <c r="N513" i="1"/>
  <c r="O513" i="1" s="1"/>
  <c r="N517" i="1"/>
  <c r="O517" i="1" s="1"/>
  <c r="N631" i="1"/>
  <c r="O631" i="1" s="1"/>
  <c r="N783" i="1"/>
  <c r="O783" i="1" s="1"/>
  <c r="N855" i="1"/>
  <c r="O855" i="1" s="1"/>
  <c r="N862" i="1"/>
  <c r="O862" i="1" s="1"/>
  <c r="N867" i="1"/>
  <c r="O867" i="1" s="1"/>
  <c r="N964" i="1"/>
  <c r="O964" i="1" s="1"/>
  <c r="N995" i="1"/>
  <c r="O995" i="1" s="1"/>
  <c r="N1092" i="1"/>
  <c r="O1092" i="1" s="1"/>
  <c r="N1202" i="1"/>
  <c r="N5" i="1"/>
  <c r="O5" i="1" s="1"/>
  <c r="N38" i="1"/>
  <c r="N55" i="1"/>
  <c r="N68" i="1"/>
  <c r="N147" i="1"/>
  <c r="N157" i="1"/>
  <c r="N247" i="1"/>
  <c r="O247" i="1" s="1"/>
  <c r="N278" i="1"/>
  <c r="O278" i="1" s="1"/>
  <c r="N304" i="1"/>
  <c r="O304" i="1" s="1"/>
  <c r="N387" i="1"/>
  <c r="N514" i="1"/>
  <c r="O514" i="1" s="1"/>
  <c r="N519" i="1"/>
  <c r="O519" i="1" s="1"/>
  <c r="N616" i="1"/>
  <c r="O616" i="1" s="1"/>
  <c r="N754" i="1"/>
  <c r="O754" i="1" s="1"/>
  <c r="N785" i="1"/>
  <c r="O785" i="1" s="1"/>
  <c r="N987" i="1"/>
  <c r="O987" i="1" s="1"/>
  <c r="N1019" i="1"/>
  <c r="O1019" i="1" s="1"/>
  <c r="N1023" i="1"/>
  <c r="O1023" i="1" s="1"/>
  <c r="N1101" i="1"/>
  <c r="N1106" i="1"/>
  <c r="O1106" i="1" s="1"/>
  <c r="N9" i="1"/>
  <c r="O9" i="1" s="1"/>
  <c r="N15" i="1"/>
  <c r="N45" i="1"/>
  <c r="N60" i="1"/>
  <c r="N125" i="1"/>
  <c r="N250" i="1"/>
  <c r="O250" i="1" s="1"/>
  <c r="N274" i="1"/>
  <c r="O274" i="1" s="1"/>
  <c r="N311" i="1"/>
  <c r="O311" i="1" s="1"/>
  <c r="N376" i="1"/>
  <c r="O376" i="1" s="1"/>
  <c r="N388" i="1"/>
  <c r="N485" i="1"/>
  <c r="O485" i="1" s="1"/>
  <c r="N545" i="1"/>
  <c r="O545" i="1" s="1"/>
  <c r="N618" i="1"/>
  <c r="O618" i="1" s="1"/>
  <c r="N622" i="1"/>
  <c r="O622" i="1" s="1"/>
  <c r="N628" i="1"/>
  <c r="O628" i="1" s="1"/>
  <c r="N756" i="1"/>
  <c r="O756" i="1" s="1"/>
  <c r="N780" i="1"/>
  <c r="O780" i="1" s="1"/>
  <c r="N857" i="1"/>
  <c r="O857" i="1" s="1"/>
  <c r="N860" i="1"/>
  <c r="O860" i="1" s="1"/>
  <c r="N865" i="1"/>
  <c r="O865" i="1" s="1"/>
  <c r="N869" i="1"/>
  <c r="O869" i="1" s="1"/>
  <c r="N962" i="1"/>
  <c r="O962" i="1" s="1"/>
  <c r="N993" i="1"/>
  <c r="O993" i="1" s="1"/>
  <c r="N1090" i="1"/>
  <c r="O1090" i="1" s="1"/>
  <c r="N1094" i="1"/>
  <c r="O1094" i="1" s="1"/>
  <c r="F63" i="3"/>
  <c r="H63" i="3" s="1"/>
  <c r="E22" i="3"/>
  <c r="A3" i="4"/>
  <c r="N1199" i="1" l="1"/>
  <c r="O322" i="1"/>
  <c r="O323" i="1" s="1"/>
  <c r="N323" i="1"/>
  <c r="P169" i="1"/>
  <c r="F196" i="3" s="1"/>
  <c r="H196" i="3" s="1"/>
  <c r="P168" i="1"/>
  <c r="F195" i="3" s="1"/>
  <c r="H195" i="3" s="1"/>
  <c r="P167" i="1"/>
  <c r="F194" i="3" s="1"/>
  <c r="H194" i="3" s="1"/>
  <c r="P163" i="1"/>
  <c r="F190" i="3" s="1"/>
  <c r="H190" i="3" s="1"/>
  <c r="P161" i="1"/>
  <c r="F188" i="3" s="1"/>
  <c r="H188" i="3" s="1"/>
  <c r="P160" i="1" l="1"/>
  <c r="F187" i="3" s="1"/>
  <c r="H187" i="3" s="1"/>
  <c r="P162" i="1"/>
  <c r="F189" i="3" s="1"/>
  <c r="H189" i="3" s="1"/>
  <c r="P156" i="1"/>
  <c r="F183" i="3" s="1"/>
  <c r="H183" i="3" s="1"/>
  <c r="P155" i="1"/>
  <c r="F182" i="3" s="1"/>
  <c r="H182" i="3" s="1"/>
  <c r="P154" i="1"/>
  <c r="F181" i="3" s="1"/>
  <c r="H181" i="3" s="1"/>
  <c r="P153" i="1"/>
  <c r="F180" i="3" s="1"/>
  <c r="H180" i="3" s="1"/>
  <c r="P152" i="1"/>
  <c r="F179" i="3" s="1"/>
  <c r="H179" i="3" s="1"/>
  <c r="P151" i="1"/>
  <c r="F178" i="3" s="1"/>
  <c r="H178" i="3" s="1"/>
  <c r="P146" i="1"/>
  <c r="F173" i="3" s="1"/>
  <c r="H173" i="3" s="1"/>
  <c r="P145" i="1"/>
  <c r="F172" i="3" s="1"/>
  <c r="H172" i="3" s="1"/>
  <c r="P144" i="1"/>
  <c r="F171" i="3" s="1"/>
  <c r="H171" i="3" s="1"/>
  <c r="P143" i="1"/>
  <c r="F170" i="3" s="1"/>
  <c r="H170" i="3" s="1"/>
  <c r="P142" i="1"/>
  <c r="F169" i="3" s="1"/>
  <c r="H169" i="3" s="1"/>
  <c r="P141" i="1"/>
  <c r="F168" i="3" s="1"/>
  <c r="H168" i="3" s="1"/>
  <c r="P135" i="1"/>
  <c r="F162" i="3" s="1"/>
  <c r="H162" i="3" s="1"/>
  <c r="P134" i="1"/>
  <c r="F161" i="3" s="1"/>
  <c r="H161" i="3" s="1"/>
  <c r="P133" i="1"/>
  <c r="F160" i="3" s="1"/>
  <c r="H160" i="3" s="1"/>
  <c r="P1" i="1" l="1"/>
  <c r="N123" i="1" s="1"/>
  <c r="J35" i="3"/>
  <c r="P123" i="1" l="1"/>
  <c r="F150" i="3" s="1"/>
  <c r="H150" i="3" s="1"/>
  <c r="P245" i="1" l="1"/>
  <c r="P12" i="1"/>
  <c r="F39" i="3" s="1"/>
  <c r="H39" i="3" s="1"/>
  <c r="E1225" i="3" l="1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 s="1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 s="1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 s="1"/>
  <c r="D1145" i="3"/>
  <c r="C1145" i="3"/>
  <c r="D1144" i="3"/>
  <c r="C1144" i="3"/>
  <c r="E1143" i="3"/>
  <c r="D1143" i="3"/>
  <c r="C1143" i="3"/>
  <c r="F1142" i="3"/>
  <c r="H1142" i="3" s="1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 s="1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 s="1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 s="1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 s="1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 s="1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 s="1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 s="1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 s="1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 s="1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 s="1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 s="1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 s="1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 s="1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 l="1"/>
  <c r="D16" i="3"/>
  <c r="I26" i="3" s="1"/>
  <c r="P1189" i="1" l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 s="1"/>
  <c r="H1173" i="3" s="1"/>
  <c r="P1109" i="1"/>
  <c r="P1102" i="1"/>
  <c r="P1101" i="1"/>
  <c r="F1105" i="3" s="1"/>
  <c r="H1105" i="3" s="1"/>
  <c r="P1097" i="1"/>
  <c r="P1096" i="1"/>
  <c r="P1089" i="1"/>
  <c r="P1088" i="1"/>
  <c r="P1087" i="1"/>
  <c r="P1086" i="1"/>
  <c r="P1085" i="1"/>
  <c r="F1217" i="3" s="1"/>
  <c r="H1217" i="3" s="1"/>
  <c r="P1084" i="1"/>
  <c r="P1083" i="1"/>
  <c r="F1214" i="3" s="1"/>
  <c r="H1214" i="3" s="1"/>
  <c r="P1082" i="1"/>
  <c r="P1081" i="1"/>
  <c r="F1211" i="3" s="1"/>
  <c r="H1211" i="3" s="1"/>
  <c r="P1080" i="1"/>
  <c r="P1079" i="1"/>
  <c r="P1078" i="1"/>
  <c r="F1208" i="3" s="1"/>
  <c r="H1208" i="3" s="1"/>
  <c r="P1077" i="1"/>
  <c r="P1076" i="1"/>
  <c r="P1075" i="1"/>
  <c r="P1074" i="1"/>
  <c r="F1207" i="3" s="1"/>
  <c r="H1207" i="3" s="1"/>
  <c r="P1073" i="1"/>
  <c r="P1072" i="1"/>
  <c r="P1071" i="1"/>
  <c r="F1202" i="3" s="1"/>
  <c r="H1202" i="3" s="1"/>
  <c r="P1070" i="1"/>
  <c r="P1069" i="1"/>
  <c r="F1203" i="3" s="1"/>
  <c r="H1203" i="3" s="1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 s="1"/>
  <c r="H1050" i="3" s="1"/>
  <c r="P1013" i="1"/>
  <c r="P1012" i="1"/>
  <c r="P1011" i="1"/>
  <c r="P1010" i="1"/>
  <c r="P1009" i="1"/>
  <c r="P1008" i="1"/>
  <c r="P1007" i="1"/>
  <c r="P1006" i="1"/>
  <c r="P1004" i="1"/>
  <c r="P1003" i="1"/>
  <c r="F1009" i="3" s="1"/>
  <c r="H1009" i="3" s="1"/>
  <c r="P1002" i="1"/>
  <c r="P1001" i="1"/>
  <c r="P1000" i="1"/>
  <c r="P999" i="1"/>
  <c r="P997" i="1"/>
  <c r="F1005" i="3" s="1"/>
  <c r="H1005" i="3" s="1"/>
  <c r="P996" i="1"/>
  <c r="P985" i="1"/>
  <c r="P983" i="1"/>
  <c r="P982" i="1"/>
  <c r="P981" i="1"/>
  <c r="P980" i="1"/>
  <c r="F1017" i="3" s="1"/>
  <c r="H1017" i="3" s="1"/>
  <c r="P979" i="1"/>
  <c r="P978" i="1"/>
  <c r="F1015" i="3" s="1"/>
  <c r="H1015" i="3" s="1"/>
  <c r="P977" i="1"/>
  <c r="P975" i="1"/>
  <c r="P974" i="1"/>
  <c r="P973" i="1"/>
  <c r="O1005" i="1" s="1"/>
  <c r="P972" i="1"/>
  <c r="P971" i="1"/>
  <c r="P970" i="1"/>
  <c r="P969" i="1"/>
  <c r="P968" i="1"/>
  <c r="P967" i="1"/>
  <c r="P966" i="1"/>
  <c r="F988" i="3" s="1"/>
  <c r="H988" i="3" s="1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 s="1"/>
  <c r="H661" i="3" s="1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 s="1"/>
  <c r="H623" i="3" s="1"/>
  <c r="P621" i="1"/>
  <c r="P620" i="1"/>
  <c r="P613" i="1"/>
  <c r="P612" i="1"/>
  <c r="P611" i="1"/>
  <c r="P610" i="1"/>
  <c r="P609" i="1"/>
  <c r="F742" i="3" s="1"/>
  <c r="H742" i="3" s="1"/>
  <c r="P608" i="1"/>
  <c r="P607" i="1"/>
  <c r="F739" i="3" s="1"/>
  <c r="H739" i="3" s="1"/>
  <c r="P606" i="1"/>
  <c r="P605" i="1"/>
  <c r="F736" i="3" s="1"/>
  <c r="H736" i="3" s="1"/>
  <c r="P604" i="1"/>
  <c r="P603" i="1"/>
  <c r="P602" i="1"/>
  <c r="F732" i="3" s="1"/>
  <c r="H732" i="3" s="1"/>
  <c r="P601" i="1"/>
  <c r="P600" i="1"/>
  <c r="P599" i="1"/>
  <c r="P598" i="1"/>
  <c r="F731" i="3" s="1"/>
  <c r="H731" i="3" s="1"/>
  <c r="P597" i="1"/>
  <c r="P596" i="1"/>
  <c r="P595" i="1"/>
  <c r="F727" i="3" s="1"/>
  <c r="H727" i="3" s="1"/>
  <c r="P594" i="1"/>
  <c r="P593" i="1"/>
  <c r="F724" i="3" s="1"/>
  <c r="H724" i="3" s="1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 s="1"/>
  <c r="H579" i="3" s="1"/>
  <c r="P554" i="1"/>
  <c r="P553" i="1"/>
  <c r="F575" i="3" s="1"/>
  <c r="H575" i="3" s="1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 s="1"/>
  <c r="H529" i="3" s="1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 s="1"/>
  <c r="H367" i="3" s="1"/>
  <c r="P383" i="1"/>
  <c r="P382" i="1"/>
  <c r="P375" i="1"/>
  <c r="P374" i="1"/>
  <c r="P373" i="1"/>
  <c r="P372" i="1"/>
  <c r="P371" i="1"/>
  <c r="F502" i="3" s="1"/>
  <c r="H502" i="3" s="1"/>
  <c r="P370" i="1"/>
  <c r="P369" i="1"/>
  <c r="F501" i="3" s="1"/>
  <c r="H501" i="3" s="1"/>
  <c r="P368" i="1"/>
  <c r="P367" i="1"/>
  <c r="F499" i="3" s="1"/>
  <c r="H499" i="3" s="1"/>
  <c r="P366" i="1"/>
  <c r="P365" i="1"/>
  <c r="P364" i="1"/>
  <c r="F494" i="3" s="1"/>
  <c r="H494" i="3" s="1"/>
  <c r="P363" i="1"/>
  <c r="P362" i="1"/>
  <c r="P361" i="1"/>
  <c r="P360" i="1"/>
  <c r="F498" i="3" s="1"/>
  <c r="H498" i="3" s="1"/>
  <c r="P359" i="1"/>
  <c r="P358" i="1"/>
  <c r="P357" i="1"/>
  <c r="F490" i="3" s="1"/>
  <c r="H490" i="3" s="1"/>
  <c r="P356" i="1"/>
  <c r="P355" i="1"/>
  <c r="F487" i="3" s="1"/>
  <c r="H487" i="3" s="1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 l="1"/>
  <c r="H294" i="3" s="1"/>
  <c r="O291" i="1"/>
  <c r="P291" i="1" s="1"/>
  <c r="N462" i="1"/>
  <c r="O462" i="1" s="1"/>
  <c r="P462" i="1" s="1"/>
  <c r="F535" i="3"/>
  <c r="H535" i="3" s="1"/>
  <c r="O529" i="1"/>
  <c r="P529" i="1" s="1"/>
  <c r="N700" i="1"/>
  <c r="O700" i="1" s="1"/>
  <c r="P700" i="1" s="1"/>
  <c r="F775" i="3"/>
  <c r="H775" i="3" s="1"/>
  <c r="O767" i="1"/>
  <c r="P767" i="1" s="1"/>
  <c r="F901" i="3"/>
  <c r="H901" i="3" s="1"/>
  <c r="N938" i="1"/>
  <c r="O938" i="1" s="1"/>
  <c r="P938" i="1" s="1"/>
  <c r="N1176" i="1"/>
  <c r="O1176" i="1" s="1"/>
  <c r="P1176" i="1" s="1"/>
  <c r="F694" i="3"/>
  <c r="H694" i="3" s="1"/>
  <c r="F274" i="3"/>
  <c r="H274" i="3" s="1"/>
  <c r="F305" i="3"/>
  <c r="H305" i="3" s="1"/>
  <c r="F312" i="3"/>
  <c r="H312" i="3" s="1"/>
  <c r="F313" i="3"/>
  <c r="H313" i="3" s="1"/>
  <c r="F324" i="3"/>
  <c r="H324" i="3" s="1"/>
  <c r="F347" i="3"/>
  <c r="H347" i="3" s="1"/>
  <c r="F414" i="3"/>
  <c r="H414" i="3" s="1"/>
  <c r="F543" i="3"/>
  <c r="H543" i="3" s="1"/>
  <c r="F528" i="3"/>
  <c r="H528" i="3" s="1"/>
  <c r="F548" i="3"/>
  <c r="H548" i="3" s="1"/>
  <c r="F552" i="3"/>
  <c r="H552" i="3" s="1"/>
  <c r="F564" i="3"/>
  <c r="H564" i="3" s="1"/>
  <c r="F577" i="3"/>
  <c r="H577" i="3" s="1"/>
  <c r="F585" i="3"/>
  <c r="H585" i="3" s="1"/>
  <c r="F302" i="3"/>
  <c r="H302" i="3" s="1"/>
  <c r="F279" i="3"/>
  <c r="H279" i="3" s="1"/>
  <c r="F310" i="3"/>
  <c r="H310" i="3" s="1"/>
  <c r="F327" i="3"/>
  <c r="H327" i="3" s="1"/>
  <c r="F330" i="3"/>
  <c r="H330" i="3" s="1"/>
  <c r="F504" i="3"/>
  <c r="H504" i="3" s="1"/>
  <c r="F369" i="3"/>
  <c r="H369" i="3" s="1"/>
  <c r="F422" i="3"/>
  <c r="H422" i="3" s="1"/>
  <c r="F545" i="3"/>
  <c r="H545" i="3" s="1"/>
  <c r="F550" i="3"/>
  <c r="H550" i="3" s="1"/>
  <c r="F549" i="3"/>
  <c r="H549" i="3" s="1"/>
  <c r="F571" i="3"/>
  <c r="H571" i="3" s="1"/>
  <c r="F745" i="3"/>
  <c r="H745" i="3" s="1"/>
  <c r="F276" i="3"/>
  <c r="H276" i="3" s="1"/>
  <c r="F278" i="3"/>
  <c r="H278" i="3" s="1"/>
  <c r="F297" i="3"/>
  <c r="H297" i="3" s="1"/>
  <c r="F296" i="3"/>
  <c r="H296" i="3" s="1"/>
  <c r="F300" i="3"/>
  <c r="H300" i="3" s="1"/>
  <c r="F293" i="3"/>
  <c r="H293" i="3" s="1"/>
  <c r="F292" i="3"/>
  <c r="H292" i="3" s="1"/>
  <c r="F317" i="3"/>
  <c r="H317" i="3" s="1"/>
  <c r="F329" i="3"/>
  <c r="H329" i="3" s="1"/>
  <c r="F316" i="3"/>
  <c r="H316" i="3" s="1"/>
  <c r="F338" i="3"/>
  <c r="H338" i="3" s="1"/>
  <c r="F337" i="3"/>
  <c r="H337" i="3" s="1"/>
  <c r="F351" i="3"/>
  <c r="H351" i="3" s="1"/>
  <c r="F356" i="3"/>
  <c r="H356" i="3" s="1"/>
  <c r="F474" i="3"/>
  <c r="H474" i="3" s="1"/>
  <c r="F479" i="3"/>
  <c r="H479" i="3" s="1"/>
  <c r="F472" i="3"/>
  <c r="H472" i="3" s="1"/>
  <c r="F486" i="3"/>
  <c r="H486" i="3" s="1"/>
  <c r="F485" i="3"/>
  <c r="H485" i="3" s="1"/>
  <c r="F488" i="3"/>
  <c r="H488" i="3" s="1"/>
  <c r="F489" i="3"/>
  <c r="H489" i="3" s="1"/>
  <c r="F492" i="3"/>
  <c r="H492" i="3" s="1"/>
  <c r="F493" i="3"/>
  <c r="H493" i="3" s="1"/>
  <c r="F496" i="3"/>
  <c r="H496" i="3" s="1"/>
  <c r="F508" i="3"/>
  <c r="H508" i="3" s="1"/>
  <c r="F457" i="3"/>
  <c r="H457" i="3" s="1"/>
  <c r="F370" i="3"/>
  <c r="H370" i="3" s="1"/>
  <c r="F378" i="3"/>
  <c r="H378" i="3" s="1"/>
  <c r="F410" i="3"/>
  <c r="H410" i="3" s="1"/>
  <c r="F513" i="3"/>
  <c r="H513" i="3" s="1"/>
  <c r="F517" i="3"/>
  <c r="H517" i="3" s="1"/>
  <c r="F536" i="3"/>
  <c r="H536" i="3" s="1"/>
  <c r="F540" i="3"/>
  <c r="H540" i="3" s="1"/>
  <c r="F542" i="3"/>
  <c r="H542" i="3" s="1"/>
  <c r="F547" i="3"/>
  <c r="H547" i="3" s="1"/>
  <c r="F518" i="3"/>
  <c r="H518" i="3" s="1"/>
  <c r="F566" i="3"/>
  <c r="H566" i="3" s="1"/>
  <c r="F572" i="3"/>
  <c r="H572" i="3" s="1"/>
  <c r="F570" i="3"/>
  <c r="H570" i="3" s="1"/>
  <c r="F593" i="3"/>
  <c r="H593" i="3" s="1"/>
  <c r="F712" i="3"/>
  <c r="H712" i="3" s="1"/>
  <c r="F715" i="3"/>
  <c r="H715" i="3" s="1"/>
  <c r="F709" i="3"/>
  <c r="H709" i="3" s="1"/>
  <c r="F719" i="3"/>
  <c r="H719" i="3" s="1"/>
  <c r="F725" i="3"/>
  <c r="H725" i="3" s="1"/>
  <c r="F726" i="3"/>
  <c r="H726" i="3" s="1"/>
  <c r="F729" i="3"/>
  <c r="H729" i="3" s="1"/>
  <c r="F728" i="3"/>
  <c r="H728" i="3" s="1"/>
  <c r="F734" i="3"/>
  <c r="H734" i="3" s="1"/>
  <c r="F735" i="3"/>
  <c r="H735" i="3" s="1"/>
  <c r="F746" i="3"/>
  <c r="H746" i="3" s="1"/>
  <c r="F651" i="3"/>
  <c r="H651" i="3" s="1"/>
  <c r="F663" i="3"/>
  <c r="H663" i="3" s="1"/>
  <c r="F639" i="3"/>
  <c r="H639" i="3" s="1"/>
  <c r="F687" i="3"/>
  <c r="H687" i="3" s="1"/>
  <c r="F750" i="3"/>
  <c r="H750" i="3" s="1"/>
  <c r="F772" i="3"/>
  <c r="H772" i="3" s="1"/>
  <c r="F779" i="3"/>
  <c r="H779" i="3" s="1"/>
  <c r="F778" i="3"/>
  <c r="H778" i="3" s="1"/>
  <c r="F780" i="3"/>
  <c r="H780" i="3" s="1"/>
  <c r="F814" i="3"/>
  <c r="H814" i="3" s="1"/>
  <c r="F974" i="3"/>
  <c r="H974" i="3" s="1"/>
  <c r="F981" i="3"/>
  <c r="H981" i="3" s="1"/>
  <c r="F985" i="3"/>
  <c r="H985" i="3" s="1"/>
  <c r="F852" i="3"/>
  <c r="H852" i="3" s="1"/>
  <c r="F863" i="3"/>
  <c r="H863" i="3" s="1"/>
  <c r="F839" i="3"/>
  <c r="H839" i="3" s="1"/>
  <c r="F875" i="3"/>
  <c r="H875" i="3" s="1"/>
  <c r="F838" i="3"/>
  <c r="H838" i="3" s="1"/>
  <c r="F989" i="3"/>
  <c r="H989" i="3" s="1"/>
  <c r="F993" i="3"/>
  <c r="H993" i="3" s="1"/>
  <c r="F994" i="3"/>
  <c r="H994" i="3" s="1"/>
  <c r="F1014" i="3"/>
  <c r="H1014" i="3" s="1"/>
  <c r="F996" i="3"/>
  <c r="H996" i="3" s="1"/>
  <c r="F1007" i="3"/>
  <c r="H1007" i="3" s="1"/>
  <c r="F1026" i="3"/>
  <c r="H1026" i="3" s="1"/>
  <c r="F1030" i="3"/>
  <c r="H1030" i="3" s="1"/>
  <c r="F1034" i="3"/>
  <c r="H1034" i="3" s="1"/>
  <c r="F1039" i="3"/>
  <c r="H1039" i="3" s="1"/>
  <c r="F1065" i="3"/>
  <c r="H1065" i="3" s="1"/>
  <c r="F1197" i="3"/>
  <c r="H1197" i="3" s="1"/>
  <c r="F1205" i="3"/>
  <c r="H1205" i="3" s="1"/>
  <c r="F1215" i="3"/>
  <c r="H1215" i="3" s="1"/>
  <c r="F1212" i="3"/>
  <c r="H1212" i="3" s="1"/>
  <c r="F1133" i="3"/>
  <c r="H1133" i="3" s="1"/>
  <c r="F277" i="3"/>
  <c r="H277" i="3" s="1"/>
  <c r="F299" i="3"/>
  <c r="H299" i="3" s="1"/>
  <c r="F303" i="3"/>
  <c r="H303" i="3" s="1"/>
  <c r="F307" i="3"/>
  <c r="H307" i="3" s="1"/>
  <c r="F315" i="3"/>
  <c r="H315" i="3" s="1"/>
  <c r="F318" i="3"/>
  <c r="H318" i="3" s="1"/>
  <c r="F342" i="3"/>
  <c r="H342" i="3" s="1"/>
  <c r="F352" i="3"/>
  <c r="H352" i="3" s="1"/>
  <c r="F475" i="3"/>
  <c r="H475" i="3" s="1"/>
  <c r="F483" i="3"/>
  <c r="H483" i="3" s="1"/>
  <c r="F482" i="3"/>
  <c r="H482" i="3" s="1"/>
  <c r="F484" i="3"/>
  <c r="H484" i="3" s="1"/>
  <c r="F495" i="3"/>
  <c r="H495" i="3" s="1"/>
  <c r="F497" i="3"/>
  <c r="H497" i="3" s="1"/>
  <c r="F500" i="3"/>
  <c r="H500" i="3" s="1"/>
  <c r="F503" i="3"/>
  <c r="H503" i="3" s="1"/>
  <c r="F377" i="3"/>
  <c r="H377" i="3" s="1"/>
  <c r="F409" i="3"/>
  <c r="H409" i="3" s="1"/>
  <c r="F386" i="3"/>
  <c r="H386" i="3" s="1"/>
  <c r="F394" i="3"/>
  <c r="H394" i="3" s="1"/>
  <c r="F429" i="3"/>
  <c r="H429" i="3" s="1"/>
  <c r="F361" i="3"/>
  <c r="H361" i="3" s="1"/>
  <c r="F396" i="3"/>
  <c r="H396" i="3" s="1"/>
  <c r="F515" i="3"/>
  <c r="H515" i="3" s="1"/>
  <c r="F516" i="3"/>
  <c r="H516" i="3" s="1"/>
  <c r="F533" i="3"/>
  <c r="H533" i="3" s="1"/>
  <c r="F541" i="3"/>
  <c r="H541" i="3" s="1"/>
  <c r="F553" i="3"/>
  <c r="H553" i="3" s="1"/>
  <c r="F565" i="3"/>
  <c r="H565" i="3" s="1"/>
  <c r="F580" i="3"/>
  <c r="H580" i="3" s="1"/>
  <c r="F592" i="3"/>
  <c r="H592" i="3" s="1"/>
  <c r="F720" i="3"/>
  <c r="H720" i="3" s="1"/>
  <c r="F721" i="3"/>
  <c r="H721" i="3" s="1"/>
  <c r="F723" i="3"/>
  <c r="H723" i="3" s="1"/>
  <c r="F730" i="3"/>
  <c r="H730" i="3" s="1"/>
  <c r="F733" i="3"/>
  <c r="H733" i="3" s="1"/>
  <c r="F738" i="3"/>
  <c r="H738" i="3" s="1"/>
  <c r="F740" i="3"/>
  <c r="H740" i="3" s="1"/>
  <c r="F615" i="3"/>
  <c r="H615" i="3" s="1"/>
  <c r="F616" i="3"/>
  <c r="H616" i="3" s="1"/>
  <c r="F696" i="3"/>
  <c r="H696" i="3" s="1"/>
  <c r="F617" i="3"/>
  <c r="H617" i="3" s="1"/>
  <c r="F625" i="3"/>
  <c r="H625" i="3" s="1"/>
  <c r="F298" i="3"/>
  <c r="H298" i="3" s="1"/>
  <c r="F304" i="3"/>
  <c r="H304" i="3" s="1"/>
  <c r="F306" i="3"/>
  <c r="H306" i="3" s="1"/>
  <c r="F314" i="3"/>
  <c r="H314" i="3" s="1"/>
  <c r="F311" i="3"/>
  <c r="H311" i="3" s="1"/>
  <c r="F326" i="3"/>
  <c r="H326" i="3" s="1"/>
  <c r="F333" i="3"/>
  <c r="H333" i="3" s="1"/>
  <c r="F332" i="3"/>
  <c r="H332" i="3" s="1"/>
  <c r="F341" i="3"/>
  <c r="H341" i="3" s="1"/>
  <c r="F344" i="3"/>
  <c r="H344" i="3" s="1"/>
  <c r="F346" i="3"/>
  <c r="H346" i="3" s="1"/>
  <c r="F355" i="3"/>
  <c r="H355" i="3" s="1"/>
  <c r="F473" i="3"/>
  <c r="H473" i="3" s="1"/>
  <c r="F476" i="3"/>
  <c r="H476" i="3" s="1"/>
  <c r="F470" i="3"/>
  <c r="H470" i="3" s="1"/>
  <c r="F481" i="3"/>
  <c r="H481" i="3" s="1"/>
  <c r="F480" i="3"/>
  <c r="H480" i="3" s="1"/>
  <c r="F491" i="3"/>
  <c r="H491" i="3" s="1"/>
  <c r="F507" i="3"/>
  <c r="H507" i="3" s="1"/>
  <c r="F506" i="3"/>
  <c r="H506" i="3" s="1"/>
  <c r="F387" i="3"/>
  <c r="H387" i="3" s="1"/>
  <c r="F424" i="3"/>
  <c r="H424" i="3" s="1"/>
  <c r="F432" i="3"/>
  <c r="H432" i="3" s="1"/>
  <c r="F448" i="3"/>
  <c r="H448" i="3" s="1"/>
  <c r="F428" i="3"/>
  <c r="H428" i="3" s="1"/>
  <c r="F538" i="3"/>
  <c r="H538" i="3" s="1"/>
  <c r="F539" i="3"/>
  <c r="H539" i="3" s="1"/>
  <c r="F546" i="3"/>
  <c r="H546" i="3" s="1"/>
  <c r="F531" i="3"/>
  <c r="H531" i="3" s="1"/>
  <c r="F554" i="3"/>
  <c r="H554" i="3" s="1"/>
  <c r="F556" i="3"/>
  <c r="H556" i="3" s="1"/>
  <c r="F557" i="3"/>
  <c r="H557" i="3" s="1"/>
  <c r="F574" i="3"/>
  <c r="H574" i="3" s="1"/>
  <c r="F581" i="3"/>
  <c r="H581" i="3" s="1"/>
  <c r="F584" i="3"/>
  <c r="H584" i="3" s="1"/>
  <c r="F597" i="3"/>
  <c r="H597" i="3" s="1"/>
  <c r="F717" i="3"/>
  <c r="H717" i="3" s="1"/>
  <c r="F710" i="3"/>
  <c r="H710" i="3" s="1"/>
  <c r="F714" i="3"/>
  <c r="H714" i="3" s="1"/>
  <c r="F711" i="3"/>
  <c r="H711" i="3" s="1"/>
  <c r="F722" i="3"/>
  <c r="H722" i="3" s="1"/>
  <c r="F737" i="3"/>
  <c r="H737" i="3" s="1"/>
  <c r="F741" i="3"/>
  <c r="H741" i="3" s="1"/>
  <c r="F747" i="3"/>
  <c r="H747" i="3" s="1"/>
  <c r="F606" i="3"/>
  <c r="H606" i="3" s="1"/>
  <c r="F699" i="3"/>
  <c r="H699" i="3" s="1"/>
  <c r="F609" i="3"/>
  <c r="H609" i="3" s="1"/>
  <c r="F658" i="3"/>
  <c r="H658" i="3" s="1"/>
  <c r="F752" i="3"/>
  <c r="H752" i="3" s="1"/>
  <c r="F756" i="3"/>
  <c r="H756" i="3" s="1"/>
  <c r="F781" i="3"/>
  <c r="H781" i="3" s="1"/>
  <c r="F785" i="3"/>
  <c r="H785" i="3" s="1"/>
  <c r="F766" i="3"/>
  <c r="H766" i="3" s="1"/>
  <c r="F767" i="3"/>
  <c r="H767" i="3" s="1"/>
  <c r="F771" i="3"/>
  <c r="H771" i="3" s="1"/>
  <c r="F792" i="3"/>
  <c r="H792" i="3" s="1"/>
  <c r="F793" i="3"/>
  <c r="H793" i="3" s="1"/>
  <c r="F787" i="3"/>
  <c r="H787" i="3" s="1"/>
  <c r="F788" i="3"/>
  <c r="H788" i="3" s="1"/>
  <c r="F805" i="3"/>
  <c r="H805" i="3" s="1"/>
  <c r="F804" i="3"/>
  <c r="H804" i="3" s="1"/>
  <c r="F807" i="3"/>
  <c r="H807" i="3" s="1"/>
  <c r="F813" i="3"/>
  <c r="H813" i="3" s="1"/>
  <c r="F812" i="3"/>
  <c r="H812" i="3" s="1"/>
  <c r="F794" i="3"/>
  <c r="H794" i="3" s="1"/>
  <c r="F817" i="3"/>
  <c r="H817" i="3" s="1"/>
  <c r="F819" i="3"/>
  <c r="H819" i="3" s="1"/>
  <c r="F821" i="3"/>
  <c r="H821" i="3" s="1"/>
  <c r="F823" i="3"/>
  <c r="H823" i="3" s="1"/>
  <c r="F827" i="3"/>
  <c r="H827" i="3" s="1"/>
  <c r="F829" i="3"/>
  <c r="H829" i="3" s="1"/>
  <c r="F833" i="3"/>
  <c r="H833" i="3" s="1"/>
  <c r="F956" i="3"/>
  <c r="H956" i="3" s="1"/>
  <c r="F952" i="3"/>
  <c r="H952" i="3" s="1"/>
  <c r="F949" i="3"/>
  <c r="H949" i="3" s="1"/>
  <c r="F953" i="3"/>
  <c r="H953" i="3" s="1"/>
  <c r="F950" i="3"/>
  <c r="H950" i="3" s="1"/>
  <c r="F961" i="3"/>
  <c r="H961" i="3" s="1"/>
  <c r="F960" i="3"/>
  <c r="H960" i="3" s="1"/>
  <c r="F962" i="3"/>
  <c r="H962" i="3" s="1"/>
  <c r="F965" i="3"/>
  <c r="H965" i="3" s="1"/>
  <c r="F968" i="3"/>
  <c r="H968" i="3" s="1"/>
  <c r="F970" i="3"/>
  <c r="H970" i="3" s="1"/>
  <c r="F969" i="3"/>
  <c r="H969" i="3" s="1"/>
  <c r="F973" i="3"/>
  <c r="H973" i="3" s="1"/>
  <c r="F972" i="3"/>
  <c r="H972" i="3" s="1"/>
  <c r="F975" i="3"/>
  <c r="H975" i="3" s="1"/>
  <c r="F977" i="3"/>
  <c r="H977" i="3" s="1"/>
  <c r="F979" i="3"/>
  <c r="H979" i="3" s="1"/>
  <c r="F862" i="3"/>
  <c r="H862" i="3" s="1"/>
  <c r="F933" i="3"/>
  <c r="H933" i="3" s="1"/>
  <c r="F847" i="3"/>
  <c r="H847" i="3" s="1"/>
  <c r="F900" i="3"/>
  <c r="H900" i="3" s="1"/>
  <c r="F902" i="3"/>
  <c r="H902" i="3" s="1"/>
  <c r="F846" i="3"/>
  <c r="H846" i="3" s="1"/>
  <c r="P1005" i="1"/>
  <c r="F995" i="3"/>
  <c r="H995" i="3" s="1"/>
  <c r="F1018" i="3"/>
  <c r="H1018" i="3" s="1"/>
  <c r="F1010" i="3"/>
  <c r="H1010" i="3" s="1"/>
  <c r="F1031" i="3"/>
  <c r="H1031" i="3" s="1"/>
  <c r="F1027" i="3"/>
  <c r="H1027" i="3" s="1"/>
  <c r="F1044" i="3"/>
  <c r="H1044" i="3" s="1"/>
  <c r="F1043" i="3"/>
  <c r="H1043" i="3" s="1"/>
  <c r="F1046" i="3"/>
  <c r="H1046" i="3" s="1"/>
  <c r="F1060" i="3"/>
  <c r="H1060" i="3" s="1"/>
  <c r="F1200" i="3"/>
  <c r="H1200" i="3" s="1"/>
  <c r="F1199" i="3"/>
  <c r="H1199" i="3" s="1"/>
  <c r="F1201" i="3"/>
  <c r="H1201" i="3" s="1"/>
  <c r="F1204" i="3"/>
  <c r="H1204" i="3" s="1"/>
  <c r="F1171" i="3"/>
  <c r="H1171" i="3" s="1"/>
  <c r="F1146" i="3"/>
  <c r="H1146" i="3" s="1"/>
  <c r="F608" i="3"/>
  <c r="H608" i="3" s="1"/>
  <c r="F633" i="3"/>
  <c r="H633" i="3" s="1"/>
  <c r="F649" i="3"/>
  <c r="H649" i="3" s="1"/>
  <c r="F668" i="3"/>
  <c r="H668" i="3" s="1"/>
  <c r="F600" i="3"/>
  <c r="H600" i="3" s="1"/>
  <c r="F670" i="3"/>
  <c r="H670" i="3" s="1"/>
  <c r="F607" i="3"/>
  <c r="H607" i="3" s="1"/>
  <c r="F664" i="3"/>
  <c r="H664" i="3" s="1"/>
  <c r="F754" i="3"/>
  <c r="H754" i="3" s="1"/>
  <c r="F755" i="3"/>
  <c r="H755" i="3" s="1"/>
  <c r="F774" i="3"/>
  <c r="H774" i="3" s="1"/>
  <c r="F776" i="3"/>
  <c r="H776" i="3" s="1"/>
  <c r="F782" i="3"/>
  <c r="H782" i="3" s="1"/>
  <c r="F783" i="3"/>
  <c r="H783" i="3" s="1"/>
  <c r="F768" i="3"/>
  <c r="H768" i="3" s="1"/>
  <c r="F770" i="3"/>
  <c r="H770" i="3" s="1"/>
  <c r="F790" i="3"/>
  <c r="H790" i="3" s="1"/>
  <c r="F791" i="3"/>
  <c r="H791" i="3" s="1"/>
  <c r="F795" i="3"/>
  <c r="H795" i="3" s="1"/>
  <c r="F796" i="3"/>
  <c r="H796" i="3" s="1"/>
  <c r="F806" i="3"/>
  <c r="H806" i="3" s="1"/>
  <c r="F818" i="3"/>
  <c r="H818" i="3" s="1"/>
  <c r="F837" i="3"/>
  <c r="H837" i="3" s="1"/>
  <c r="F830" i="3"/>
  <c r="H830" i="3" s="1"/>
  <c r="F957" i="3"/>
  <c r="H957" i="3" s="1"/>
  <c r="F954" i="3"/>
  <c r="H954" i="3" s="1"/>
  <c r="F948" i="3"/>
  <c r="H948" i="3" s="1"/>
  <c r="F959" i="3"/>
  <c r="H959" i="3" s="1"/>
  <c r="F958" i="3"/>
  <c r="H958" i="3" s="1"/>
  <c r="F964" i="3"/>
  <c r="H964" i="3" s="1"/>
  <c r="F963" i="3"/>
  <c r="H963" i="3" s="1"/>
  <c r="F966" i="3"/>
  <c r="H966" i="3" s="1"/>
  <c r="F967" i="3"/>
  <c r="H967" i="3" s="1"/>
  <c r="F976" i="3"/>
  <c r="H976" i="3" s="1"/>
  <c r="F971" i="3"/>
  <c r="H971" i="3" s="1"/>
  <c r="F978" i="3"/>
  <c r="H978" i="3" s="1"/>
  <c r="F980" i="3"/>
  <c r="H980" i="3" s="1"/>
  <c r="F986" i="3"/>
  <c r="H986" i="3" s="1"/>
  <c r="F854" i="3"/>
  <c r="H854" i="3" s="1"/>
  <c r="F934" i="3"/>
  <c r="H934" i="3" s="1"/>
  <c r="F848" i="3"/>
  <c r="H848" i="3" s="1"/>
  <c r="F856" i="3"/>
  <c r="H856" i="3" s="1"/>
  <c r="F864" i="3"/>
  <c r="H864" i="3" s="1"/>
  <c r="F885" i="3"/>
  <c r="H885" i="3" s="1"/>
  <c r="F897" i="3"/>
  <c r="H897" i="3" s="1"/>
  <c r="F888" i="3"/>
  <c r="H888" i="3" s="1"/>
  <c r="F907" i="3"/>
  <c r="H907" i="3" s="1"/>
  <c r="F991" i="3"/>
  <c r="H991" i="3" s="1"/>
  <c r="F1013" i="3"/>
  <c r="H1013" i="3" s="1"/>
  <c r="F1023" i="3"/>
  <c r="H1023" i="3" s="1"/>
  <c r="F1029" i="3"/>
  <c r="H1029" i="3" s="1"/>
  <c r="F1054" i="3"/>
  <c r="H1054" i="3" s="1"/>
  <c r="F1057" i="3"/>
  <c r="H1057" i="3" s="1"/>
  <c r="F1061" i="3"/>
  <c r="H1061" i="3" s="1"/>
  <c r="F1075" i="3"/>
  <c r="H1075" i="3" s="1"/>
  <c r="F1069" i="3"/>
  <c r="H1069" i="3" s="1"/>
  <c r="F1190" i="3"/>
  <c r="H1190" i="3" s="1"/>
  <c r="F1196" i="3"/>
  <c r="H1196" i="3" s="1"/>
  <c r="F1193" i="3"/>
  <c r="H1193" i="3" s="1"/>
  <c r="F1187" i="3"/>
  <c r="H1187" i="3" s="1"/>
  <c r="F1198" i="3"/>
  <c r="H1198" i="3" s="1"/>
  <c r="F1209" i="3"/>
  <c r="H1209" i="3" s="1"/>
  <c r="F1218" i="3"/>
  <c r="H1218" i="3" s="1"/>
  <c r="F1100" i="3"/>
  <c r="H1100" i="3" s="1"/>
  <c r="F1102" i="3"/>
  <c r="H1102" i="3" s="1"/>
  <c r="F1103" i="3"/>
  <c r="H1103" i="3" s="1"/>
  <c r="F1136" i="3"/>
  <c r="H1136" i="3" s="1"/>
  <c r="F1141" i="3"/>
  <c r="H1141" i="3" s="1"/>
  <c r="F1077" i="3"/>
  <c r="H1077" i="3" s="1"/>
  <c r="F1016" i="3"/>
  <c r="H1016" i="3" s="1"/>
  <c r="F1021" i="3"/>
  <c r="H1021" i="3" s="1"/>
  <c r="F1019" i="3"/>
  <c r="H1019" i="3" s="1"/>
  <c r="F1020" i="3"/>
  <c r="H1020" i="3" s="1"/>
  <c r="F1004" i="3"/>
  <c r="H1004" i="3" s="1"/>
  <c r="F1028" i="3"/>
  <c r="H1028" i="3" s="1"/>
  <c r="F1047" i="3"/>
  <c r="H1047" i="3" s="1"/>
  <c r="F1048" i="3"/>
  <c r="H1048" i="3" s="1"/>
  <c r="F1033" i="3"/>
  <c r="H1033" i="3" s="1"/>
  <c r="F1056" i="3"/>
  <c r="H1056" i="3" s="1"/>
  <c r="F1070" i="3"/>
  <c r="H1070" i="3" s="1"/>
  <c r="F1188" i="3"/>
  <c r="H1188" i="3" s="1"/>
  <c r="F1192" i="3"/>
  <c r="H1192" i="3" s="1"/>
  <c r="F1189" i="3"/>
  <c r="H1189" i="3" s="1"/>
  <c r="F1206" i="3"/>
  <c r="H1206" i="3" s="1"/>
  <c r="F1210" i="3"/>
  <c r="H1210" i="3" s="1"/>
  <c r="F1213" i="3"/>
  <c r="H1213" i="3" s="1"/>
  <c r="F1216" i="3"/>
  <c r="H1216" i="3" s="1"/>
  <c r="F1220" i="3"/>
  <c r="H1220" i="3" s="1"/>
  <c r="F1219" i="3"/>
  <c r="H1219" i="3" s="1"/>
  <c r="F1224" i="3"/>
  <c r="H1224" i="3" s="1"/>
  <c r="F1091" i="3"/>
  <c r="H1091" i="3" s="1"/>
  <c r="F1174" i="3"/>
  <c r="H1174" i="3" s="1"/>
  <c r="F1177" i="3"/>
  <c r="H1177" i="3" s="1"/>
  <c r="F1086" i="3"/>
  <c r="H1086" i="3" s="1"/>
  <c r="F1087" i="3"/>
  <c r="H1087" i="3" s="1"/>
  <c r="F1095" i="3"/>
  <c r="H1095" i="3" s="1"/>
  <c r="F1139" i="3"/>
  <c r="H1139" i="3" s="1"/>
  <c r="F1127" i="3"/>
  <c r="H1127" i="3" s="1"/>
  <c r="F1144" i="3"/>
  <c r="H1144" i="3" s="1"/>
  <c r="F1138" i="3"/>
  <c r="H1138" i="3" s="1"/>
  <c r="F951" i="3"/>
  <c r="H951" i="3" s="1"/>
  <c r="F1195" i="3"/>
  <c r="H1195" i="3" s="1"/>
  <c r="F1078" i="3"/>
  <c r="H1078" i="3" s="1"/>
  <c r="F713" i="3"/>
  <c r="H713" i="3" s="1"/>
  <c r="F360" i="3"/>
  <c r="H360" i="3" s="1"/>
  <c r="F1163" i="3"/>
  <c r="H1163" i="3" s="1"/>
  <c r="F368" i="3" l="1"/>
  <c r="H368" i="3" s="1"/>
  <c r="F599" i="3"/>
  <c r="H599" i="3" s="1"/>
  <c r="F309" i="3"/>
  <c r="H309" i="3" s="1"/>
  <c r="F551" i="3"/>
  <c r="H551" i="3" s="1"/>
  <c r="F789" i="3"/>
  <c r="H789" i="3" s="1"/>
  <c r="F1032" i="3"/>
  <c r="H1032" i="3" s="1"/>
  <c r="P1037" i="1"/>
  <c r="P1036" i="1"/>
  <c r="P799" i="1"/>
  <c r="P798" i="1"/>
  <c r="P561" i="1"/>
  <c r="P560" i="1"/>
  <c r="P323" i="1"/>
  <c r="P322" i="1"/>
  <c r="F343" i="3" l="1"/>
  <c r="H343" i="3" s="1"/>
  <c r="F583" i="3"/>
  <c r="H583" i="3" s="1"/>
  <c r="F820" i="3"/>
  <c r="H820" i="3" s="1"/>
  <c r="F1058" i="3"/>
  <c r="H1058" i="3" s="1"/>
  <c r="F345" i="3"/>
  <c r="H345" i="3" s="1"/>
  <c r="F582" i="3"/>
  <c r="H582" i="3" s="1"/>
  <c r="F822" i="3"/>
  <c r="H822" i="3" s="1"/>
  <c r="F1059" i="3"/>
  <c r="H1059" i="3" s="1"/>
  <c r="I27" i="3" l="1"/>
  <c r="D15" i="3"/>
  <c r="I25" i="3" s="1"/>
  <c r="K25" i="3" l="1"/>
  <c r="M25" i="3" s="1"/>
  <c r="G16" i="3"/>
  <c r="G15" i="3"/>
  <c r="G14" i="3"/>
  <c r="G13" i="3"/>
  <c r="G12" i="3"/>
  <c r="G11" i="3"/>
  <c r="D14" i="3" l="1"/>
  <c r="I14" i="3" s="1"/>
  <c r="I10" i="3" l="1"/>
  <c r="P103" i="1" l="1"/>
  <c r="F130" i="3" s="1"/>
  <c r="H130" i="3" s="1"/>
  <c r="Q3" i="2" l="1"/>
  <c r="Q2" i="2"/>
  <c r="Q4" i="2" l="1"/>
  <c r="Q5" i="2" s="1"/>
  <c r="O328" i="1" l="1"/>
  <c r="P328" i="1" s="1"/>
  <c r="O804" i="1"/>
  <c r="P804" i="1" s="1"/>
  <c r="O566" i="1"/>
  <c r="P566" i="1" s="1"/>
  <c r="O1042" i="1"/>
  <c r="P1042" i="1" s="1"/>
  <c r="F826" i="3" l="1"/>
  <c r="H826" i="3" s="1"/>
  <c r="F1064" i="3"/>
  <c r="H1064" i="3" s="1"/>
  <c r="F588" i="3"/>
  <c r="H588" i="3" s="1"/>
  <c r="P2" i="2"/>
  <c r="P3" i="2" l="1"/>
  <c r="P4" i="2" s="1"/>
  <c r="O336" i="1" l="1"/>
  <c r="P336" i="1" s="1"/>
  <c r="O508" i="1"/>
  <c r="O574" i="1"/>
  <c r="P574" i="1" s="1"/>
  <c r="O794" i="1"/>
  <c r="P794" i="1" s="1"/>
  <c r="O812" i="1"/>
  <c r="P812" i="1" s="1"/>
  <c r="O976" i="1"/>
  <c r="O1026" i="1"/>
  <c r="P1026" i="1" s="1"/>
  <c r="O1031" i="1"/>
  <c r="P1031" i="1" s="1"/>
  <c r="O1050" i="1"/>
  <c r="P1050" i="1" s="1"/>
  <c r="O262" i="1"/>
  <c r="O277" i="1"/>
  <c r="P277" i="1" s="1"/>
  <c r="O317" i="1"/>
  <c r="P317" i="1" s="1"/>
  <c r="O500" i="1"/>
  <c r="O550" i="1"/>
  <c r="O555" i="1"/>
  <c r="O746" i="1"/>
  <c r="P746" i="1" s="1"/>
  <c r="O753" i="1"/>
  <c r="P753" i="1" s="1"/>
  <c r="O1032" i="1"/>
  <c r="O312" i="1"/>
  <c r="P312" i="1" s="1"/>
  <c r="O318" i="1"/>
  <c r="P318" i="1" s="1"/>
  <c r="O556" i="1"/>
  <c r="P556" i="1" s="1"/>
  <c r="O738" i="1"/>
  <c r="O788" i="1"/>
  <c r="P788" i="1" s="1"/>
  <c r="O991" i="1"/>
  <c r="P991" i="1" s="1"/>
  <c r="O270" i="1"/>
  <c r="O515" i="1"/>
  <c r="O793" i="1"/>
  <c r="P793" i="1" s="1"/>
  <c r="O984" i="1"/>
  <c r="P984" i="1" s="1"/>
  <c r="P976" i="1"/>
  <c r="P738" i="1"/>
  <c r="P550" i="1"/>
  <c r="P500" i="1"/>
  <c r="P270" i="1"/>
  <c r="P1032" i="1"/>
  <c r="P555" i="1"/>
  <c r="P515" i="1"/>
  <c r="P508" i="1"/>
  <c r="P262" i="1"/>
  <c r="P11" i="1"/>
  <c r="F38" i="3" s="1"/>
  <c r="H38" i="3" s="1"/>
  <c r="D13" i="3"/>
  <c r="I13" i="3" s="1"/>
  <c r="D12" i="3"/>
  <c r="I12" i="3" s="1"/>
  <c r="D11" i="3"/>
  <c r="I11" i="3" s="1"/>
  <c r="F301" i="3" l="1"/>
  <c r="H301" i="3" s="1"/>
  <c r="F339" i="3"/>
  <c r="H339" i="3" s="1"/>
  <c r="F524" i="3"/>
  <c r="H524" i="3" s="1"/>
  <c r="F594" i="3"/>
  <c r="H594" i="3" s="1"/>
  <c r="F762" i="3"/>
  <c r="H762" i="3" s="1"/>
  <c r="F1024" i="3"/>
  <c r="H1024" i="3" s="1"/>
  <c r="F1042" i="3"/>
  <c r="H1042" i="3" s="1"/>
  <c r="F1076" i="3"/>
  <c r="H1076" i="3" s="1"/>
  <c r="F286" i="3"/>
  <c r="H286" i="3" s="1"/>
  <c r="F353" i="3"/>
  <c r="H353" i="3" s="1"/>
  <c r="F567" i="3"/>
  <c r="H567" i="3" s="1"/>
  <c r="F777" i="3"/>
  <c r="H777" i="3" s="1"/>
  <c r="F815" i="3"/>
  <c r="H815" i="3" s="1"/>
  <c r="F1011" i="3"/>
  <c r="H1011" i="3" s="1"/>
  <c r="F331" i="3"/>
  <c r="H331" i="3" s="1"/>
  <c r="F544" i="3"/>
  <c r="H544" i="3" s="1"/>
  <c r="F576" i="3"/>
  <c r="H576" i="3" s="1"/>
  <c r="F784" i="3"/>
  <c r="H784" i="3" s="1"/>
  <c r="F816" i="3"/>
  <c r="H816" i="3" s="1"/>
  <c r="F1000" i="3"/>
  <c r="H1000" i="3" s="1"/>
  <c r="F1055" i="3"/>
  <c r="H1055" i="3" s="1"/>
  <c r="F308" i="3"/>
  <c r="H308" i="3" s="1"/>
  <c r="F340" i="3"/>
  <c r="H340" i="3" s="1"/>
  <c r="F537" i="3"/>
  <c r="H537" i="3" s="1"/>
  <c r="F578" i="3"/>
  <c r="H578" i="3" s="1"/>
  <c r="F808" i="3"/>
  <c r="H808" i="3" s="1"/>
  <c r="F836" i="3"/>
  <c r="H836" i="3" s="1"/>
  <c r="F1053" i="3"/>
  <c r="H1053" i="3" s="1"/>
  <c r="K10" i="3"/>
  <c r="M10" i="3" s="1"/>
  <c r="P148" i="1" l="1"/>
  <c r="F175" i="3" s="1"/>
  <c r="H175" i="3" s="1"/>
  <c r="P139" i="1"/>
  <c r="F166" i="3" s="1"/>
  <c r="H166" i="3" s="1"/>
  <c r="P136" i="1"/>
  <c r="F163" i="3" s="1"/>
  <c r="H163" i="3" s="1"/>
  <c r="P98" i="1"/>
  <c r="F125" i="3" s="1"/>
  <c r="H125" i="3" s="1"/>
  <c r="P99" i="1"/>
  <c r="F126" i="3" s="1"/>
  <c r="H126" i="3" s="1"/>
  <c r="P100" i="1"/>
  <c r="F127" i="3" s="1"/>
  <c r="H127" i="3" s="1"/>
  <c r="P1057" i="1"/>
  <c r="P819" i="1"/>
  <c r="P581" i="1"/>
  <c r="P343" i="1"/>
  <c r="J23" i="3"/>
  <c r="G17" i="3"/>
  <c r="I23" i="3" s="1"/>
  <c r="P102" i="1"/>
  <c r="F129" i="3" s="1"/>
  <c r="H129" i="3" s="1"/>
  <c r="P26" i="1" l="1"/>
  <c r="F53" i="3" s="1"/>
  <c r="H53" i="3" s="1"/>
  <c r="P50" i="1"/>
  <c r="F77" i="3" s="1"/>
  <c r="H77" i="3" s="1"/>
  <c r="P34" i="1"/>
  <c r="F61" i="3" s="1"/>
  <c r="H61" i="3" s="1"/>
  <c r="P28" i="1"/>
  <c r="F55" i="3" s="1"/>
  <c r="H55" i="3" s="1"/>
  <c r="P16" i="1"/>
  <c r="F43" i="3" s="1"/>
  <c r="H43" i="3" s="1"/>
  <c r="P246" i="1"/>
  <c r="P232" i="1"/>
  <c r="F259" i="3" s="1"/>
  <c r="H259" i="3" s="1"/>
  <c r="P230" i="1"/>
  <c r="F257" i="3" s="1"/>
  <c r="H257" i="3" s="1"/>
  <c r="P228" i="1"/>
  <c r="F255" i="3" s="1"/>
  <c r="H255" i="3" s="1"/>
  <c r="P229" i="1"/>
  <c r="F256" i="3" s="1"/>
  <c r="H256" i="3" s="1"/>
  <c r="P231" i="1"/>
  <c r="F258" i="3" s="1"/>
  <c r="H258" i="3" s="1"/>
  <c r="P227" i="1"/>
  <c r="F254" i="3" s="1"/>
  <c r="H254" i="3" s="1"/>
  <c r="P72" i="1"/>
  <c r="F99" i="3" s="1"/>
  <c r="H99" i="3" s="1"/>
  <c r="P128" i="1"/>
  <c r="F155" i="3" s="1"/>
  <c r="H155" i="3" s="1"/>
  <c r="P10" i="1"/>
  <c r="F37" i="3" s="1"/>
  <c r="H37" i="3" s="1"/>
  <c r="P81" i="1"/>
  <c r="F108" i="3" s="1"/>
  <c r="H108" i="3" s="1"/>
  <c r="P84" i="1"/>
  <c r="F111" i="3" s="1"/>
  <c r="P126" i="1"/>
  <c r="F153" i="3" s="1"/>
  <c r="H153" i="3" s="1"/>
  <c r="P171" i="1"/>
  <c r="F198" i="3" s="1"/>
  <c r="H198" i="3" s="1"/>
  <c r="P170" i="1"/>
  <c r="F197" i="3" s="1"/>
  <c r="H197" i="3" s="1"/>
  <c r="P166" i="1"/>
  <c r="F193" i="3" s="1"/>
  <c r="H193" i="3" s="1"/>
  <c r="P147" i="1"/>
  <c r="F174" i="3" s="1"/>
  <c r="H174" i="3" s="1"/>
  <c r="P130" i="1"/>
  <c r="F157" i="3" s="1"/>
  <c r="H157" i="3" s="1"/>
  <c r="P132" i="1"/>
  <c r="F159" i="3" s="1"/>
  <c r="H159" i="3" s="1"/>
  <c r="P131" i="1"/>
  <c r="F158" i="3" s="1"/>
  <c r="H158" i="3" s="1"/>
  <c r="P90" i="1"/>
  <c r="F117" i="3" s="1"/>
  <c r="H117" i="3" s="1"/>
  <c r="P109" i="1"/>
  <c r="F136" i="3" s="1"/>
  <c r="H136" i="3" s="1"/>
  <c r="P92" i="1"/>
  <c r="F119" i="3" s="1"/>
  <c r="H119" i="3" s="1"/>
  <c r="P159" i="1"/>
  <c r="F186" i="3" s="1"/>
  <c r="H186" i="3" s="1"/>
  <c r="P89" i="1"/>
  <c r="F116" i="3" s="1"/>
  <c r="H116" i="3" s="1"/>
  <c r="P87" i="1"/>
  <c r="F114" i="3" s="1"/>
  <c r="H114" i="3" s="1"/>
  <c r="P97" i="1"/>
  <c r="F124" i="3" s="1"/>
  <c r="H124" i="3" s="1"/>
  <c r="P111" i="1"/>
  <c r="F138" i="3" s="1"/>
  <c r="H138" i="3" s="1"/>
  <c r="P125" i="1"/>
  <c r="F152" i="3" s="1"/>
  <c r="H152" i="3" s="1"/>
  <c r="P117" i="1"/>
  <c r="F144" i="3" s="1"/>
  <c r="H144" i="3" s="1"/>
  <c r="P119" i="1"/>
  <c r="F146" i="3" s="1"/>
  <c r="H146" i="3" s="1"/>
  <c r="P122" i="1"/>
  <c r="F149" i="3" s="1"/>
  <c r="H149" i="3" s="1"/>
  <c r="P107" i="1"/>
  <c r="F134" i="3" s="1"/>
  <c r="P108" i="1"/>
  <c r="F135" i="3" s="1"/>
  <c r="H135" i="3" s="1"/>
  <c r="P106" i="1"/>
  <c r="F133" i="3" s="1"/>
  <c r="H133" i="3" s="1"/>
  <c r="P104" i="1"/>
  <c r="F131" i="3" s="1"/>
  <c r="H131" i="3" s="1"/>
  <c r="P105" i="1"/>
  <c r="F132" i="3" s="1"/>
  <c r="H132" i="3" s="1"/>
  <c r="P101" i="1"/>
  <c r="F128" i="3" s="1"/>
  <c r="H128" i="3" s="1"/>
  <c r="P93" i="1"/>
  <c r="F120" i="3" s="1"/>
  <c r="H120" i="3" s="1"/>
  <c r="P91" i="1"/>
  <c r="F118" i="3" s="1"/>
  <c r="H118" i="3" s="1"/>
  <c r="P83" i="1"/>
  <c r="F110" i="3" s="1"/>
  <c r="H110" i="3" s="1"/>
  <c r="P45" i="1"/>
  <c r="F72" i="3" s="1"/>
  <c r="H72" i="3" s="1"/>
  <c r="P49" i="1"/>
  <c r="F76" i="3" s="1"/>
  <c r="H76" i="3" s="1"/>
  <c r="P19" i="1"/>
  <c r="F46" i="3" s="1"/>
  <c r="H46" i="3" s="1"/>
  <c r="P8" i="1"/>
  <c r="F35" i="3" s="1"/>
  <c r="H35" i="3" s="1"/>
  <c r="P71" i="1"/>
  <c r="F98" i="3" s="1"/>
  <c r="H98" i="3" s="1"/>
  <c r="P65" i="1"/>
  <c r="F92" i="3" s="1"/>
  <c r="H92" i="3" s="1"/>
  <c r="P64" i="1"/>
  <c r="F91" i="3" s="1"/>
  <c r="H91" i="3" s="1"/>
  <c r="P59" i="1"/>
  <c r="F86" i="3" s="1"/>
  <c r="H86" i="3" s="1"/>
  <c r="P68" i="1"/>
  <c r="F95" i="3" s="1"/>
  <c r="H95" i="3" s="1"/>
  <c r="P56" i="1"/>
  <c r="F83" i="3" s="1"/>
  <c r="H83" i="3" s="1"/>
  <c r="P54" i="1"/>
  <c r="F81" i="3" s="1"/>
  <c r="H81" i="3" s="1"/>
  <c r="P55" i="1"/>
  <c r="F82" i="3" s="1"/>
  <c r="H82" i="3" s="1"/>
  <c r="P53" i="1"/>
  <c r="F80" i="3" s="1"/>
  <c r="H80" i="3" s="1"/>
  <c r="P66" i="1"/>
  <c r="F93" i="3" s="1"/>
  <c r="H93" i="3" s="1"/>
  <c r="P69" i="1"/>
  <c r="F96" i="3" s="1"/>
  <c r="H96" i="3" s="1"/>
  <c r="P63" i="1"/>
  <c r="F90" i="3" s="1"/>
  <c r="H90" i="3" s="1"/>
  <c r="P67" i="1"/>
  <c r="F94" i="3" s="1"/>
  <c r="H94" i="3" s="1"/>
  <c r="P52" i="1"/>
  <c r="F79" i="3" s="1"/>
  <c r="H79" i="3" s="1"/>
  <c r="P60" i="1"/>
  <c r="F87" i="3" s="1"/>
  <c r="H87" i="3" s="1"/>
  <c r="P51" i="1"/>
  <c r="F78" i="3" s="1"/>
  <c r="H78" i="3" s="1"/>
  <c r="P61" i="1"/>
  <c r="F88" i="3" s="1"/>
  <c r="H88" i="3" s="1"/>
  <c r="P47" i="1"/>
  <c r="F74" i="3" s="1"/>
  <c r="H74" i="3" s="1"/>
  <c r="P43" i="1"/>
  <c r="F70" i="3" s="1"/>
  <c r="H70" i="3" s="1"/>
  <c r="P44" i="1"/>
  <c r="F71" i="3" s="1"/>
  <c r="H71" i="3" s="1"/>
  <c r="P48" i="1"/>
  <c r="F75" i="3" s="1"/>
  <c r="H75" i="3" s="1"/>
  <c r="P13" i="1"/>
  <c r="F40" i="3" s="1"/>
  <c r="H40" i="3" s="1"/>
  <c r="P23" i="1"/>
  <c r="F50" i="3" s="1"/>
  <c r="H50" i="3" s="1"/>
  <c r="P22" i="1"/>
  <c r="F49" i="3" s="1"/>
  <c r="H49" i="3" s="1"/>
  <c r="P21" i="1"/>
  <c r="F48" i="3" s="1"/>
  <c r="H48" i="3" s="1"/>
  <c r="P20" i="1"/>
  <c r="F47" i="3" s="1"/>
  <c r="H47" i="3" s="1"/>
  <c r="P17" i="1"/>
  <c r="F44" i="3" s="1"/>
  <c r="H44" i="3" s="1"/>
  <c r="P15" i="1"/>
  <c r="F42" i="3" s="1"/>
  <c r="H42" i="3" s="1"/>
  <c r="P42" i="1"/>
  <c r="F69" i="3" s="1"/>
  <c r="H69" i="3" s="1"/>
  <c r="P18" i="1"/>
  <c r="F45" i="3" s="1"/>
  <c r="H45" i="3" s="1"/>
  <c r="P14" i="1"/>
  <c r="F41" i="3" s="1"/>
  <c r="H41" i="3" s="1"/>
  <c r="P39" i="1"/>
  <c r="F66" i="3" s="1"/>
  <c r="H66" i="3" s="1"/>
  <c r="P25" i="1"/>
  <c r="F52" i="3" s="1"/>
  <c r="F471" i="3"/>
  <c r="H471" i="3" s="1"/>
  <c r="F718" i="3"/>
  <c r="H718" i="3" s="1"/>
  <c r="F1191" i="3"/>
  <c r="H1191" i="3" s="1"/>
  <c r="P1135" i="1"/>
  <c r="P32" i="1"/>
  <c r="F59" i="3" s="1"/>
  <c r="H59" i="3" s="1"/>
  <c r="P33" i="1"/>
  <c r="F60" i="3" s="1"/>
  <c r="H60" i="3" s="1"/>
  <c r="P31" i="1"/>
  <c r="F58" i="3" s="1"/>
  <c r="H58" i="3" s="1"/>
  <c r="P30" i="1"/>
  <c r="F57" i="3" s="1"/>
  <c r="H57" i="3" s="1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 s="1"/>
  <c r="H36" i="3" s="1"/>
  <c r="P7" i="1"/>
  <c r="F34" i="3" s="1"/>
  <c r="P6" i="1"/>
  <c r="F33" i="3" s="1"/>
  <c r="H33" i="3" s="1"/>
  <c r="P4" i="1"/>
  <c r="K23" i="3"/>
  <c r="M23" i="3" s="1"/>
  <c r="O10" i="3" s="1"/>
  <c r="E27" i="3" l="1"/>
  <c r="F31" i="3"/>
  <c r="P5" i="1"/>
  <c r="F32" i="3" s="1"/>
  <c r="P29" i="1"/>
  <c r="F56" i="3" s="1"/>
  <c r="H56" i="3" s="1"/>
  <c r="P24" i="1"/>
  <c r="F51" i="3" s="1"/>
  <c r="H51" i="3" s="1"/>
  <c r="P27" i="1"/>
  <c r="F54" i="3" s="1"/>
  <c r="H54" i="3" s="1"/>
  <c r="P46" i="1"/>
  <c r="F73" i="3" s="1"/>
  <c r="H73" i="3" s="1"/>
  <c r="P57" i="1"/>
  <c r="F84" i="3" s="1"/>
  <c r="H84" i="3" s="1"/>
  <c r="P77" i="1"/>
  <c r="P88" i="1"/>
  <c r="F115" i="3" s="1"/>
  <c r="H115" i="3" s="1"/>
  <c r="P85" i="1"/>
  <c r="F112" i="3" s="1"/>
  <c r="H112" i="3" s="1"/>
  <c r="P157" i="1"/>
  <c r="P164" i="1"/>
  <c r="F191" i="3" s="1"/>
  <c r="H191" i="3" s="1"/>
  <c r="P40" i="1"/>
  <c r="F67" i="3" s="1"/>
  <c r="H67" i="3" s="1"/>
  <c r="P58" i="1"/>
  <c r="F85" i="3" s="1"/>
  <c r="H85" i="3" s="1"/>
  <c r="P62" i="1"/>
  <c r="F89" i="3" s="1"/>
  <c r="H89" i="3" s="1"/>
  <c r="P38" i="1"/>
  <c r="F65" i="3" s="1"/>
  <c r="H65" i="3" s="1"/>
  <c r="P94" i="1"/>
  <c r="F121" i="3" s="1"/>
  <c r="H121" i="3" s="1"/>
  <c r="P110" i="1"/>
  <c r="F137" i="3" s="1"/>
  <c r="H137" i="3" s="1"/>
  <c r="P158" i="1"/>
  <c r="F185" i="3" s="1"/>
  <c r="H185" i="3" s="1"/>
  <c r="P165" i="1"/>
  <c r="F192" i="3" s="1"/>
  <c r="H192" i="3" s="1"/>
  <c r="P1047" i="1"/>
  <c r="P809" i="1"/>
  <c r="P333" i="1"/>
  <c r="P571" i="1"/>
  <c r="F1114" i="3"/>
  <c r="H1114" i="3" s="1"/>
  <c r="F1148" i="3"/>
  <c r="H1148" i="3" s="1"/>
  <c r="F1117" i="3"/>
  <c r="H1117" i="3" s="1"/>
  <c r="F1149" i="3"/>
  <c r="H1149" i="3" s="1"/>
  <c r="F400" i="3"/>
  <c r="H400" i="3" s="1"/>
  <c r="F404" i="3"/>
  <c r="H404" i="3" s="1"/>
  <c r="F431" i="3"/>
  <c r="H431" i="3" s="1"/>
  <c r="F446" i="3"/>
  <c r="H446" i="3" s="1"/>
  <c r="F636" i="3"/>
  <c r="H636" i="3" s="1"/>
  <c r="F643" i="3"/>
  <c r="H643" i="3" s="1"/>
  <c r="F666" i="3"/>
  <c r="H666" i="3" s="1"/>
  <c r="F641" i="3"/>
  <c r="H641" i="3" s="1"/>
  <c r="F905" i="3"/>
  <c r="H905" i="3" s="1"/>
  <c r="F882" i="3"/>
  <c r="H882" i="3" s="1"/>
  <c r="F924" i="3"/>
  <c r="H924" i="3" s="1"/>
  <c r="F880" i="3"/>
  <c r="H880" i="3" s="1"/>
  <c r="F910" i="3"/>
  <c r="H910" i="3" s="1"/>
  <c r="F402" i="3"/>
  <c r="H402" i="3" s="1"/>
  <c r="F427" i="3"/>
  <c r="H427" i="3" s="1"/>
  <c r="F397" i="3"/>
  <c r="H397" i="3" s="1"/>
  <c r="F685" i="3"/>
  <c r="H685" i="3" s="1"/>
  <c r="F671" i="3"/>
  <c r="H671" i="3" s="1"/>
  <c r="F909" i="3"/>
  <c r="H909" i="3" s="1"/>
  <c r="F878" i="3"/>
  <c r="H878" i="3" s="1"/>
  <c r="F1121" i="3"/>
  <c r="H1121" i="3" s="1"/>
  <c r="F1119" i="3"/>
  <c r="H1119" i="3" s="1"/>
  <c r="F419" i="3"/>
  <c r="H419" i="3" s="1"/>
  <c r="F416" i="3"/>
  <c r="H416" i="3" s="1"/>
  <c r="F349" i="3"/>
  <c r="H349" i="3" s="1"/>
  <c r="F407" i="3"/>
  <c r="H407" i="3" s="1"/>
  <c r="F653" i="3"/>
  <c r="H653" i="3" s="1"/>
  <c r="F587" i="3"/>
  <c r="H587" i="3" s="1"/>
  <c r="F655" i="3"/>
  <c r="H655" i="3" s="1"/>
  <c r="F892" i="3"/>
  <c r="H892" i="3" s="1"/>
  <c r="F872" i="3"/>
  <c r="H872" i="3" s="1"/>
  <c r="F825" i="3"/>
  <c r="H825" i="3" s="1"/>
  <c r="F1124" i="3"/>
  <c r="H1124" i="3" s="1"/>
  <c r="F1131" i="3"/>
  <c r="H1131" i="3" s="1"/>
  <c r="F1063" i="3"/>
  <c r="H1063" i="3" s="1"/>
  <c r="F1129" i="3"/>
  <c r="H1129" i="3" s="1"/>
  <c r="F1111" i="3"/>
  <c r="H1111" i="3" s="1"/>
  <c r="F412" i="3"/>
  <c r="H412" i="3" s="1"/>
  <c r="F460" i="3"/>
  <c r="H460" i="3" s="1"/>
  <c r="F646" i="3"/>
  <c r="H646" i="3" s="1"/>
  <c r="F894" i="3"/>
  <c r="H894" i="3" s="1"/>
  <c r="F938" i="3"/>
  <c r="H938" i="3" s="1"/>
  <c r="F890" i="3"/>
  <c r="H890" i="3" s="1"/>
  <c r="F935" i="3"/>
  <c r="H935" i="3" s="1"/>
  <c r="F1172" i="3"/>
  <c r="H1172" i="3" s="1"/>
  <c r="F423" i="3"/>
  <c r="H423" i="3" s="1"/>
  <c r="F403" i="3"/>
  <c r="H403" i="3" s="1"/>
  <c r="F411" i="3"/>
  <c r="H411" i="3" s="1"/>
  <c r="F413" i="3"/>
  <c r="H413" i="3" s="1"/>
  <c r="F421" i="3"/>
  <c r="H421" i="3" s="1"/>
  <c r="F435" i="3"/>
  <c r="H435" i="3" s="1"/>
  <c r="F452" i="3"/>
  <c r="H452" i="3" s="1"/>
  <c r="F505" i="3"/>
  <c r="H505" i="3" s="1"/>
  <c r="F328" i="3"/>
  <c r="H328" i="3" s="1"/>
  <c r="F284" i="3"/>
  <c r="H284" i="3" s="1"/>
  <c r="F388" i="3"/>
  <c r="H388" i="3" s="1"/>
  <c r="F325" i="3"/>
  <c r="H325" i="3" s="1"/>
  <c r="F322" i="3"/>
  <c r="H322" i="3" s="1"/>
  <c r="F280" i="3"/>
  <c r="H280" i="3" s="1"/>
  <c r="F281" i="3"/>
  <c r="H281" i="3" s="1"/>
  <c r="F285" i="3"/>
  <c r="H285" i="3" s="1"/>
  <c r="F319" i="3"/>
  <c r="H319" i="3" s="1"/>
  <c r="F288" i="3"/>
  <c r="H288" i="3" s="1"/>
  <c r="F389" i="3"/>
  <c r="H389" i="3" s="1"/>
  <c r="F376" i="3"/>
  <c r="H376" i="3" s="1"/>
  <c r="F384" i="3"/>
  <c r="H384" i="3" s="1"/>
  <c r="F405" i="3"/>
  <c r="H405" i="3" s="1"/>
  <c r="F456" i="3"/>
  <c r="H456" i="3" s="1"/>
  <c r="F336" i="3"/>
  <c r="H336" i="3" s="1"/>
  <c r="F660" i="3"/>
  <c r="H660" i="3" s="1"/>
  <c r="F635" i="3"/>
  <c r="H635" i="3" s="1"/>
  <c r="F647" i="3"/>
  <c r="H647" i="3" s="1"/>
  <c r="F650" i="3"/>
  <c r="H650" i="3" s="1"/>
  <c r="F659" i="3"/>
  <c r="H659" i="3" s="1"/>
  <c r="F667" i="3"/>
  <c r="H667" i="3" s="1"/>
  <c r="F644" i="3"/>
  <c r="H644" i="3" s="1"/>
  <c r="F743" i="3"/>
  <c r="H743" i="3" s="1"/>
  <c r="F573" i="3"/>
  <c r="H573" i="3" s="1"/>
  <c r="F522" i="3"/>
  <c r="H522" i="3" s="1"/>
  <c r="F626" i="3"/>
  <c r="H626" i="3" s="1"/>
  <c r="F569" i="3"/>
  <c r="H569" i="3" s="1"/>
  <c r="F559" i="3"/>
  <c r="H559" i="3" s="1"/>
  <c r="F520" i="3"/>
  <c r="H520" i="3" s="1"/>
  <c r="F523" i="3"/>
  <c r="H523" i="3" s="1"/>
  <c r="F562" i="3"/>
  <c r="H562" i="3" s="1"/>
  <c r="F561" i="3"/>
  <c r="H561" i="3" s="1"/>
  <c r="F525" i="3"/>
  <c r="H525" i="3" s="1"/>
  <c r="F744" i="3"/>
  <c r="H744" i="3" s="1"/>
  <c r="F613" i="3"/>
  <c r="H613" i="3" s="1"/>
  <c r="F624" i="3"/>
  <c r="H624" i="3" s="1"/>
  <c r="F648" i="3"/>
  <c r="H648" i="3" s="1"/>
  <c r="F693" i="3"/>
  <c r="H693" i="3" s="1"/>
  <c r="F555" i="3"/>
  <c r="H555" i="3" s="1"/>
  <c r="F899" i="3"/>
  <c r="H899" i="3" s="1"/>
  <c r="F874" i="3"/>
  <c r="H874" i="3" s="1"/>
  <c r="F896" i="3"/>
  <c r="H896" i="3" s="1"/>
  <c r="F926" i="3"/>
  <c r="H926" i="3" s="1"/>
  <c r="F889" i="3"/>
  <c r="H889" i="3" s="1"/>
  <c r="F898" i="3"/>
  <c r="H898" i="3" s="1"/>
  <c r="F887" i="3"/>
  <c r="H887" i="3" s="1"/>
  <c r="F803" i="3"/>
  <c r="H803" i="3" s="1"/>
  <c r="F861" i="3"/>
  <c r="H861" i="3" s="1"/>
  <c r="F799" i="3"/>
  <c r="H799" i="3" s="1"/>
  <c r="F763" i="3"/>
  <c r="H763" i="3" s="1"/>
  <c r="F931" i="3"/>
  <c r="H931" i="3" s="1"/>
  <c r="F765" i="3"/>
  <c r="H765" i="3" s="1"/>
  <c r="F867" i="3"/>
  <c r="H867" i="3" s="1"/>
  <c r="F801" i="3"/>
  <c r="H801" i="3" s="1"/>
  <c r="F786" i="3"/>
  <c r="H786" i="3" s="1"/>
  <c r="F809" i="3"/>
  <c r="H809" i="3" s="1"/>
  <c r="F811" i="3"/>
  <c r="H811" i="3" s="1"/>
  <c r="F797" i="3"/>
  <c r="H797" i="3" s="1"/>
  <c r="F984" i="3"/>
  <c r="H984" i="3" s="1"/>
  <c r="F843" i="3"/>
  <c r="H843" i="3" s="1"/>
  <c r="F1130" i="3"/>
  <c r="H1130" i="3" s="1"/>
  <c r="F1135" i="3"/>
  <c r="H1135" i="3" s="1"/>
  <c r="F1085" i="3"/>
  <c r="H1085" i="3" s="1"/>
  <c r="F1120" i="3"/>
  <c r="H1120" i="3" s="1"/>
  <c r="F1132" i="3"/>
  <c r="H1132" i="3" s="1"/>
  <c r="F1140" i="3"/>
  <c r="H1140" i="3" s="1"/>
  <c r="F1093" i="3"/>
  <c r="H1093" i="3" s="1"/>
  <c r="F1037" i="3"/>
  <c r="H1037" i="3" s="1"/>
  <c r="F998" i="3"/>
  <c r="H998" i="3" s="1"/>
  <c r="F1170" i="3"/>
  <c r="H1170" i="3" s="1"/>
  <c r="F1106" i="3"/>
  <c r="H1106" i="3" s="1"/>
  <c r="F1036" i="3"/>
  <c r="H1036" i="3" s="1"/>
  <c r="F1025" i="3"/>
  <c r="H1025" i="3" s="1"/>
  <c r="F1002" i="3"/>
  <c r="H1002" i="3" s="1"/>
  <c r="F1001" i="3"/>
  <c r="H1001" i="3" s="1"/>
  <c r="F1035" i="3"/>
  <c r="H1035" i="3" s="1"/>
  <c r="F1040" i="3"/>
  <c r="H1040" i="3" s="1"/>
  <c r="F1223" i="3"/>
  <c r="H1223" i="3" s="1"/>
  <c r="F1082" i="3"/>
  <c r="H1082" i="3" s="1"/>
  <c r="F1104" i="3"/>
  <c r="H1104" i="3" s="1"/>
  <c r="F1101" i="3"/>
  <c r="H1101" i="3" s="1"/>
  <c r="F1169" i="3"/>
  <c r="H1169" i="3" s="1"/>
  <c r="F1045" i="3"/>
  <c r="H1045" i="3" s="1"/>
  <c r="F415" i="3"/>
  <c r="H415" i="3" s="1"/>
  <c r="F420" i="3"/>
  <c r="H420" i="3" s="1"/>
  <c r="F408" i="3"/>
  <c r="H408" i="3" s="1"/>
  <c r="F418" i="3"/>
  <c r="H418" i="3" s="1"/>
  <c r="F425" i="3"/>
  <c r="H425" i="3" s="1"/>
  <c r="F455" i="3"/>
  <c r="H455" i="3" s="1"/>
  <c r="F374" i="3"/>
  <c r="H374" i="3" s="1"/>
  <c r="F289" i="3"/>
  <c r="H289" i="3" s="1"/>
  <c r="F321" i="3"/>
  <c r="H321" i="3" s="1"/>
  <c r="F454" i="3"/>
  <c r="H454" i="3" s="1"/>
  <c r="F365" i="3"/>
  <c r="H365" i="3" s="1"/>
  <c r="F287" i="3"/>
  <c r="H287" i="3" s="1"/>
  <c r="F323" i="3"/>
  <c r="H323" i="3" s="1"/>
  <c r="F283" i="3"/>
  <c r="H283" i="3" s="1"/>
  <c r="F335" i="3"/>
  <c r="H335" i="3" s="1"/>
  <c r="F320" i="3"/>
  <c r="H320" i="3" s="1"/>
  <c r="F282" i="3"/>
  <c r="H282" i="3" s="1"/>
  <c r="F334" i="3"/>
  <c r="H334" i="3" s="1"/>
  <c r="F383" i="3"/>
  <c r="H383" i="3" s="1"/>
  <c r="F385" i="3"/>
  <c r="H385" i="3" s="1"/>
  <c r="F453" i="3"/>
  <c r="H453" i="3" s="1"/>
  <c r="F652" i="3"/>
  <c r="H652" i="3" s="1"/>
  <c r="F657" i="3"/>
  <c r="H657" i="3" s="1"/>
  <c r="F642" i="3"/>
  <c r="H642" i="3" s="1"/>
  <c r="F654" i="3"/>
  <c r="H654" i="3" s="1"/>
  <c r="F662" i="3"/>
  <c r="H662" i="3" s="1"/>
  <c r="F695" i="3"/>
  <c r="H695" i="3" s="1"/>
  <c r="F622" i="3"/>
  <c r="H622" i="3" s="1"/>
  <c r="F527" i="3"/>
  <c r="H527" i="3" s="1"/>
  <c r="F558" i="3"/>
  <c r="H558" i="3" s="1"/>
  <c r="F692" i="3"/>
  <c r="H692" i="3" s="1"/>
  <c r="F628" i="3"/>
  <c r="H628" i="3" s="1"/>
  <c r="F521" i="3"/>
  <c r="H521" i="3" s="1"/>
  <c r="F563" i="3"/>
  <c r="H563" i="3" s="1"/>
  <c r="F511" i="3"/>
  <c r="H511" i="3" s="1"/>
  <c r="F519" i="3"/>
  <c r="H519" i="3" s="1"/>
  <c r="F568" i="3"/>
  <c r="H568" i="3" s="1"/>
  <c r="F560" i="3"/>
  <c r="H560" i="3" s="1"/>
  <c r="F526" i="3"/>
  <c r="H526" i="3" s="1"/>
  <c r="F604" i="3"/>
  <c r="H604" i="3" s="1"/>
  <c r="F627" i="3"/>
  <c r="H627" i="3" s="1"/>
  <c r="F691" i="3"/>
  <c r="H691" i="3" s="1"/>
  <c r="F891" i="3"/>
  <c r="H891" i="3" s="1"/>
  <c r="F903" i="3"/>
  <c r="H903" i="3" s="1"/>
  <c r="F886" i="3"/>
  <c r="H886" i="3" s="1"/>
  <c r="F881" i="3"/>
  <c r="H881" i="3" s="1"/>
  <c r="F893" i="3"/>
  <c r="H893" i="3" s="1"/>
  <c r="F932" i="3"/>
  <c r="H932" i="3" s="1"/>
  <c r="F883" i="3"/>
  <c r="H883" i="3" s="1"/>
  <c r="F764" i="3"/>
  <c r="H764" i="3" s="1"/>
  <c r="F982" i="3"/>
  <c r="H982" i="3" s="1"/>
  <c r="F810" i="3"/>
  <c r="H810" i="3" s="1"/>
  <c r="F930" i="3"/>
  <c r="H930" i="3" s="1"/>
  <c r="F865" i="3"/>
  <c r="H865" i="3" s="1"/>
  <c r="F758" i="3"/>
  <c r="H758" i="3" s="1"/>
  <c r="F800" i="3"/>
  <c r="H800" i="3" s="1"/>
  <c r="F760" i="3"/>
  <c r="H760" i="3" s="1"/>
  <c r="F749" i="3"/>
  <c r="H749" i="3" s="1"/>
  <c r="F759" i="3"/>
  <c r="H759" i="3" s="1"/>
  <c r="F761" i="3"/>
  <c r="H761" i="3" s="1"/>
  <c r="F802" i="3"/>
  <c r="H802" i="3" s="1"/>
  <c r="F798" i="3"/>
  <c r="H798" i="3" s="1"/>
  <c r="F983" i="3"/>
  <c r="H983" i="3" s="1"/>
  <c r="F855" i="3"/>
  <c r="H855" i="3" s="1"/>
  <c r="F866" i="3"/>
  <c r="H866" i="3" s="1"/>
  <c r="F845" i="3"/>
  <c r="H845" i="3" s="1"/>
  <c r="F1113" i="3"/>
  <c r="H1113" i="3" s="1"/>
  <c r="F1125" i="3"/>
  <c r="H1125" i="3" s="1"/>
  <c r="F1165" i="3"/>
  <c r="H1165" i="3" s="1"/>
  <c r="F1128" i="3"/>
  <c r="H1128" i="3" s="1"/>
  <c r="F1137" i="3"/>
  <c r="H1137" i="3" s="1"/>
  <c r="F1122" i="3"/>
  <c r="H1122" i="3" s="1"/>
  <c r="F1221" i="3"/>
  <c r="H1221" i="3" s="1"/>
  <c r="F1041" i="3"/>
  <c r="H1041" i="3" s="1"/>
  <c r="F999" i="3"/>
  <c r="H999" i="3" s="1"/>
  <c r="F1084" i="3"/>
  <c r="H1084" i="3" s="1"/>
  <c r="F1225" i="3"/>
  <c r="H1225" i="3" s="1"/>
  <c r="F1052" i="3"/>
  <c r="H1052" i="3" s="1"/>
  <c r="F1051" i="3"/>
  <c r="H1051" i="3" s="1"/>
  <c r="F1003" i="3"/>
  <c r="H1003" i="3" s="1"/>
  <c r="F1022" i="3"/>
  <c r="H1022" i="3" s="1"/>
  <c r="F997" i="3"/>
  <c r="H997" i="3" s="1"/>
  <c r="F1049" i="3"/>
  <c r="H1049" i="3" s="1"/>
  <c r="F1038" i="3"/>
  <c r="H1038" i="3" s="1"/>
  <c r="F1222" i="3"/>
  <c r="H1222" i="3" s="1"/>
  <c r="F1094" i="3"/>
  <c r="H1094" i="3" s="1"/>
  <c r="F1126" i="3"/>
  <c r="H1126" i="3" s="1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 s="1"/>
  <c r="H510" i="3" s="1"/>
  <c r="P250" i="1"/>
  <c r="F272" i="3" s="1"/>
  <c r="H272" i="3" s="1"/>
  <c r="P338" i="1"/>
  <c r="P326" i="1"/>
  <c r="P334" i="1"/>
  <c r="F104" i="3" l="1"/>
  <c r="H104" i="3" s="1"/>
  <c r="F184" i="3"/>
  <c r="H184" i="3" s="1"/>
  <c r="E24" i="3"/>
  <c r="E20" i="3"/>
  <c r="F359" i="3"/>
  <c r="H359" i="3" s="1"/>
  <c r="F1071" i="3"/>
  <c r="H1071" i="3" s="1"/>
  <c r="F834" i="3"/>
  <c r="H834" i="3" s="1"/>
  <c r="F358" i="3"/>
  <c r="H358" i="3" s="1"/>
  <c r="F478" i="3"/>
  <c r="H478" i="3" s="1"/>
  <c r="F586" i="3"/>
  <c r="H586" i="3" s="1"/>
  <c r="F824" i="3"/>
  <c r="H824" i="3" s="1"/>
  <c r="F1062" i="3"/>
  <c r="H1062" i="3" s="1"/>
  <c r="F348" i="3"/>
  <c r="H348" i="3" s="1"/>
  <c r="F598" i="3"/>
  <c r="H598" i="3" s="1"/>
  <c r="F591" i="3"/>
  <c r="H591" i="3" s="1"/>
  <c r="F831" i="3"/>
  <c r="H831" i="3" s="1"/>
  <c r="F1073" i="3"/>
  <c r="H1073" i="3" s="1"/>
  <c r="F1072" i="3"/>
  <c r="H1072" i="3" s="1"/>
  <c r="P808" i="1"/>
  <c r="P1046" i="1"/>
  <c r="P332" i="1"/>
  <c r="P570" i="1"/>
  <c r="E23" i="3" l="1"/>
  <c r="E21" i="3"/>
  <c r="E25" i="3"/>
  <c r="F595" i="3"/>
  <c r="H595" i="3" s="1"/>
  <c r="F1068" i="3"/>
  <c r="H1068" i="3" s="1"/>
  <c r="F832" i="3"/>
  <c r="H832" i="3" s="1"/>
  <c r="P95" i="1" l="1"/>
  <c r="F122" i="3" s="1"/>
  <c r="H122" i="3" s="1"/>
  <c r="E26" i="3" l="1"/>
  <c r="E28" i="3" s="1"/>
</calcChain>
</file>

<file path=xl/sharedStrings.xml><?xml version="1.0" encoding="utf-8"?>
<sst xmlns="http://schemas.openxmlformats.org/spreadsheetml/2006/main" count="9643" uniqueCount="741">
  <si>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</si>
  <si>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</si>
  <si>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</si>
  <si>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</si>
  <si>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</si>
  <si>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</si>
  <si>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</si>
  <si>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</si>
  <si>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</si>
  <si>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</si>
  <si>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</si>
  <si>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</si>
  <si>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</si>
  <si>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</si>
  <si>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</si>
  <si>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</si>
  <si>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</si>
  <si>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</si>
  <si>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</si>
  <si>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</si>
  <si>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</si>
  <si>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</si>
  <si>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</si>
  <si>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</si>
  <si>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</si>
  <si>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</si>
  <si>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</si>
  <si>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</si>
  <si>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</si>
  <si>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</si>
  <si>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</si>
  <si>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</si>
  <si>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</si>
  <si>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</si>
  <si>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</si>
  <si>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</si>
  <si>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</si>
  <si>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</si>
  <si>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</si>
  <si>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</si>
  <si>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</si>
  <si>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</si>
  <si>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</si>
  <si>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</si>
  <si>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</si>
  <si>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</si>
  <si>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</si>
  <si>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</si>
  <si>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</si>
  <si>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</si>
  <si>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</si>
  <si>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</si>
  <si>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</si>
  <si>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</si>
  <si>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</si>
  <si>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</si>
  <si>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</si>
  <si>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</si>
  <si>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</si>
  <si>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</si>
  <si>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</si>
  <si>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</si>
  <si>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</si>
  <si>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</si>
  <si>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</si>
  <si>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</si>
  <si>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</si>
  <si>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</si>
  <si>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</si>
  <si>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</si>
  <si>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</si>
  <si>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</si>
  <si>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</si>
  <si>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</si>
  <si>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</si>
  <si>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</si>
  <si>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</si>
  <si>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</si>
  <si>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</si>
  <si>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</si>
  <si>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</si>
  <si>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</si>
  <si>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</si>
  <si>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</si>
  <si>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</si>
  <si>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</si>
  <si>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</si>
  <si>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</si>
  <si>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</si>
  <si>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</si>
  <si>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</si>
  <si>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</si>
  <si>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</si>
  <si>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</si>
  <si>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</si>
  <si>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</si>
  <si>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</si>
  <si>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</si>
  <si>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</si>
  <si>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</si>
  <si>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</si>
  <si>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</si>
  <si>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</si>
  <si>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</si>
  <si>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</si>
  <si>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</si>
  <si>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</si>
  <si>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</si>
  <si>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</si>
  <si>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</si>
  <si>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</si>
  <si>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</si>
  <si>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</si>
  <si>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</si>
  <si>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</si>
  <si>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</si>
  <si>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</si>
  <si>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</si>
  <si>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</si>
  <si>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</si>
  <si>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</si>
  <si>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</si>
  <si>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</si>
  <si>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</si>
  <si>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</si>
  <si>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</si>
  <si>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</si>
  <si>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</si>
  <si>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</si>
  <si>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</si>
  <si>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</si>
  <si>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</si>
  <si>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</si>
  <si>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</si>
  <si>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</si>
  <si>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</si>
  <si>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</si>
  <si>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</si>
  <si>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</si>
  <si>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</si>
  <si>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</si>
  <si>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</si>
  <si>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</si>
  <si>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</si>
  <si>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</si>
  <si>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</si>
  <si>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</si>
  <si>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</si>
  <si>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</si>
  <si>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</si>
  <si>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</si>
  <si>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</si>
  <si>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</si>
  <si>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</si>
  <si>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</si>
  <si>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</si>
  <si>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</si>
  <si>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</si>
  <si>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</si>
  <si>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</si>
  <si>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</si>
  <si>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</si>
  <si>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</si>
  <si>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</si>
  <si>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</si>
  <si>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</si>
  <si>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</si>
  <si>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</si>
  <si>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</si>
  <si>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</si>
  <si>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</si>
  <si>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</si>
  <si>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</si>
  <si>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</si>
  <si>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</si>
  <si>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</si>
  <si>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</si>
  <si>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</si>
  <si>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</si>
  <si>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</si>
  <si>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</si>
  <si>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</si>
  <si>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</si>
  <si>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</si>
  <si>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</si>
  <si>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</si>
  <si>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</si>
  <si>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</si>
  <si>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</si>
  <si>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</si>
  <si>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</si>
  <si>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</si>
  <si>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</si>
  <si>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</si>
  <si>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</si>
  <si>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</si>
  <si>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</si>
  <si>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</si>
  <si>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</si>
  <si>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</si>
  <si>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</si>
  <si>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</si>
  <si>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</si>
  <si>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</si>
  <si>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</si>
  <si>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</si>
  <si>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</si>
  <si>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</si>
  <si>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</si>
  <si>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</si>
  <si>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</si>
  <si>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</si>
  <si>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</si>
  <si>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</si>
  <si>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</si>
  <si>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</si>
  <si>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</si>
  <si>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</si>
  <si>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</si>
  <si>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</si>
  <si>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</si>
  <si>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</si>
  <si>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</si>
  <si>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</si>
  <si>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</si>
  <si>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</si>
  <si>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</si>
  <si>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</si>
  <si>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</si>
  <si>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</si>
  <si>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</si>
  <si>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</si>
  <si>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</si>
  <si>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</si>
  <si>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</si>
  <si>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</si>
  <si>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</si>
  <si>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</si>
  <si>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</si>
  <si>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</si>
  <si>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</si>
  <si>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</si>
  <si>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</si>
  <si>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</si>
  <si>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</si>
  <si>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</si>
  <si>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</si>
  <si>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</si>
  <si>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</si>
  <si>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</si>
  <si>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</si>
  <si>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</si>
  <si>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</si>
  <si>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</si>
  <si>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</si>
  <si>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</si>
  <si>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</si>
  <si>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</si>
  <si>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</si>
  <si>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</si>
  <si>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</si>
  <si>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</si>
  <si>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</si>
  <si>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</si>
  <si>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</si>
  <si>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</si>
  <si>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</si>
  <si>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</si>
  <si>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</si>
  <si>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</si>
  <si>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</si>
  <si>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</si>
  <si>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</si>
  <si>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</si>
  <si>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</si>
  <si>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</si>
  <si>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</si>
  <si>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</si>
  <si>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</si>
  <si>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</si>
  <si>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</si>
  <si>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</si>
  <si>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</si>
  <si>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</si>
  <si>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</si>
  <si>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</si>
  <si>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</si>
  <si>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</si>
  <si>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</si>
  <si>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</si>
  <si>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</si>
  <si>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</si>
  <si>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</si>
  <si>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</si>
  <si>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</si>
  <si>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</si>
  <si>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</si>
  <si>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</si>
  <si>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</si>
  <si>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</si>
  <si>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</si>
  <si>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</si>
  <si>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</si>
  <si>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</si>
  <si>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</si>
  <si>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</si>
  <si>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</si>
  <si>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</si>
  <si>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</si>
  <si>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</si>
  <si>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</si>
  <si>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</si>
  <si>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</si>
  <si>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</si>
  <si>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</si>
  <si>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</si>
  <si>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</si>
  <si>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</si>
  <si>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</si>
  <si>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</si>
  <si>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</si>
  <si>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</si>
  <si>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</si>
  <si>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</si>
  <si>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</si>
  <si>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</si>
  <si>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</si>
  <si>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</si>
  <si>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</si>
  <si>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</si>
  <si>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</si>
  <si>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</si>
  <si>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</si>
  <si>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</si>
  <si>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</si>
  <si>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</si>
  <si>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</si>
  <si>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</si>
  <si>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</si>
  <si>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</si>
  <si>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</si>
  <si>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</si>
  <si>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</si>
  <si>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</si>
  <si>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</si>
  <si>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</si>
  <si>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</si>
  <si>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</si>
  <si>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</si>
  <si>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</si>
  <si>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</si>
  <si>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</si>
  <si>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</si>
  <si>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</si>
  <si>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</si>
  <si>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</si>
  <si>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</si>
  <si>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</si>
  <si>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</si>
  <si>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</si>
  <si>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</si>
  <si>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</si>
  <si>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</si>
  <si>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</si>
  <si>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</si>
  <si>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</si>
  <si>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</si>
  <si>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</si>
  <si>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</si>
  <si>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</si>
  <si>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</si>
  <si>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</si>
  <si>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</si>
  <si>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</si>
  <si>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</si>
  <si>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</si>
  <si>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</si>
  <si>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</si>
  <si>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</si>
  <si>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</si>
  <si>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</si>
  <si>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</si>
  <si>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</si>
  <si>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</si>
  <si>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</si>
  <si>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</si>
  <si>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</si>
  <si>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</si>
  <si>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</si>
  <si>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</si>
  <si>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</si>
  <si>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</si>
  <si>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</si>
  <si>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</si>
  <si>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</si>
  <si>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</si>
  <si>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</si>
  <si>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</si>
  <si>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</si>
  <si>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</si>
  <si>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</si>
  <si>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</si>
  <si>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</si>
  <si>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</si>
  <si>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</si>
  <si>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</si>
  <si>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</si>
  <si>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</si>
  <si>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</si>
  <si>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</si>
  <si>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</si>
  <si>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</si>
  <si>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</si>
  <si>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</si>
  <si>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</si>
  <si>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</si>
  <si>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</si>
  <si>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</si>
  <si>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</si>
  <si>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</si>
  <si>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</si>
  <si>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</si>
  <si>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</si>
  <si>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</si>
  <si>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</si>
  <si>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</si>
  <si>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</si>
  <si>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</si>
  <si>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</si>
  <si>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</si>
  <si>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</si>
  <si>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</si>
  <si>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</si>
  <si>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</si>
  <si>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</si>
  <si>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</si>
  <si>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</si>
  <si>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</si>
  <si>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</si>
  <si>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</si>
  <si>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</si>
  <si>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</si>
  <si>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</si>
  <si>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</si>
  <si>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</si>
  <si>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</si>
  <si>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</si>
  <si>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</si>
  <si>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</si>
  <si>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</si>
  <si>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</si>
  <si>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</si>
  <si>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</si>
  <si>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</si>
  <si>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</si>
  <si>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</si>
  <si>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</si>
  <si>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</si>
  <si>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</si>
  <si>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</si>
  <si>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</si>
  <si>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</si>
  <si>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</si>
  <si>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</si>
  <si>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</si>
  <si>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</si>
  <si>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</si>
  <si>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</si>
  <si>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</si>
  <si>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</si>
  <si>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</si>
  <si>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</si>
  <si>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</si>
  <si>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</si>
  <si>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</si>
  <si>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</si>
  <si>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</si>
  <si>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</si>
  <si>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</si>
  <si>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</si>
  <si>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</si>
  <si>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</si>
  <si>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</si>
  <si>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</si>
  <si>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</si>
  <si>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</si>
  <si>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</si>
  <si>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</si>
  <si>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</si>
  <si>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</si>
  <si>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</si>
  <si>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</si>
  <si>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</si>
  <si>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</si>
  <si>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</si>
  <si>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</si>
  <si>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</si>
  <si>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</si>
  <si>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</si>
  <si>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</si>
  <si>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</si>
  <si>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</si>
  <si>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</si>
  <si>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</si>
  <si>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</si>
  <si>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</si>
  <si>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</si>
  <si>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</si>
  <si>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</si>
  <si>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</si>
  <si>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</si>
  <si>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</si>
  <si>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</si>
  <si>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</si>
  <si>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</si>
  <si>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</si>
  <si>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</si>
  <si>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</si>
  <si>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</si>
  <si>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</si>
  <si>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</si>
  <si>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</si>
  <si>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</si>
  <si>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</si>
  <si>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</si>
  <si>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</si>
  <si>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</si>
  <si>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</si>
  <si>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</si>
  <si>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</si>
  <si>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</si>
  <si>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</si>
  <si>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</si>
  <si>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</si>
  <si>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</si>
  <si>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</si>
  <si>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</si>
  <si>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</si>
  <si>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</si>
  <si>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</si>
  <si>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</si>
  <si>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</si>
  <si>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</si>
  <si>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</si>
  <si>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</si>
  <si>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</si>
  <si>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</si>
  <si>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</si>
  <si>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</si>
  <si>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</si>
  <si>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</si>
  <si>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</si>
  <si>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</si>
  <si>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</si>
  <si>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</si>
  <si>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</si>
  <si>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</si>
  <si>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</si>
  <si>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</si>
  <si>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</si>
  <si>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</si>
  <si>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</si>
  <si>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</si>
  <si>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</si>
  <si>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</si>
  <si>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</si>
  <si>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</si>
  <si>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</si>
  <si>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</si>
  <si>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</si>
  <si>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</si>
  <si>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</si>
  <si>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</si>
  <si>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</si>
  <si>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</si>
  <si>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</si>
  <si>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</si>
  <si>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</si>
  <si>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</si>
  <si>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</si>
  <si>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</si>
  <si>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</si>
  <si>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</si>
  <si>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</si>
  <si>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</si>
  <si>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</si>
  <si>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</si>
  <si>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</si>
  <si>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</si>
  <si>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</si>
  <si>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</si>
  <si>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</si>
  <si>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</si>
  <si>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</si>
  <si>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</si>
  <si>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</si>
  <si>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</si>
  <si>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</si>
  <si>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</si>
  <si>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</si>
  <si>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</si>
  <si>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</si>
  <si>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</si>
  <si>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</si>
  <si>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</si>
  <si>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</si>
  <si>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</si>
  <si>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</si>
  <si>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</si>
  <si>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</si>
  <si>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</si>
  <si>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</si>
  <si>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</si>
  <si>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</si>
  <si>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</si>
  <si>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</si>
  <si>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</si>
  <si>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</si>
  <si>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</si>
  <si>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</si>
  <si>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</si>
  <si>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</si>
  <si>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</si>
  <si>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</si>
  <si>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</si>
  <si>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</si>
  <si>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</si>
  <si>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</si>
  <si>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</si>
  <si>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</si>
  <si>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</si>
  <si>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</si>
  <si>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</si>
  <si>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</si>
  <si>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</si>
  <si>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</si>
  <si>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</si>
  <si>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</si>
  <si>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</si>
  <si>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</si>
  <si>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</si>
  <si>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</si>
  <si>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</si>
  <si>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</si>
  <si>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</si>
  <si>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</si>
  <si>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</si>
  <si>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</si>
  <si>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</si>
  <si>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</si>
  <si>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</si>
  <si>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</si>
  <si>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</si>
  <si>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</si>
  <si>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</si>
  <si>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</si>
  <si>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</si>
  <si>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</si>
  <si>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</si>
  <si>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</si>
  <si>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</si>
  <si>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</si>
  <si>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</si>
  <si>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</si>
  <si>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</si>
  <si>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</si>
  <si>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</si>
  <si>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</si>
  <si>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</si>
  <si>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</si>
  <si>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</si>
  <si>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</si>
  <si>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</si>
  <si>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</si>
  <si>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</si>
  <si>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</si>
  <si>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</si>
  <si>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</si>
  <si>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</si>
  <si>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</si>
  <si>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</si>
  <si>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</si>
  <si>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</si>
  <si>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</si>
  <si>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</si>
  <si>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</si>
  <si>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</si>
  <si>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</si>
  <si>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</si>
  <si>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</si>
  <si>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</si>
  <si>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</si>
  <si>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</si>
  <si>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</si>
  <si>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</si>
  <si>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</si>
  <si>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</si>
  <si>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</si>
  <si>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</si>
  <si>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</si>
  <si>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</si>
  <si>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</si>
  <si>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</si>
  <si>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</si>
  <si>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</si>
  <si>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</si>
  <si>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</si>
  <si>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</si>
  <si>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</si>
  <si>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</si>
  <si>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</si>
  <si>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</si>
  <si>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</si>
  <si>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</si>
  <si>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</si>
  <si>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</si>
  <si>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</si>
  <si>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</si>
  <si>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</si>
  <si>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</si>
  <si>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</si>
  <si>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</si>
  <si>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</si>
  <si>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</si>
  <si>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</si>
  <si>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</si>
  <si>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</si>
  <si>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</si>
  <si>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</si>
  <si>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</si>
  <si>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</si>
  <si>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</si>
  <si>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</si>
  <si>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</si>
  <si>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</si>
  <si>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</si>
  <si>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Por Definir</t>
  </si>
  <si>
    <t>Subtotal - Lencería</t>
  </si>
  <si>
    <t>Quibdo</t>
  </si>
  <si>
    <t>Pendiente</t>
  </si>
  <si>
    <t>CDI Ciudadela Mia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</si>
</sst>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* #,##0_-;\-&quot;$&quot;* #,##0_-;_-&quot;$&quot;* &quot;-&quot;_-;_-@_-"/>
    <numFmt numFmtId="164" formatCode="#,##0_ ;\-#,##0\ "/>
  </numFmts>
  <fonts count="3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8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42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42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42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42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left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42" fontId="2" fillId="2" borderId="2" xfId="0" applyNumberFormat="1" applyFont="1" applyFill="1" applyBorder="1" applyAlignment="1">
      <alignment horizontal="center" vertical="center" wrapText="1"/>
    </xf>
    <xf numFmtId="42" fontId="2" fillId="2" borderId="5" xfId="0" applyNumberFormat="1" applyFont="1" applyFill="1" applyBorder="1" applyAlignment="1">
      <alignment horizontal="center" vertical="center" wrapText="1"/>
    </xf>
    <xf numFmtId="42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25" fillId="2" borderId="38" xfId="0" applyNumberFormat="1" applyFont="1" applyFill="1" applyBorder="1" applyAlignment="1">
      <alignment horizontal="center" vertical="center" wrapText="1"/>
    </xf>
    <xf numFmtId="1" fontId="25" fillId="2" borderId="39" xfId="0" applyNumberFormat="1" applyFont="1" applyFill="1" applyBorder="1" applyAlignment="1">
      <alignment horizontal="center" vertical="center" wrapText="1"/>
    </xf>
    <xf numFmtId="1" fontId="25" fillId="2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64" fontId="18" fillId="22" borderId="6" xfId="0" applyNumberFormat="1" applyFont="1" applyFill="1" applyBorder="1" applyAlignment="1">
      <alignment horizontal="center"/>
    </xf>
    <xf numFmtId="164" fontId="18" fillId="22" borderId="0" xfId="0" applyNumberFormat="1" applyFont="1" applyFill="1" applyBorder="1" applyAlignment="1">
      <alignment horizontal="center"/>
    </xf>
    <xf numFmtId="164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98847" y="277323"/>
          <a:ext cx="6699450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FFF00"/>
    <pageSetUpPr fitToPage="1"/>
  </sheetPr>
  <dimension ref="A1:U54"/>
  <sheetViews>
    <sheetView view="pageBreakPreview" zoomScale="87" zoomScaleNormal="106" zoomScaleSheetLayoutView="87" workbookViewId="0">
      <selection activeCell="E14" sqref="E14:F14"/>
    </sheetView>
  </sheetViews>
  <sheetFormatPr baseColWidth="10" defaultColWidth="11.5" defaultRowHeight="14"/>
  <cols>
    <col min="1" max="3" width="11.5" style="39"/>
    <col min="4" max="4" width="13.5" style="39" customWidth="1"/>
    <col min="5" max="5" width="29.83203125" style="39" customWidth="1"/>
    <col min="6" max="6" width="14.1640625" style="39" customWidth="1"/>
    <col min="7" max="7" width="9.1640625" style="36" customWidth="1"/>
    <col min="8" max="8" width="8.6640625" style="36" customWidth="1"/>
    <col min="9" max="10" width="11.5" style="36"/>
    <col min="11" max="12" width="11.5" style="36" customWidth="1"/>
    <col min="13" max="13" width="11.5" style="37" customWidth="1"/>
    <col min="14" max="14" width="29.5" style="39" hidden="1" customWidth="1"/>
    <col min="15" max="15" width="11.5" style="39" hidden="1" customWidth="1"/>
    <col min="16" max="16" width="11.83203125" style="39" hidden="1" customWidth="1"/>
    <col min="17" max="21" width="11.5" style="39" hidden="1" customWidth="1"/>
    <col min="22" max="29" width="11.5" style="39" customWidth="1"/>
    <col min="30" max="16384" width="11.5" style="39"/>
  </cols>
  <sheetData>
    <row r="1" spans="1:19" ht="84.75" customHeight="1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>
      <c r="A2" s="152" t="s">
        <v>550</v>
      </c>
      <c r="B2" s="153"/>
      <c r="C2" s="153"/>
      <c r="D2" s="153"/>
      <c r="E2" s="153"/>
      <c r="F2" s="154"/>
      <c r="G2" s="115"/>
      <c r="H2" s="115"/>
      <c r="N2" s="39" t="s">
        <v>192</v>
      </c>
      <c r="O2" s="39" t="s">
        <v>224</v>
      </c>
      <c r="P2" s="39" t="str">
        <f>IF((D20&gt;=1),"CUMPLE","NO CUMPLE")</f>
        <v>CUMPLE</v>
      </c>
      <c r="Q2" s="39" t="str">
        <f>IF((D20&gt;=1),"CUMPLE","NO CUMPLE")</f>
        <v>CUMPLE</v>
      </c>
      <c r="R2" s="39" t="s">
        <v>296</v>
      </c>
      <c r="S2" s="39" t="s">
        <v>355</v>
      </c>
    </row>
    <row r="3" spans="1:19" ht="14.25" customHeight="1">
      <c r="A3" s="172" t="s">
        <v>417</v>
      </c>
      <c r="B3" s="173"/>
      <c r="C3" s="173"/>
      <c r="D3" s="173"/>
      <c r="E3" s="173"/>
      <c r="F3" s="174"/>
      <c r="G3" s="115"/>
      <c r="H3" s="115"/>
      <c r="N3" s="39" t="s">
        <v>202</v>
      </c>
      <c r="O3" s="39" t="s">
        <v>723</v>
      </c>
      <c r="P3" s="41">
        <f>COUNTIF(P2:P2,"CUMPLE")</f>
        <v>1</v>
      </c>
      <c r="Q3" s="39" t="str">
        <f>IF((D21&gt;=1),"CUMPLE","NO CUMPLE")</f>
        <v>CUMPLE</v>
      </c>
      <c r="S3" s="39" t="s">
        <v>356</v>
      </c>
    </row>
    <row r="4" spans="1:19" ht="14.25" customHeight="1">
      <c r="A4" s="172"/>
      <c r="B4" s="173"/>
      <c r="C4" s="173"/>
      <c r="D4" s="173"/>
      <c r="E4" s="173"/>
      <c r="F4" s="174"/>
      <c r="G4" s="115"/>
      <c r="H4" s="115"/>
      <c r="N4" s="39" t="s">
        <v>204</v>
      </c>
      <c r="P4" s="42" t="str">
        <f>IF(AND(P3&lt;=2,P3&gt;=1),"CUMPLE","NO CUMPLE")</f>
        <v>CUMPLE</v>
      </c>
      <c r="Q4" s="41">
        <f>COUNTIF(Q2:Q3,"CUMPLE")</f>
        <v>2</v>
      </c>
      <c r="S4" s="39" t="s">
        <v>357</v>
      </c>
    </row>
    <row r="5" spans="1:19" ht="9.75" customHeight="1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>
      <c r="A6" s="165" t="s">
        <v>735</v>
      </c>
      <c r="B6" s="166"/>
      <c r="C6" s="166"/>
      <c r="D6" s="166"/>
      <c r="E6" s="166"/>
      <c r="F6" s="167"/>
      <c r="G6" s="117"/>
      <c r="H6" s="117"/>
      <c r="N6" s="39" t="s">
        <v>205</v>
      </c>
      <c r="S6" s="39" t="s">
        <v>359</v>
      </c>
    </row>
    <row r="7" spans="1:19" ht="16">
      <c r="A7" s="155" t="s">
        <v>721</v>
      </c>
      <c r="B7" s="156"/>
      <c r="C7" s="156"/>
      <c r="D7" s="156"/>
      <c r="E7" s="156"/>
      <c r="F7" s="157"/>
      <c r="G7" s="118"/>
      <c r="H7" s="118"/>
      <c r="N7" s="39" t="s">
        <v>206</v>
      </c>
      <c r="S7" s="39" t="s">
        <v>360</v>
      </c>
    </row>
    <row r="8" spans="1:19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6">
      <c r="A9" s="190" t="s">
        <v>212</v>
      </c>
      <c r="B9" s="191"/>
      <c r="C9" s="191"/>
      <c r="D9" s="191"/>
      <c r="E9" s="191"/>
      <c r="F9" s="192"/>
      <c r="G9" s="119"/>
      <c r="H9" s="119"/>
      <c r="N9" s="39" t="s">
        <v>207</v>
      </c>
      <c r="S9" s="39" t="s">
        <v>363</v>
      </c>
    </row>
    <row r="10" spans="1:19">
      <c r="A10" s="126"/>
      <c r="B10" s="119"/>
      <c r="C10" s="119"/>
      <c r="D10" s="119"/>
      <c r="E10" s="163" t="s">
        <v>211</v>
      </c>
      <c r="F10" s="164"/>
      <c r="G10" s="119"/>
      <c r="H10" s="119"/>
      <c r="N10" s="39" t="s">
        <v>191</v>
      </c>
      <c r="S10" s="39" t="s">
        <v>362</v>
      </c>
    </row>
    <row r="11" spans="1:19">
      <c r="A11" s="177" t="s">
        <v>188</v>
      </c>
      <c r="B11" s="178"/>
      <c r="C11" s="178"/>
      <c r="D11" s="178"/>
      <c r="E11" s="168" t="s">
        <v>193</v>
      </c>
      <c r="F11" s="169"/>
      <c r="G11" s="119"/>
      <c r="H11" s="119"/>
      <c r="N11" s="39" t="s">
        <v>203</v>
      </c>
    </row>
    <row r="12" spans="1:19" ht="24.75" customHeight="1">
      <c r="A12" s="177" t="s">
        <v>418</v>
      </c>
      <c r="B12" s="178"/>
      <c r="C12" s="178"/>
      <c r="D12" s="178"/>
      <c r="E12" s="168" t="s">
        <v>738</v>
      </c>
      <c r="F12" s="169"/>
      <c r="G12" s="119"/>
      <c r="H12" s="119"/>
      <c r="N12" s="39" t="s">
        <v>193</v>
      </c>
    </row>
    <row r="13" spans="1:19">
      <c r="A13" s="179" t="s">
        <v>549</v>
      </c>
      <c r="B13" s="180"/>
      <c r="C13" s="180"/>
      <c r="D13" s="180"/>
      <c r="E13" s="168" t="s">
        <v>739</v>
      </c>
      <c r="F13" s="169"/>
      <c r="G13" s="119"/>
      <c r="H13" s="119"/>
      <c r="N13" s="36" t="s">
        <v>197</v>
      </c>
    </row>
    <row r="14" spans="1:19" ht="16">
      <c r="A14" s="161" t="s">
        <v>189</v>
      </c>
      <c r="B14" s="162"/>
      <c r="C14" s="162"/>
      <c r="D14" s="162"/>
      <c r="E14" s="168" t="s">
        <v>740</v>
      </c>
      <c r="F14" s="169"/>
      <c r="G14" s="119"/>
      <c r="H14" s="119"/>
      <c r="N14" s="39" t="s">
        <v>427</v>
      </c>
    </row>
    <row r="15" spans="1:19">
      <c r="A15" s="177" t="s">
        <v>726</v>
      </c>
      <c r="B15" s="178"/>
      <c r="C15" s="178"/>
      <c r="D15" s="178"/>
      <c r="E15" s="170" t="s">
        <v>736</v>
      </c>
      <c r="F15" s="171"/>
      <c r="G15" s="119"/>
      <c r="H15" s="119"/>
      <c r="N15" s="39" t="s">
        <v>428</v>
      </c>
    </row>
    <row r="16" spans="1:19" ht="16">
      <c r="A16" s="158"/>
      <c r="B16" s="159"/>
      <c r="C16" s="159"/>
      <c r="D16" s="159"/>
      <c r="E16" s="159"/>
      <c r="F16" s="160"/>
      <c r="G16" s="119"/>
      <c r="H16" s="119"/>
      <c r="N16" s="39" t="s">
        <v>425</v>
      </c>
    </row>
    <row r="17" spans="1:19">
      <c r="A17" s="126"/>
      <c r="B17" s="181" t="s">
        <v>221</v>
      </c>
      <c r="C17" s="181"/>
      <c r="D17" s="181"/>
      <c r="E17" s="181"/>
      <c r="F17" s="127"/>
      <c r="G17" s="119"/>
      <c r="H17" s="119"/>
      <c r="N17" s="39" t="s">
        <v>424</v>
      </c>
    </row>
    <row r="18" spans="1:19">
      <c r="A18" s="193" t="s">
        <v>213</v>
      </c>
      <c r="B18" s="194"/>
      <c r="C18" s="194"/>
      <c r="D18" s="120" t="s">
        <v>219</v>
      </c>
      <c r="E18" s="194" t="s">
        <v>220</v>
      </c>
      <c r="F18" s="195"/>
      <c r="G18" s="119"/>
      <c r="H18" s="119"/>
      <c r="N18" s="39" t="s">
        <v>426</v>
      </c>
    </row>
    <row r="19" spans="1:19" ht="15" customHeight="1">
      <c r="A19" s="196" t="s">
        <v>214</v>
      </c>
      <c r="B19" s="197"/>
      <c r="C19" s="197"/>
      <c r="D19" s="114">
        <v>0</v>
      </c>
      <c r="E19" s="184">
        <v>0</v>
      </c>
      <c r="F19" s="185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>
      <c r="A20" s="196" t="s">
        <v>215</v>
      </c>
      <c r="B20" s="197"/>
      <c r="C20" s="197"/>
      <c r="D20" s="114">
        <v>18</v>
      </c>
      <c r="E20" s="184">
        <v>1</v>
      </c>
      <c r="F20" s="185"/>
      <c r="G20" s="119"/>
      <c r="H20" s="119"/>
      <c r="N20" s="39" t="s">
        <v>201</v>
      </c>
    </row>
    <row r="21" spans="1:19" ht="15" customHeight="1">
      <c r="A21" s="196" t="s">
        <v>216</v>
      </c>
      <c r="B21" s="197"/>
      <c r="C21" s="197"/>
      <c r="D21" s="114">
        <v>32</v>
      </c>
      <c r="E21" s="184">
        <v>2</v>
      </c>
      <c r="F21" s="185"/>
      <c r="G21" s="119"/>
      <c r="H21" s="119"/>
      <c r="N21" s="39" t="s">
        <v>208</v>
      </c>
    </row>
    <row r="22" spans="1:19" ht="15" customHeight="1">
      <c r="A22" s="196" t="s">
        <v>217</v>
      </c>
      <c r="B22" s="197"/>
      <c r="C22" s="197"/>
      <c r="D22" s="114">
        <v>63</v>
      </c>
      <c r="E22" s="184">
        <v>3</v>
      </c>
      <c r="F22" s="185"/>
      <c r="G22" s="119"/>
      <c r="H22" s="119"/>
      <c r="N22" s="39" t="s">
        <v>198</v>
      </c>
    </row>
    <row r="23" spans="1:19" ht="15" customHeight="1">
      <c r="A23" s="196" t="s">
        <v>218</v>
      </c>
      <c r="B23" s="197"/>
      <c r="C23" s="197"/>
      <c r="D23" s="114">
        <v>27</v>
      </c>
      <c r="E23" s="184">
        <v>1</v>
      </c>
      <c r="F23" s="185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>
      <c r="A24" s="196" t="s">
        <v>225</v>
      </c>
      <c r="B24" s="197"/>
      <c r="C24" s="197"/>
      <c r="D24" s="114">
        <v>25</v>
      </c>
      <c r="E24" s="184">
        <v>1</v>
      </c>
      <c r="F24" s="185"/>
      <c r="G24" s="119"/>
      <c r="H24" s="119"/>
      <c r="N24" s="39" t="s">
        <v>195</v>
      </c>
    </row>
    <row r="25" spans="1:19" ht="15" customHeight="1">
      <c r="A25" s="198" t="s">
        <v>226</v>
      </c>
      <c r="B25" s="199"/>
      <c r="C25" s="199"/>
      <c r="D25" s="113">
        <f>SUM(D19:D24)</f>
        <v>165</v>
      </c>
      <c r="E25" s="182">
        <f>SUM(E19:F24)</f>
        <v>8</v>
      </c>
      <c r="F25" s="183"/>
      <c r="G25" s="119"/>
      <c r="H25" s="119"/>
      <c r="N25" s="39" t="s">
        <v>196</v>
      </c>
    </row>
    <row r="26" spans="1:19" s="130" customFormat="1">
      <c r="A26" s="200" t="s">
        <v>724</v>
      </c>
      <c r="B26" s="201"/>
      <c r="C26" s="201"/>
      <c r="D26" s="132">
        <v>2</v>
      </c>
      <c r="E26" s="132" t="s">
        <v>725</v>
      </c>
      <c r="F26" s="133">
        <f>D26*D25</f>
        <v>330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>
      <c r="A28" s="188" t="s">
        <v>354</v>
      </c>
      <c r="B28" s="189"/>
      <c r="C28" s="189"/>
      <c r="D28" s="189"/>
      <c r="E28" s="202">
        <v>843</v>
      </c>
      <c r="F28" s="203"/>
      <c r="G28" s="119"/>
      <c r="H28" s="119"/>
    </row>
    <row r="29" spans="1:19">
      <c r="A29" s="188" t="s">
        <v>301</v>
      </c>
      <c r="B29" s="189"/>
      <c r="C29" s="189"/>
      <c r="D29" s="189"/>
      <c r="E29" s="204">
        <v>1400</v>
      </c>
      <c r="F29" s="205"/>
      <c r="G29" s="119"/>
      <c r="H29" s="119"/>
    </row>
    <row r="30" spans="1:19" ht="15.75" customHeight="1" thickBot="1">
      <c r="A30" s="175" t="s">
        <v>222</v>
      </c>
      <c r="B30" s="176"/>
      <c r="C30" s="176"/>
      <c r="D30" s="176"/>
      <c r="E30" s="186" t="s">
        <v>224</v>
      </c>
      <c r="F30" s="187"/>
      <c r="G30" s="119"/>
      <c r="H30" s="119"/>
    </row>
    <row r="31" spans="1:19" s="36" customFormat="1" ht="10.5" customHeight="1"/>
    <row r="32" spans="1:19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</mergeCells>
  <dataValidations count="2">
    <dataValidation type="list" allowBlank="1" showInputMessage="1" showErrorMessage="1" sqref="E30" xr:uid="{00000000-0002-0000-0000-000000000000}">
      <formula1>$O$2:$O$3</formula1>
    </dataValidation>
    <dataValidation type="list" allowBlank="1" showInputMessage="1" showErrorMessage="1" sqref="E11:F11" xr:uid="{00000000-0002-0000-0000-000001000000}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2" orientation="portrait" horizontalDpi="4294967295" verticalDpi="4294967295" r:id="rId1"/>
  <colBreaks count="1" manualBreakCount="1">
    <brk id="8" max="2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00B0F0"/>
  </sheetPr>
  <dimension ref="A1:Q1202"/>
  <sheetViews>
    <sheetView topLeftCell="H1" zoomScale="68" zoomScaleNormal="68" workbookViewId="0">
      <pane ySplit="3" topLeftCell="A16" activePane="bottomLeft" state="frozen"/>
      <selection activeCell="F1" sqref="F1"/>
      <selection pane="bottomLeft" activeCell="R29" sqref="R29"/>
    </sheetView>
  </sheetViews>
  <sheetFormatPr baseColWidth="10" defaultColWidth="11.5" defaultRowHeight="15"/>
  <cols>
    <col min="1" max="1" width="5.1640625" style="14" bestFit="1" customWidth="1"/>
    <col min="2" max="2" width="8.83203125" customWidth="1"/>
    <col min="3" max="3" width="22.33203125" style="15" customWidth="1"/>
    <col min="4" max="5" width="27.83203125" style="16" hidden="1" customWidth="1"/>
    <col min="6" max="6" width="47.1640625" style="9" customWidth="1"/>
    <col min="7" max="7" width="71" style="17" customWidth="1"/>
    <col min="8" max="9" width="15.33203125" style="21" customWidth="1"/>
    <col min="10" max="13" width="15.33203125" style="22" customWidth="1"/>
    <col min="14" max="14" width="22.5" style="80" customWidth="1"/>
    <col min="15" max="15" width="15.33203125" style="25" customWidth="1"/>
    <col min="16" max="16" width="15.33203125" style="139" customWidth="1"/>
    <col min="17" max="17" width="53.5" style="86" customWidth="1"/>
  </cols>
  <sheetData>
    <row r="1" spans="1:17">
      <c r="A1" s="216" t="s">
        <v>0</v>
      </c>
      <c r="B1" s="216" t="s">
        <v>1</v>
      </c>
      <c r="C1" s="216" t="s">
        <v>2</v>
      </c>
      <c r="D1" s="216" t="s">
        <v>3</v>
      </c>
      <c r="E1" s="216" t="s">
        <v>4</v>
      </c>
      <c r="F1" s="216" t="s">
        <v>5</v>
      </c>
      <c r="G1" s="213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1400</v>
      </c>
      <c r="O1" s="23" t="s">
        <v>650</v>
      </c>
      <c r="P1" s="134">
        <f>'INFORMACION BASE'!E28</f>
        <v>843</v>
      </c>
      <c r="Q1" s="206" t="s">
        <v>6</v>
      </c>
    </row>
    <row r="2" spans="1:17" ht="17">
      <c r="A2" s="216"/>
      <c r="B2" s="216"/>
      <c r="C2" s="216"/>
      <c r="D2" s="216"/>
      <c r="E2" s="216"/>
      <c r="F2" s="216"/>
      <c r="G2" s="214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11" t="s">
        <v>13</v>
      </c>
      <c r="O2" s="209" t="s">
        <v>14</v>
      </c>
      <c r="P2" s="135" t="s">
        <v>15</v>
      </c>
      <c r="Q2" s="207"/>
    </row>
    <row r="3" spans="1:17">
      <c r="A3" s="216"/>
      <c r="B3" s="216"/>
      <c r="C3" s="216"/>
      <c r="D3" s="216"/>
      <c r="E3" s="216"/>
      <c r="F3" s="216"/>
      <c r="G3" s="215"/>
      <c r="H3" s="4">
        <f>'INFORMACION BASE'!D19</f>
        <v>0</v>
      </c>
      <c r="I3" s="4">
        <f>'INFORMACION BASE'!D20</f>
        <v>18</v>
      </c>
      <c r="J3" s="4">
        <f>'INFORMACION BASE'!D21</f>
        <v>32</v>
      </c>
      <c r="K3" s="4">
        <f>'INFORMACION BASE'!D22</f>
        <v>63</v>
      </c>
      <c r="L3" s="4">
        <f>'INFORMACION BASE'!D23</f>
        <v>27</v>
      </c>
      <c r="M3" s="4">
        <f>'INFORMACION BASE'!D24</f>
        <v>25</v>
      </c>
      <c r="N3" s="212"/>
      <c r="O3" s="210"/>
      <c r="P3" s="136">
        <f>'INFORMACION BASE'!D25</f>
        <v>165</v>
      </c>
      <c r="Q3" s="208"/>
    </row>
    <row r="4" spans="1:17" s="9" customFormat="1" ht="32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2</v>
      </c>
      <c r="O4" s="24">
        <f>N4</f>
        <v>2</v>
      </c>
      <c r="P4" s="137">
        <f>ROUND(O4,0)</f>
        <v>2</v>
      </c>
      <c r="Q4" s="13" t="s">
        <v>551</v>
      </c>
    </row>
    <row r="5" spans="1:17" s="9" customFormat="1" ht="32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2</v>
      </c>
      <c r="O5" s="24">
        <f>N5</f>
        <v>2</v>
      </c>
      <c r="P5" s="137">
        <f>ROUND(O5,0)</f>
        <v>2</v>
      </c>
      <c r="Q5" s="13" t="s">
        <v>551</v>
      </c>
    </row>
    <row r="6" spans="1:17" s="9" customFormat="1" ht="32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2</v>
      </c>
      <c r="O6" s="24">
        <f>N6</f>
        <v>2</v>
      </c>
      <c r="P6" s="137">
        <f>ROUND(O6,0)</f>
        <v>2</v>
      </c>
      <c r="Q6" s="13" t="s">
        <v>552</v>
      </c>
    </row>
    <row r="7" spans="1:17" s="9" customFormat="1" ht="32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2</v>
      </c>
      <c r="O7" s="24"/>
      <c r="P7" s="137">
        <f>N7</f>
        <v>2</v>
      </c>
      <c r="Q7" s="13" t="s">
        <v>552</v>
      </c>
    </row>
    <row r="8" spans="1:17" s="9" customFormat="1" ht="32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2</v>
      </c>
      <c r="O8" s="24"/>
      <c r="P8" s="137">
        <f>N8</f>
        <v>2</v>
      </c>
      <c r="Q8" s="13" t="s">
        <v>552</v>
      </c>
    </row>
    <row r="9" spans="1:17" s="9" customFormat="1" ht="16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8.25</v>
      </c>
      <c r="O9" s="24">
        <f>IF(N9&gt;=1,(N9*1),(((1-N9)+N9)))</f>
        <v>8.25</v>
      </c>
      <c r="P9" s="137">
        <f>ROUND(O9,0)</f>
        <v>8</v>
      </c>
      <c r="Q9" s="13" t="s">
        <v>570</v>
      </c>
    </row>
    <row r="10" spans="1:17" s="9" customFormat="1" ht="16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8</v>
      </c>
      <c r="O10" s="24">
        <f>N10</f>
        <v>8</v>
      </c>
      <c r="P10" s="137">
        <f>ROUND(O10,0)</f>
        <v>8</v>
      </c>
      <c r="Q10" s="13" t="s">
        <v>571</v>
      </c>
    </row>
    <row r="11" spans="1:17" s="9" customFormat="1" ht="16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 ht="16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32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2</v>
      </c>
      <c r="O13" s="24"/>
      <c r="P13" s="137">
        <f>N13</f>
        <v>2</v>
      </c>
      <c r="Q13" s="13" t="s">
        <v>552</v>
      </c>
    </row>
    <row r="14" spans="1:17" s="9" customFormat="1" ht="32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2</v>
      </c>
      <c r="O14" s="24"/>
      <c r="P14" s="137">
        <f>N14</f>
        <v>2</v>
      </c>
      <c r="Q14" s="13" t="s">
        <v>552</v>
      </c>
    </row>
    <row r="15" spans="1:17" s="9" customFormat="1" ht="32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2</v>
      </c>
      <c r="O15" s="24"/>
      <c r="P15" s="137">
        <f>N15</f>
        <v>2</v>
      </c>
      <c r="Q15" s="13" t="s">
        <v>552</v>
      </c>
    </row>
    <row r="16" spans="1:17" s="9" customFormat="1" ht="32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1</v>
      </c>
      <c r="Q16" s="13" t="s">
        <v>576</v>
      </c>
    </row>
    <row r="17" spans="1:17" s="9" customFormat="1" ht="32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2</v>
      </c>
      <c r="O17" s="24"/>
      <c r="P17" s="137">
        <f t="shared" ref="P17:P27" si="1">N17</f>
        <v>2</v>
      </c>
      <c r="Q17" s="13" t="s">
        <v>552</v>
      </c>
    </row>
    <row r="18" spans="1:17" s="9" customFormat="1" ht="32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2</v>
      </c>
      <c r="O18" s="24"/>
      <c r="P18" s="137">
        <f t="shared" si="1"/>
        <v>2</v>
      </c>
      <c r="Q18" s="13" t="s">
        <v>552</v>
      </c>
    </row>
    <row r="19" spans="1:17" s="9" customFormat="1" ht="32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2</v>
      </c>
      <c r="O19" s="24"/>
      <c r="P19" s="137">
        <f t="shared" si="1"/>
        <v>2</v>
      </c>
      <c r="Q19" s="13" t="s">
        <v>552</v>
      </c>
    </row>
    <row r="20" spans="1:17" s="9" customFormat="1" ht="32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2</v>
      </c>
      <c r="O20" s="24"/>
      <c r="P20" s="137">
        <f t="shared" si="1"/>
        <v>2</v>
      </c>
      <c r="Q20" s="13" t="s">
        <v>552</v>
      </c>
    </row>
    <row r="21" spans="1:17" s="9" customFormat="1" ht="32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2</v>
      </c>
      <c r="O21" s="24"/>
      <c r="P21" s="137">
        <f t="shared" si="1"/>
        <v>2</v>
      </c>
      <c r="Q21" s="13" t="s">
        <v>552</v>
      </c>
    </row>
    <row r="22" spans="1:17" s="9" customFormat="1" ht="32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2</v>
      </c>
      <c r="O22" s="24"/>
      <c r="P22" s="137">
        <f t="shared" si="1"/>
        <v>2</v>
      </c>
      <c r="Q22" s="13" t="s">
        <v>552</v>
      </c>
    </row>
    <row r="23" spans="1:17" s="9" customFormat="1" ht="32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2</v>
      </c>
      <c r="O23" s="24"/>
      <c r="P23" s="137">
        <f t="shared" si="1"/>
        <v>2</v>
      </c>
      <c r="Q23" s="13" t="s">
        <v>552</v>
      </c>
    </row>
    <row r="24" spans="1:17" s="9" customFormat="1" ht="32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115</v>
      </c>
      <c r="O24" s="24"/>
      <c r="P24" s="137">
        <f t="shared" si="1"/>
        <v>115</v>
      </c>
      <c r="Q24" s="13" t="s">
        <v>578</v>
      </c>
    </row>
    <row r="25" spans="1:17" s="9" customFormat="1" ht="32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50</v>
      </c>
      <c r="O25" s="24"/>
      <c r="P25" s="137">
        <f t="shared" si="1"/>
        <v>50</v>
      </c>
      <c r="Q25" s="13" t="s">
        <v>579</v>
      </c>
    </row>
    <row r="26" spans="1:17" s="9" customFormat="1" ht="32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8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16</v>
      </c>
      <c r="O27" s="24"/>
      <c r="P27" s="137">
        <f t="shared" si="1"/>
        <v>16</v>
      </c>
      <c r="Q27" s="13" t="s">
        <v>577</v>
      </c>
    </row>
    <row r="28" spans="1:17" s="9" customFormat="1" ht="32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1</v>
      </c>
      <c r="Q28" s="13" t="s">
        <v>576</v>
      </c>
    </row>
    <row r="29" spans="1:17" s="9" customFormat="1" ht="32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1</v>
      </c>
      <c r="O29" s="24">
        <f>N29</f>
        <v>1</v>
      </c>
      <c r="P29" s="137">
        <f>ROUND(O29,0)</f>
        <v>1</v>
      </c>
      <c r="Q29" s="13" t="s">
        <v>574</v>
      </c>
    </row>
    <row r="30" spans="1:17" s="9" customFormat="1" ht="32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0</v>
      </c>
      <c r="O30" s="24">
        <f>N30</f>
        <v>0</v>
      </c>
      <c r="P30" s="137">
        <f>ROUND(O30,0)</f>
        <v>0</v>
      </c>
      <c r="Q30" s="13" t="s">
        <v>575</v>
      </c>
    </row>
    <row r="31" spans="1:17" s="9" customFormat="1" ht="32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1</v>
      </c>
      <c r="O31" s="24">
        <f>N31</f>
        <v>1</v>
      </c>
      <c r="P31" s="137">
        <f>ROUND(N31,0)</f>
        <v>1</v>
      </c>
      <c r="Q31" s="13" t="s">
        <v>574</v>
      </c>
    </row>
    <row r="32" spans="1:17" s="9" customFormat="1" ht="32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0</v>
      </c>
      <c r="O32" s="24">
        <f>N32</f>
        <v>0</v>
      </c>
      <c r="P32" s="137">
        <f>ROUND(O32,0)</f>
        <v>0</v>
      </c>
      <c r="Q32" s="13" t="s">
        <v>575</v>
      </c>
    </row>
    <row r="33" spans="1:17" s="9" customFormat="1" ht="32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1</v>
      </c>
      <c r="O33" s="24">
        <f>N33</f>
        <v>1</v>
      </c>
      <c r="P33" s="137">
        <f>ROUND(O33,0)</f>
        <v>1</v>
      </c>
      <c r="Q33" s="13" t="s">
        <v>574</v>
      </c>
    </row>
    <row r="34" spans="1:17" s="9" customFormat="1" ht="32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1</v>
      </c>
      <c r="Q34" s="13" t="s">
        <v>576</v>
      </c>
    </row>
    <row r="35" spans="1:17" s="9" customFormat="1" ht="16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 ht="16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 ht="16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32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2</v>
      </c>
      <c r="O38" s="24"/>
      <c r="P38" s="137">
        <f t="shared" si="2"/>
        <v>2</v>
      </c>
      <c r="Q38" s="13" t="s">
        <v>552</v>
      </c>
    </row>
    <row r="39" spans="1:17" s="9" customFormat="1" ht="32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1</v>
      </c>
      <c r="O39" s="24"/>
      <c r="P39" s="137">
        <f t="shared" si="2"/>
        <v>1</v>
      </c>
      <c r="Q39" s="13" t="s">
        <v>574</v>
      </c>
    </row>
    <row r="40" spans="1:17" s="9" customFormat="1" ht="32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0</v>
      </c>
      <c r="O40" s="24"/>
      <c r="P40" s="137">
        <f t="shared" si="2"/>
        <v>0</v>
      </c>
      <c r="Q40" s="13" t="s">
        <v>575</v>
      </c>
    </row>
    <row r="41" spans="1:17" s="9" customFormat="1" ht="16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32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1</v>
      </c>
      <c r="O42" s="24"/>
      <c r="P42" s="137">
        <f t="shared" si="2"/>
        <v>1</v>
      </c>
      <c r="Q42" s="13" t="s">
        <v>574</v>
      </c>
    </row>
    <row r="43" spans="1:17" s="9" customFormat="1" ht="32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2</v>
      </c>
      <c r="O43" s="24"/>
      <c r="P43" s="137">
        <f t="shared" si="2"/>
        <v>2</v>
      </c>
      <c r="Q43" s="13" t="s">
        <v>552</v>
      </c>
    </row>
    <row r="44" spans="1:17" s="9" customFormat="1" ht="32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4</v>
      </c>
      <c r="O44" s="24"/>
      <c r="P44" s="137">
        <f t="shared" si="2"/>
        <v>4</v>
      </c>
      <c r="Q44" s="13" t="s">
        <v>581</v>
      </c>
    </row>
    <row r="45" spans="1:17" s="9" customFormat="1" ht="32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4</v>
      </c>
      <c r="O45" s="24"/>
      <c r="P45" s="137">
        <f t="shared" si="2"/>
        <v>4</v>
      </c>
      <c r="Q45" s="13" t="s">
        <v>581</v>
      </c>
    </row>
    <row r="46" spans="1:17" s="9" customFormat="1" ht="32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2</v>
      </c>
      <c r="O46" s="24"/>
      <c r="P46" s="137">
        <f t="shared" si="2"/>
        <v>2</v>
      </c>
      <c r="Q46" s="13" t="s">
        <v>552</v>
      </c>
    </row>
    <row r="47" spans="1:17" s="9" customFormat="1" ht="32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2</v>
      </c>
      <c r="O47" s="24"/>
      <c r="P47" s="137">
        <f t="shared" si="2"/>
        <v>2</v>
      </c>
      <c r="Q47" s="13" t="s">
        <v>552</v>
      </c>
    </row>
    <row r="48" spans="1:17" s="9" customFormat="1" ht="32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2</v>
      </c>
      <c r="O48" s="24"/>
      <c r="P48" s="137">
        <f t="shared" si="2"/>
        <v>2</v>
      </c>
      <c r="Q48" s="13" t="s">
        <v>552</v>
      </c>
    </row>
    <row r="49" spans="1:17" s="9" customFormat="1" ht="32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2</v>
      </c>
      <c r="O49" s="24"/>
      <c r="P49" s="137">
        <f t="shared" si="2"/>
        <v>2</v>
      </c>
      <c r="Q49" s="13" t="s">
        <v>552</v>
      </c>
    </row>
    <row r="50" spans="1:17" s="9" customFormat="1" ht="32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1</v>
      </c>
      <c r="Q50" s="13" t="s">
        <v>576</v>
      </c>
    </row>
    <row r="51" spans="1:17" s="9" customFormat="1" ht="32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6</v>
      </c>
      <c r="O51" s="24"/>
      <c r="P51" s="137">
        <f t="shared" ref="P51:P69" si="3">N51</f>
        <v>6</v>
      </c>
      <c r="Q51" s="13" t="s">
        <v>582</v>
      </c>
    </row>
    <row r="52" spans="1:17" s="9" customFormat="1" ht="32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4</v>
      </c>
      <c r="O52" s="24"/>
      <c r="P52" s="137">
        <f t="shared" si="3"/>
        <v>4</v>
      </c>
      <c r="Q52" s="13" t="s">
        <v>581</v>
      </c>
    </row>
    <row r="53" spans="1:17" s="9" customFormat="1" ht="32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4</v>
      </c>
      <c r="O53" s="24"/>
      <c r="P53" s="137">
        <f t="shared" si="3"/>
        <v>4</v>
      </c>
      <c r="Q53" s="13" t="s">
        <v>581</v>
      </c>
    </row>
    <row r="54" spans="1:17" s="9" customFormat="1" ht="32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2</v>
      </c>
      <c r="O54" s="24"/>
      <c r="P54" s="137">
        <f t="shared" si="3"/>
        <v>2</v>
      </c>
      <c r="Q54" s="13" t="s">
        <v>552</v>
      </c>
    </row>
    <row r="55" spans="1:17" s="9" customFormat="1" ht="32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2</v>
      </c>
      <c r="O55" s="24"/>
      <c r="P55" s="137">
        <f t="shared" si="3"/>
        <v>2</v>
      </c>
      <c r="Q55" s="13" t="s">
        <v>552</v>
      </c>
    </row>
    <row r="56" spans="1:17" s="9" customFormat="1" ht="32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2</v>
      </c>
      <c r="O56" s="24"/>
      <c r="P56" s="137">
        <f t="shared" si="3"/>
        <v>2</v>
      </c>
      <c r="Q56" s="13" t="s">
        <v>552</v>
      </c>
    </row>
    <row r="57" spans="1:17" s="9" customFormat="1" ht="32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2</v>
      </c>
      <c r="O57" s="24"/>
      <c r="P57" s="137">
        <f t="shared" si="3"/>
        <v>2</v>
      </c>
      <c r="Q57" s="13" t="s">
        <v>552</v>
      </c>
    </row>
    <row r="58" spans="1:17" s="9" customFormat="1" ht="32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2</v>
      </c>
      <c r="O58" s="24"/>
      <c r="P58" s="137">
        <f t="shared" si="3"/>
        <v>2</v>
      </c>
      <c r="Q58" s="13" t="s">
        <v>552</v>
      </c>
    </row>
    <row r="59" spans="1:17" s="9" customFormat="1" ht="32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2</v>
      </c>
      <c r="O59" s="24"/>
      <c r="P59" s="137">
        <f t="shared" si="3"/>
        <v>2</v>
      </c>
      <c r="Q59" s="13" t="s">
        <v>552</v>
      </c>
    </row>
    <row r="60" spans="1:17" s="9" customFormat="1" ht="32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2</v>
      </c>
      <c r="O60" s="24"/>
      <c r="P60" s="137">
        <f t="shared" si="3"/>
        <v>2</v>
      </c>
      <c r="Q60" s="13" t="s">
        <v>552</v>
      </c>
    </row>
    <row r="61" spans="1:17" s="9" customFormat="1" ht="32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2</v>
      </c>
      <c r="O61" s="24"/>
      <c r="P61" s="137">
        <f t="shared" si="3"/>
        <v>2</v>
      </c>
      <c r="Q61" s="13" t="s">
        <v>552</v>
      </c>
    </row>
    <row r="62" spans="1:17" s="9" customFormat="1" ht="32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2</v>
      </c>
      <c r="O62" s="24"/>
      <c r="P62" s="137">
        <f t="shared" si="3"/>
        <v>2</v>
      </c>
      <c r="Q62" s="13" t="s">
        <v>552</v>
      </c>
    </row>
    <row r="63" spans="1:17" s="9" customFormat="1" ht="32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2</v>
      </c>
      <c r="O63" s="24"/>
      <c r="P63" s="137">
        <f t="shared" si="3"/>
        <v>2</v>
      </c>
      <c r="Q63" s="13" t="s">
        <v>552</v>
      </c>
    </row>
    <row r="64" spans="1:17" s="9" customFormat="1" ht="32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2</v>
      </c>
      <c r="O64" s="24"/>
      <c r="P64" s="137">
        <f t="shared" si="3"/>
        <v>2</v>
      </c>
      <c r="Q64" s="13" t="s">
        <v>552</v>
      </c>
    </row>
    <row r="65" spans="1:17" s="9" customFormat="1" ht="32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2</v>
      </c>
      <c r="O65" s="24"/>
      <c r="P65" s="137">
        <f t="shared" si="3"/>
        <v>2</v>
      </c>
      <c r="Q65" s="13" t="s">
        <v>552</v>
      </c>
    </row>
    <row r="66" spans="1:17" s="9" customFormat="1" ht="32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2</v>
      </c>
      <c r="O66" s="24"/>
      <c r="P66" s="137">
        <f t="shared" si="3"/>
        <v>2</v>
      </c>
      <c r="Q66" s="13" t="s">
        <v>552</v>
      </c>
    </row>
    <row r="67" spans="1:17" s="9" customFormat="1" ht="32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2</v>
      </c>
      <c r="O67" s="24"/>
      <c r="P67" s="137">
        <f t="shared" si="3"/>
        <v>2</v>
      </c>
      <c r="Q67" s="13" t="s">
        <v>552</v>
      </c>
    </row>
    <row r="68" spans="1:17" s="9" customFormat="1" ht="32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2</v>
      </c>
      <c r="O68" s="24"/>
      <c r="P68" s="137">
        <f t="shared" si="3"/>
        <v>2</v>
      </c>
      <c r="Q68" s="13" t="s">
        <v>552</v>
      </c>
    </row>
    <row r="69" spans="1:17" s="9" customFormat="1" ht="32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2</v>
      </c>
      <c r="O69" s="24"/>
      <c r="P69" s="137">
        <f t="shared" si="3"/>
        <v>2</v>
      </c>
      <c r="Q69" s="13" t="s">
        <v>552</v>
      </c>
    </row>
    <row r="70" spans="1:17" s="9" customFormat="1" ht="16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32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4</v>
      </c>
      <c r="O71" s="24"/>
      <c r="P71" s="137">
        <f>N71</f>
        <v>4</v>
      </c>
      <c r="Q71" s="13" t="s">
        <v>584</v>
      </c>
    </row>
    <row r="72" spans="1:17" s="9" customFormat="1" ht="16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165</v>
      </c>
      <c r="Q72" s="13" t="s">
        <v>583</v>
      </c>
    </row>
    <row r="73" spans="1:17" s="9" customFormat="1" ht="16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 ht="16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 ht="16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 ht="16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32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6</v>
      </c>
      <c r="O77" s="24"/>
      <c r="P77" s="137">
        <f>N77</f>
        <v>6</v>
      </c>
      <c r="Q77" s="13" t="s">
        <v>582</v>
      </c>
    </row>
    <row r="78" spans="1:17" s="9" customFormat="1" ht="16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 ht="16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 ht="16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32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11</v>
      </c>
      <c r="O81" s="24"/>
      <c r="P81" s="137">
        <f>N81</f>
        <v>11</v>
      </c>
      <c r="Q81" s="13" t="s">
        <v>586</v>
      </c>
    </row>
    <row r="82" spans="1:17" s="9" customFormat="1" ht="16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 ht="16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32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147</v>
      </c>
      <c r="O84" s="24"/>
      <c r="P84" s="137">
        <f>N84</f>
        <v>147</v>
      </c>
      <c r="Q84" s="13" t="s">
        <v>587</v>
      </c>
    </row>
    <row r="85" spans="1:17" s="9" customFormat="1" ht="32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2</v>
      </c>
      <c r="O85" s="24"/>
      <c r="P85" s="137">
        <f>N85</f>
        <v>2</v>
      </c>
      <c r="Q85" s="13" t="s">
        <v>552</v>
      </c>
    </row>
    <row r="86" spans="1:17" s="9" customFormat="1" ht="16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32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 ht="16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 ht="16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32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32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32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294</v>
      </c>
      <c r="O92" s="24"/>
      <c r="P92" s="137">
        <f>N92</f>
        <v>294</v>
      </c>
      <c r="Q92" s="13" t="s">
        <v>593</v>
      </c>
    </row>
    <row r="93" spans="1:17" s="9" customFormat="1" ht="32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36</v>
      </c>
      <c r="O93" s="24"/>
      <c r="P93" s="137">
        <f>N93</f>
        <v>36</v>
      </c>
      <c r="Q93" s="13" t="s">
        <v>592</v>
      </c>
    </row>
    <row r="94" spans="1:17" s="9" customFormat="1" ht="32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50</v>
      </c>
      <c r="O94" s="24">
        <f>N94</f>
        <v>50</v>
      </c>
      <c r="P94" s="137">
        <f>ROUND(O94,0)</f>
        <v>50</v>
      </c>
      <c r="Q94" s="13" t="s">
        <v>601</v>
      </c>
    </row>
    <row r="95" spans="1:17" s="9" customFormat="1" ht="16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147</v>
      </c>
      <c r="O95" s="24">
        <f>N95</f>
        <v>147</v>
      </c>
      <c r="P95" s="137">
        <f>ROUND(O95,0)</f>
        <v>147</v>
      </c>
      <c r="Q95" s="13" t="s">
        <v>600</v>
      </c>
    </row>
    <row r="96" spans="1:17" s="9" customFormat="1" ht="16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 ht="16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 ht="16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8</v>
      </c>
      <c r="O98" s="24"/>
      <c r="P98" s="137">
        <f t="shared" si="6"/>
        <v>8</v>
      </c>
      <c r="Q98" s="13" t="s">
        <v>596</v>
      </c>
    </row>
    <row r="99" spans="1:17" s="9" customFormat="1" ht="16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8</v>
      </c>
      <c r="O99" s="24"/>
      <c r="P99" s="137">
        <f t="shared" si="6"/>
        <v>8</v>
      </c>
      <c r="Q99" s="13" t="s">
        <v>596</v>
      </c>
    </row>
    <row r="100" spans="1:17" s="9" customFormat="1" ht="16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8</v>
      </c>
      <c r="O100" s="24"/>
      <c r="P100" s="137">
        <f t="shared" si="6"/>
        <v>8</v>
      </c>
      <c r="Q100" s="13" t="s">
        <v>596</v>
      </c>
    </row>
    <row r="101" spans="1:17" s="9" customFormat="1" ht="32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18</v>
      </c>
      <c r="O101" s="24"/>
      <c r="P101" s="137">
        <f t="shared" si="6"/>
        <v>18</v>
      </c>
      <c r="Q101" s="13" t="s">
        <v>598</v>
      </c>
    </row>
    <row r="102" spans="1:17" s="9" customFormat="1" ht="16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8</v>
      </c>
      <c r="O102" s="24"/>
      <c r="P102" s="137">
        <f t="shared" si="6"/>
        <v>8</v>
      </c>
      <c r="Q102" s="13" t="s">
        <v>596</v>
      </c>
    </row>
    <row r="103" spans="1:17" s="9" customFormat="1" ht="16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32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4</v>
      </c>
      <c r="O104" s="24"/>
      <c r="P104" s="137">
        <f t="shared" si="6"/>
        <v>4</v>
      </c>
      <c r="Q104" s="13" t="s">
        <v>604</v>
      </c>
    </row>
    <row r="105" spans="1:17" s="9" customFormat="1" ht="32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3</v>
      </c>
      <c r="O105" s="24"/>
      <c r="P105" s="137">
        <f t="shared" si="6"/>
        <v>3</v>
      </c>
      <c r="Q105" s="13" t="s">
        <v>603</v>
      </c>
    </row>
    <row r="106" spans="1:17" s="9" customFormat="1" ht="32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3</v>
      </c>
      <c r="O106" s="24"/>
      <c r="P106" s="137">
        <f t="shared" si="6"/>
        <v>3</v>
      </c>
      <c r="Q106" s="13" t="s">
        <v>603</v>
      </c>
    </row>
    <row r="107" spans="1:17" s="9" customFormat="1" ht="32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3</v>
      </c>
      <c r="O107" s="24"/>
      <c r="P107" s="137">
        <f t="shared" si="6"/>
        <v>3</v>
      </c>
      <c r="Q107" s="13" t="s">
        <v>603</v>
      </c>
    </row>
    <row r="108" spans="1:17" s="9" customFormat="1" ht="32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4</v>
      </c>
      <c r="O108" s="24"/>
      <c r="P108" s="137">
        <f t="shared" si="6"/>
        <v>4</v>
      </c>
      <c r="Q108" s="13" t="s">
        <v>606</v>
      </c>
    </row>
    <row r="109" spans="1:17" s="9" customFormat="1" ht="32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38.75</v>
      </c>
      <c r="O109" s="24"/>
      <c r="P109" s="137">
        <f>ROUND(N109,0)</f>
        <v>39</v>
      </c>
      <c r="Q109" s="13" t="s">
        <v>607</v>
      </c>
    </row>
    <row r="110" spans="1:17" s="9" customFormat="1" ht="16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9</v>
      </c>
      <c r="O110" s="24"/>
      <c r="P110" s="137">
        <f>ROUND(N110,0)</f>
        <v>9</v>
      </c>
      <c r="Q110" s="13" t="s">
        <v>605</v>
      </c>
    </row>
    <row r="111" spans="1:17" s="9" customFormat="1" ht="32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165</v>
      </c>
      <c r="O111" s="24"/>
      <c r="P111" s="137">
        <f>N111</f>
        <v>165</v>
      </c>
      <c r="Q111" s="13" t="s">
        <v>608</v>
      </c>
    </row>
    <row r="112" spans="1:17" s="9" customFormat="1" ht="16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 ht="16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 ht="16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 ht="16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 ht="16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32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2</v>
      </c>
      <c r="O117" s="24"/>
      <c r="P117" s="137">
        <f>N117</f>
        <v>2</v>
      </c>
      <c r="Q117" s="13" t="s">
        <v>551</v>
      </c>
    </row>
    <row r="118" spans="1:17" s="9" customFormat="1" ht="16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32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2</v>
      </c>
      <c r="O119" s="24"/>
      <c r="P119" s="137">
        <f>N119</f>
        <v>2</v>
      </c>
      <c r="Q119" s="13" t="s">
        <v>551</v>
      </c>
    </row>
    <row r="120" spans="1:17" s="9" customFormat="1" ht="16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 ht="16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32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99</v>
      </c>
      <c r="O122" s="24"/>
      <c r="P122" s="137">
        <f>ROUND(N122,0)</f>
        <v>99</v>
      </c>
      <c r="Q122" s="13" t="s">
        <v>610</v>
      </c>
    </row>
    <row r="123" spans="1:17" s="9" customFormat="1" ht="32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7</v>
      </c>
      <c r="O123" s="24"/>
      <c r="P123" s="137">
        <f>N123</f>
        <v>7</v>
      </c>
      <c r="Q123" s="27" t="s">
        <v>611</v>
      </c>
    </row>
    <row r="124" spans="1:17" s="9" customFormat="1" ht="32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32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0</v>
      </c>
      <c r="O125" s="24"/>
      <c r="P125" s="137">
        <f>N125</f>
        <v>0</v>
      </c>
      <c r="Q125" s="13" t="s">
        <v>575</v>
      </c>
    </row>
    <row r="126" spans="1:17" s="9" customFormat="1" ht="32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1</v>
      </c>
      <c r="O126" s="24"/>
      <c r="P126" s="137">
        <f>N126</f>
        <v>1</v>
      </c>
      <c r="Q126" s="13" t="s">
        <v>574</v>
      </c>
    </row>
    <row r="127" spans="1:17" s="9" customFormat="1" ht="32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32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8</v>
      </c>
      <c r="O128" s="24"/>
      <c r="P128" s="137">
        <f>N128</f>
        <v>8</v>
      </c>
      <c r="Q128" s="13" t="s">
        <v>613</v>
      </c>
    </row>
    <row r="129" spans="1:17" s="9" customFormat="1" ht="32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32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2</v>
      </c>
      <c r="O130" s="24"/>
      <c r="P130" s="137">
        <f t="shared" ref="P130:P136" si="7">N130</f>
        <v>2</v>
      </c>
      <c r="Q130" s="13" t="s">
        <v>551</v>
      </c>
    </row>
    <row r="131" spans="1:17" s="9" customFormat="1" ht="32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2</v>
      </c>
      <c r="O131" s="24"/>
      <c r="P131" s="137">
        <f t="shared" si="7"/>
        <v>2</v>
      </c>
      <c r="Q131" s="13" t="s">
        <v>612</v>
      </c>
    </row>
    <row r="132" spans="1:17" s="9" customFormat="1" ht="32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2</v>
      </c>
      <c r="O132" s="24"/>
      <c r="P132" s="137">
        <f t="shared" si="7"/>
        <v>2</v>
      </c>
      <c r="Q132" s="13" t="s">
        <v>552</v>
      </c>
    </row>
    <row r="133" spans="1:17" s="9" customFormat="1" ht="16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7</v>
      </c>
      <c r="O133" s="24"/>
      <c r="P133" s="137">
        <f t="shared" si="7"/>
        <v>7</v>
      </c>
      <c r="Q133" s="13" t="s">
        <v>620</v>
      </c>
    </row>
    <row r="134" spans="1:17" s="9" customFormat="1" ht="16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7</v>
      </c>
      <c r="O134" s="24"/>
      <c r="P134" s="137">
        <f t="shared" si="7"/>
        <v>7</v>
      </c>
      <c r="Q134" s="13" t="s">
        <v>620</v>
      </c>
    </row>
    <row r="135" spans="1:17" s="9" customFormat="1" ht="32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14</v>
      </c>
      <c r="O135" s="24"/>
      <c r="P135" s="137">
        <f t="shared" si="7"/>
        <v>14</v>
      </c>
      <c r="Q135" s="13" t="s">
        <v>622</v>
      </c>
    </row>
    <row r="136" spans="1:17" s="9" customFormat="1" ht="30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8</v>
      </c>
      <c r="O136" s="24"/>
      <c r="P136" s="137">
        <f t="shared" si="7"/>
        <v>8</v>
      </c>
      <c r="Q136" s="13" t="s">
        <v>614</v>
      </c>
    </row>
    <row r="137" spans="1:17" s="9" customFormat="1" ht="16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8</v>
      </c>
      <c r="O137" s="24"/>
      <c r="P137" s="137">
        <v>1</v>
      </c>
      <c r="Q137" s="13" t="s">
        <v>624</v>
      </c>
    </row>
    <row r="138" spans="1:17" s="9" customFormat="1" ht="16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 ht="16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8</v>
      </c>
      <c r="O139" s="24"/>
      <c r="P139" s="137">
        <f>N139</f>
        <v>8</v>
      </c>
      <c r="Q139" s="13" t="s">
        <v>616</v>
      </c>
    </row>
    <row r="140" spans="1:17" s="9" customFormat="1" ht="30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32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8</v>
      </c>
      <c r="O141" s="24"/>
      <c r="P141" s="137">
        <f t="shared" ref="P141:P148" si="8">N141</f>
        <v>8</v>
      </c>
      <c r="Q141" s="13" t="s">
        <v>627</v>
      </c>
    </row>
    <row r="142" spans="1:17" s="9" customFormat="1" ht="30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32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3</v>
      </c>
      <c r="O143" s="24"/>
      <c r="P143" s="137">
        <f t="shared" si="8"/>
        <v>3</v>
      </c>
      <c r="Q143" s="13" t="s">
        <v>631</v>
      </c>
    </row>
    <row r="144" spans="1:17" s="9" customFormat="1" ht="30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6</v>
      </c>
      <c r="O144" s="24"/>
      <c r="P144" s="137">
        <f t="shared" si="8"/>
        <v>6</v>
      </c>
      <c r="Q144" s="13" t="s">
        <v>620</v>
      </c>
    </row>
    <row r="145" spans="1:17" s="9" customFormat="1" ht="30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6</v>
      </c>
      <c r="O145" s="24"/>
      <c r="P145" s="137">
        <f t="shared" si="8"/>
        <v>6</v>
      </c>
      <c r="Q145" s="13" t="s">
        <v>620</v>
      </c>
    </row>
    <row r="146" spans="1:17" s="9" customFormat="1" ht="30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6</v>
      </c>
      <c r="O146" s="24"/>
      <c r="P146" s="137">
        <f t="shared" si="8"/>
        <v>6</v>
      </c>
      <c r="Q146" s="13" t="s">
        <v>620</v>
      </c>
    </row>
    <row r="147" spans="1:17" s="9" customFormat="1" ht="32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2</v>
      </c>
      <c r="O147" s="24"/>
      <c r="P147" s="137">
        <f t="shared" si="8"/>
        <v>2</v>
      </c>
      <c r="Q147" s="13" t="s">
        <v>552</v>
      </c>
    </row>
    <row r="148" spans="1:17" s="9" customFormat="1" ht="30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8</v>
      </c>
      <c r="O148" s="24"/>
      <c r="P148" s="137">
        <f t="shared" si="8"/>
        <v>8</v>
      </c>
      <c r="Q148" s="13" t="s">
        <v>637</v>
      </c>
    </row>
    <row r="149" spans="1:17" s="9" customFormat="1" ht="30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30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 ht="16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 ht="16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6</v>
      </c>
      <c r="O152" s="24"/>
      <c r="P152" s="137">
        <f t="shared" si="9"/>
        <v>6</v>
      </c>
      <c r="Q152" s="13" t="s">
        <v>640</v>
      </c>
    </row>
    <row r="153" spans="1:17" s="9" customFormat="1" ht="30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3</v>
      </c>
      <c r="O153" s="24"/>
      <c r="P153" s="137">
        <f t="shared" si="9"/>
        <v>3</v>
      </c>
      <c r="Q153" s="13" t="s">
        <v>642</v>
      </c>
    </row>
    <row r="154" spans="1:17" s="9" customFormat="1" ht="16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3</v>
      </c>
      <c r="O154" s="24"/>
      <c r="P154" s="137">
        <f t="shared" si="9"/>
        <v>3</v>
      </c>
      <c r="Q154" s="13" t="s">
        <v>643</v>
      </c>
    </row>
    <row r="155" spans="1:17" s="9" customFormat="1" ht="30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3</v>
      </c>
      <c r="O155" s="24"/>
      <c r="P155" s="137">
        <f t="shared" si="9"/>
        <v>3</v>
      </c>
      <c r="Q155" s="13" t="s">
        <v>643</v>
      </c>
    </row>
    <row r="156" spans="1:17" s="9" customFormat="1" ht="16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7</v>
      </c>
      <c r="O156" s="24"/>
      <c r="P156" s="137">
        <f t="shared" si="9"/>
        <v>7</v>
      </c>
      <c r="Q156" s="13" t="s">
        <v>616</v>
      </c>
    </row>
    <row r="157" spans="1:17" s="9" customFormat="1" ht="32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2</v>
      </c>
      <c r="O157" s="24"/>
      <c r="P157" s="137">
        <f t="shared" si="9"/>
        <v>2</v>
      </c>
      <c r="Q157" s="13" t="s">
        <v>552</v>
      </c>
    </row>
    <row r="158" spans="1:17" s="9" customFormat="1" ht="32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2</v>
      </c>
      <c r="O158" s="24"/>
      <c r="P158" s="137">
        <f t="shared" si="9"/>
        <v>2</v>
      </c>
      <c r="Q158" s="13" t="s">
        <v>552</v>
      </c>
    </row>
    <row r="159" spans="1:17" s="9" customFormat="1" ht="16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32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0</v>
      </c>
      <c r="O160" s="24"/>
      <c r="P160" s="137">
        <f t="shared" ref="P160:P171" si="10">N160</f>
        <v>0</v>
      </c>
      <c r="Q160" s="13" t="s">
        <v>647</v>
      </c>
    </row>
    <row r="161" spans="1:17" s="9" customFormat="1" ht="16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1</v>
      </c>
      <c r="O161" s="24"/>
      <c r="P161" s="137">
        <f t="shared" si="10"/>
        <v>1</v>
      </c>
      <c r="Q161" s="13" t="s">
        <v>618</v>
      </c>
    </row>
    <row r="162" spans="1:17" s="9" customFormat="1" ht="32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1</v>
      </c>
      <c r="O162" s="24"/>
      <c r="P162" s="137">
        <f t="shared" si="10"/>
        <v>1</v>
      </c>
      <c r="Q162" s="13" t="s">
        <v>649</v>
      </c>
    </row>
    <row r="163" spans="1:17" s="9" customFormat="1" ht="30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7</v>
      </c>
      <c r="O163" s="24"/>
      <c r="P163" s="137">
        <f t="shared" si="10"/>
        <v>7</v>
      </c>
      <c r="Q163" s="13" t="s">
        <v>614</v>
      </c>
    </row>
    <row r="164" spans="1:17" s="9" customFormat="1" ht="32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2</v>
      </c>
      <c r="O164" s="24"/>
      <c r="P164" s="137">
        <f t="shared" si="10"/>
        <v>2</v>
      </c>
      <c r="Q164" s="13" t="s">
        <v>552</v>
      </c>
    </row>
    <row r="165" spans="1:17" s="9" customFormat="1" ht="32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2</v>
      </c>
      <c r="O165" s="24"/>
      <c r="P165" s="137">
        <f t="shared" si="10"/>
        <v>2</v>
      </c>
      <c r="Q165" s="13" t="s">
        <v>552</v>
      </c>
    </row>
    <row r="166" spans="1:17" s="9" customFormat="1" ht="32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2</v>
      </c>
      <c r="O166" s="24"/>
      <c r="P166" s="137">
        <f t="shared" si="10"/>
        <v>2</v>
      </c>
      <c r="Q166" s="13" t="s">
        <v>552</v>
      </c>
    </row>
    <row r="167" spans="1:17" s="9" customFormat="1" ht="30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6</v>
      </c>
      <c r="O167" s="24"/>
      <c r="P167" s="137">
        <f t="shared" si="10"/>
        <v>6</v>
      </c>
      <c r="Q167" s="13" t="s">
        <v>640</v>
      </c>
    </row>
    <row r="168" spans="1:17" s="9" customFormat="1" ht="30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30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32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4</v>
      </c>
      <c r="O170" s="24"/>
      <c r="P170" s="137">
        <f t="shared" si="10"/>
        <v>4</v>
      </c>
      <c r="Q170" s="13" t="s">
        <v>604</v>
      </c>
    </row>
    <row r="171" spans="1:17" s="9" customFormat="1" ht="32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4</v>
      </c>
      <c r="O171" s="24"/>
      <c r="P171" s="137">
        <f t="shared" si="10"/>
        <v>4</v>
      </c>
      <c r="Q171" s="13" t="s">
        <v>604</v>
      </c>
    </row>
    <row r="172" spans="1:17" s="9" customFormat="1" ht="16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 ht="16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30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7</v>
      </c>
      <c r="Q174" s="13" t="s">
        <v>614</v>
      </c>
    </row>
    <row r="175" spans="1:17" s="9" customFormat="1" ht="16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12</v>
      </c>
      <c r="Q175" s="13" t="s">
        <v>619</v>
      </c>
    </row>
    <row r="176" spans="1:17" s="9" customFormat="1" ht="16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12</v>
      </c>
      <c r="Q176" s="13" t="s">
        <v>619</v>
      </c>
    </row>
    <row r="177" spans="1:17" s="9" customFormat="1" ht="16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12</v>
      </c>
      <c r="Q177" s="13" t="s">
        <v>619</v>
      </c>
    </row>
    <row r="178" spans="1:17" s="9" customFormat="1" ht="16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12</v>
      </c>
      <c r="Q178" s="13" t="s">
        <v>619</v>
      </c>
    </row>
    <row r="179" spans="1:17" s="9" customFormat="1" ht="16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12</v>
      </c>
      <c r="Q179" s="13" t="s">
        <v>619</v>
      </c>
    </row>
    <row r="180" spans="1:17" s="9" customFormat="1" ht="30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14</v>
      </c>
      <c r="Q180" s="13" t="s">
        <v>662</v>
      </c>
    </row>
    <row r="181" spans="1:17" s="9" customFormat="1" ht="16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12</v>
      </c>
      <c r="Q181" s="13" t="s">
        <v>619</v>
      </c>
    </row>
    <row r="182" spans="1:17" s="9" customFormat="1" ht="16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1</v>
      </c>
      <c r="Q182" s="13" t="s">
        <v>663</v>
      </c>
    </row>
    <row r="183" spans="1:17" s="9" customFormat="1" ht="16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12</v>
      </c>
      <c r="Q183" s="13" t="s">
        <v>619</v>
      </c>
    </row>
    <row r="184" spans="1:17" s="9" customFormat="1" ht="16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12</v>
      </c>
      <c r="Q184" s="13" t="s">
        <v>619</v>
      </c>
    </row>
    <row r="185" spans="1:17" s="9" customFormat="1" ht="16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3</v>
      </c>
      <c r="Q185" s="13" t="s">
        <v>642</v>
      </c>
    </row>
    <row r="186" spans="1:17" s="9" customFormat="1" ht="16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12</v>
      </c>
      <c r="Q186" s="13" t="s">
        <v>619</v>
      </c>
    </row>
    <row r="187" spans="1:17" s="9" customFormat="1" ht="30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1</v>
      </c>
      <c r="Q187" s="13" t="s">
        <v>665</v>
      </c>
    </row>
    <row r="188" spans="1:17" s="9" customFormat="1" ht="16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12</v>
      </c>
      <c r="Q188" s="13" t="s">
        <v>619</v>
      </c>
    </row>
    <row r="189" spans="1:17" s="9" customFormat="1" ht="16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1</v>
      </c>
      <c r="Q189" s="13" t="s">
        <v>665</v>
      </c>
    </row>
    <row r="190" spans="1:17" s="9" customFormat="1" ht="16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12</v>
      </c>
      <c r="Q190" s="13" t="s">
        <v>619</v>
      </c>
    </row>
    <row r="191" spans="1:17" s="9" customFormat="1" ht="16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12</v>
      </c>
      <c r="Q191" s="13" t="s">
        <v>619</v>
      </c>
    </row>
    <row r="192" spans="1:17" s="9" customFormat="1" ht="30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 ht="16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12</v>
      </c>
      <c r="Q193" s="13" t="s">
        <v>619</v>
      </c>
    </row>
    <row r="194" spans="1:17" s="9" customFormat="1" ht="16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1</v>
      </c>
      <c r="Q194" s="13" t="s">
        <v>663</v>
      </c>
    </row>
    <row r="195" spans="1:17" s="9" customFormat="1" ht="16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12</v>
      </c>
      <c r="Q195" s="13" t="s">
        <v>619</v>
      </c>
    </row>
    <row r="196" spans="1:17" s="9" customFormat="1" ht="16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12</v>
      </c>
      <c r="Q196" s="13" t="s">
        <v>619</v>
      </c>
    </row>
    <row r="197" spans="1:17" s="9" customFormat="1" ht="16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1</v>
      </c>
      <c r="Q197" s="13" t="s">
        <v>663</v>
      </c>
    </row>
    <row r="198" spans="1:17" s="9" customFormat="1" ht="16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12</v>
      </c>
      <c r="Q198" s="13" t="s">
        <v>619</v>
      </c>
    </row>
    <row r="199" spans="1:17" s="9" customFormat="1" ht="30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12</v>
      </c>
      <c r="Q199" s="13" t="s">
        <v>619</v>
      </c>
    </row>
    <row r="200" spans="1:17" s="9" customFormat="1" ht="16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12</v>
      </c>
      <c r="Q200" s="13" t="s">
        <v>619</v>
      </c>
    </row>
    <row r="201" spans="1:17" s="9" customFormat="1" ht="30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1</v>
      </c>
      <c r="Q201" s="13" t="s">
        <v>663</v>
      </c>
    </row>
    <row r="202" spans="1:17" s="9" customFormat="1" ht="30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1</v>
      </c>
      <c r="Q202" s="13" t="s">
        <v>663</v>
      </c>
    </row>
    <row r="203" spans="1:17" s="9" customFormat="1" ht="30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12</v>
      </c>
      <c r="Q203" s="13" t="s">
        <v>619</v>
      </c>
    </row>
    <row r="204" spans="1:17" s="9" customFormat="1" ht="30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30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12</v>
      </c>
      <c r="Q205" s="13" t="s">
        <v>619</v>
      </c>
    </row>
    <row r="206" spans="1:17" s="9" customFormat="1" ht="30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6</v>
      </c>
      <c r="Q206" s="13" t="s">
        <v>620</v>
      </c>
    </row>
    <row r="207" spans="1:17" s="9" customFormat="1" ht="16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6</v>
      </c>
      <c r="Q207" s="13" t="s">
        <v>620</v>
      </c>
    </row>
    <row r="208" spans="1:17" s="9" customFormat="1" ht="16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1</v>
      </c>
      <c r="Q208" s="13" t="s">
        <v>677</v>
      </c>
    </row>
    <row r="209" spans="1:17" s="9" customFormat="1" ht="30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6</v>
      </c>
      <c r="Q209" s="13" t="s">
        <v>620</v>
      </c>
    </row>
    <row r="210" spans="1:17" s="9" customFormat="1" ht="16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24</v>
      </c>
      <c r="Q210" s="13" t="s">
        <v>679</v>
      </c>
    </row>
    <row r="211" spans="1:17" s="9" customFormat="1" ht="16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6</v>
      </c>
      <c r="Q211" s="13" t="s">
        <v>620</v>
      </c>
    </row>
    <row r="212" spans="1:17" s="9" customFormat="1" ht="16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3</v>
      </c>
      <c r="Q212" s="13" t="s">
        <v>642</v>
      </c>
    </row>
    <row r="213" spans="1:17" s="9" customFormat="1" ht="30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6</v>
      </c>
      <c r="Q213" s="13" t="s">
        <v>620</v>
      </c>
    </row>
    <row r="214" spans="1:17" s="9" customFormat="1" ht="16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6</v>
      </c>
      <c r="Q214" s="13" t="s">
        <v>620</v>
      </c>
    </row>
    <row r="215" spans="1:17" s="9" customFormat="1" ht="16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6</v>
      </c>
      <c r="Q215" s="13" t="s">
        <v>620</v>
      </c>
    </row>
    <row r="216" spans="1:17" s="9" customFormat="1" ht="30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6</v>
      </c>
      <c r="Q216" s="13" t="s">
        <v>620</v>
      </c>
    </row>
    <row r="217" spans="1:17" s="9" customFormat="1" ht="16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6</v>
      </c>
      <c r="Q217" s="13" t="s">
        <v>620</v>
      </c>
    </row>
    <row r="218" spans="1:17" s="9" customFormat="1" ht="30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6</v>
      </c>
      <c r="Q218" s="13" t="s">
        <v>620</v>
      </c>
    </row>
    <row r="219" spans="1:17" s="9" customFormat="1" ht="16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6</v>
      </c>
      <c r="Q219" s="13" t="s">
        <v>620</v>
      </c>
    </row>
    <row r="220" spans="1:17" s="9" customFormat="1" ht="16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6</v>
      </c>
      <c r="Q220" s="13" t="s">
        <v>620</v>
      </c>
    </row>
    <row r="221" spans="1:17" s="9" customFormat="1" ht="30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6</v>
      </c>
      <c r="Q221" s="13" t="s">
        <v>620</v>
      </c>
    </row>
    <row r="222" spans="1:17" s="9" customFormat="1" ht="16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15</v>
      </c>
      <c r="Q222" s="13" t="s">
        <v>683</v>
      </c>
    </row>
    <row r="223" spans="1:17" s="9" customFormat="1" ht="32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3.5</v>
      </c>
      <c r="Q223" s="13" t="s">
        <v>685</v>
      </c>
    </row>
    <row r="224" spans="1:17" s="9" customFormat="1" ht="30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6</v>
      </c>
      <c r="Q224" s="13" t="s">
        <v>620</v>
      </c>
    </row>
    <row r="225" spans="1:17" s="9" customFormat="1" ht="30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7</v>
      </c>
      <c r="Q225" s="13" t="s">
        <v>688</v>
      </c>
    </row>
    <row r="226" spans="1:17" s="9" customFormat="1" ht="16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6</v>
      </c>
      <c r="Q226" s="13" t="s">
        <v>620</v>
      </c>
    </row>
    <row r="227" spans="1:17" s="9" customFormat="1" ht="32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2</v>
      </c>
      <c r="Q227" s="85" t="s">
        <v>552</v>
      </c>
    </row>
    <row r="228" spans="1:17" s="9" customFormat="1" ht="32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2</v>
      </c>
      <c r="Q228" s="85" t="s">
        <v>552</v>
      </c>
    </row>
    <row r="229" spans="1:17" s="9" customFormat="1" ht="32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2</v>
      </c>
      <c r="Q229" s="85" t="s">
        <v>552</v>
      </c>
    </row>
    <row r="230" spans="1:17" s="9" customFormat="1" ht="32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2</v>
      </c>
      <c r="Q230" s="85" t="s">
        <v>552</v>
      </c>
    </row>
    <row r="231" spans="1:17" s="9" customFormat="1" ht="32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2</v>
      </c>
      <c r="Q231" s="85" t="s">
        <v>552</v>
      </c>
    </row>
    <row r="232" spans="1:17" s="9" customFormat="1" ht="32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2</v>
      </c>
      <c r="Q232" s="85" t="s">
        <v>552</v>
      </c>
    </row>
    <row r="233" spans="1:17" s="9" customFormat="1" ht="16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 ht="16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30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30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14</v>
      </c>
      <c r="Q236" s="13" t="s">
        <v>697</v>
      </c>
    </row>
    <row r="237" spans="1:17" ht="30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14</v>
      </c>
      <c r="Q237" s="13" t="s">
        <v>697</v>
      </c>
    </row>
    <row r="238" spans="1:17" ht="30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14</v>
      </c>
      <c r="Q238" s="13" t="s">
        <v>697</v>
      </c>
    </row>
    <row r="239" spans="1:17" ht="30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7</v>
      </c>
      <c r="Q239" s="13" t="s">
        <v>688</v>
      </c>
    </row>
    <row r="240" spans="1:17" ht="30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7</v>
      </c>
      <c r="Q240" s="13" t="s">
        <v>688</v>
      </c>
    </row>
    <row r="241" spans="1:17" ht="30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7</v>
      </c>
      <c r="Q241" s="13" t="s">
        <v>688</v>
      </c>
    </row>
    <row r="242" spans="1:17" ht="30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7</v>
      </c>
      <c r="Q242" s="13" t="s">
        <v>688</v>
      </c>
    </row>
    <row r="243" spans="1:17" ht="16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7</v>
      </c>
      <c r="Q243" s="13" t="s">
        <v>688</v>
      </c>
    </row>
    <row r="244" spans="1:17" ht="16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7</v>
      </c>
      <c r="Q244" s="13" t="s">
        <v>688</v>
      </c>
    </row>
    <row r="245" spans="1:17" s="9" customFormat="1" ht="64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8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2</v>
      </c>
      <c r="O246" s="24"/>
      <c r="P246" s="137">
        <f>N246</f>
        <v>2</v>
      </c>
      <c r="Q246" s="13" t="s">
        <v>710</v>
      </c>
    </row>
    <row r="247" spans="1:17" s="9" customFormat="1" ht="32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2</v>
      </c>
      <c r="O247" s="24">
        <f t="shared" ref="O247:O250" si="12">N247</f>
        <v>2</v>
      </c>
      <c r="P247" s="137">
        <f>ROUND(O247,0)</f>
        <v>2</v>
      </c>
      <c r="Q247" s="13" t="s">
        <v>551</v>
      </c>
    </row>
    <row r="248" spans="1:17" s="9" customFormat="1" ht="32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2</v>
      </c>
      <c r="O248" s="24">
        <f t="shared" si="12"/>
        <v>2</v>
      </c>
      <c r="P248" s="137">
        <f>ROUND(O248,0)</f>
        <v>2</v>
      </c>
      <c r="Q248" s="13" t="s">
        <v>551</v>
      </c>
    </row>
    <row r="249" spans="1:17" s="9" customFormat="1" ht="32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2</v>
      </c>
      <c r="O249" s="24">
        <f t="shared" si="12"/>
        <v>2</v>
      </c>
      <c r="P249" s="137">
        <f>ROUND(O249,0)</f>
        <v>2</v>
      </c>
      <c r="Q249" s="13" t="s">
        <v>552</v>
      </c>
    </row>
    <row r="250" spans="1:17" s="9" customFormat="1" ht="32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2</v>
      </c>
      <c r="O250" s="24">
        <f t="shared" si="12"/>
        <v>2</v>
      </c>
      <c r="P250" s="137">
        <f>N250</f>
        <v>2</v>
      </c>
      <c r="Q250" s="13" t="s">
        <v>552</v>
      </c>
    </row>
    <row r="251" spans="1:17" s="9" customFormat="1" ht="32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2</v>
      </c>
      <c r="O251" s="24">
        <f>N251</f>
        <v>2</v>
      </c>
      <c r="P251" s="137">
        <f t="shared" ref="P251:P283" si="13">ROUND(O251,0)</f>
        <v>2</v>
      </c>
      <c r="Q251" s="13" t="s">
        <v>552</v>
      </c>
    </row>
    <row r="252" spans="1:17" s="9" customFormat="1" ht="32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0.35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32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32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32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32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32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32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32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32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32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32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1</v>
      </c>
      <c r="P262" s="137">
        <f t="shared" si="13"/>
        <v>1</v>
      </c>
      <c r="Q262" s="13" t="s">
        <v>237</v>
      </c>
    </row>
    <row r="263" spans="1:17" s="9" customFormat="1" ht="32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32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32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32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32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32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32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32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1</v>
      </c>
      <c r="P270" s="137">
        <f t="shared" si="13"/>
        <v>1</v>
      </c>
      <c r="Q270" s="13" t="s">
        <v>237</v>
      </c>
    </row>
    <row r="271" spans="1:17" s="9" customFormat="1" ht="32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32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32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32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32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32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32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1</v>
      </c>
      <c r="P277" s="137">
        <f t="shared" si="13"/>
        <v>1</v>
      </c>
      <c r="Q277" s="13" t="s">
        <v>237</v>
      </c>
    </row>
    <row r="278" spans="1:17" s="9" customFormat="1" ht="32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32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32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32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32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32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32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32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32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32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32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32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32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32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32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32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32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32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32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32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32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32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32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32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32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32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32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32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32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32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32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32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32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32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32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1</v>
      </c>
      <c r="P312" s="137">
        <f t="shared" si="14"/>
        <v>1</v>
      </c>
      <c r="Q312" s="13" t="s">
        <v>237</v>
      </c>
    </row>
    <row r="313" spans="1:17" s="9" customFormat="1" ht="32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32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165</v>
      </c>
      <c r="O314" s="24">
        <f>N314</f>
        <v>165</v>
      </c>
      <c r="P314" s="137">
        <f t="shared" si="14"/>
        <v>165</v>
      </c>
      <c r="Q314" s="13" t="s">
        <v>256</v>
      </c>
    </row>
    <row r="315" spans="1:17" s="9" customFormat="1" ht="32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0.70000000000000007</v>
      </c>
      <c r="O315" s="24">
        <f>N315</f>
        <v>0.70000000000000007</v>
      </c>
      <c r="P315" s="137">
        <f t="shared" si="14"/>
        <v>1</v>
      </c>
      <c r="Q315" s="13" t="s">
        <v>257</v>
      </c>
    </row>
    <row r="316" spans="1:17" s="9" customFormat="1" ht="32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32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1</v>
      </c>
      <c r="P317" s="137">
        <f t="shared" si="14"/>
        <v>1</v>
      </c>
      <c r="Q317" s="13" t="s">
        <v>255</v>
      </c>
    </row>
    <row r="318" spans="1:17" s="9" customFormat="1" ht="32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1</v>
      </c>
      <c r="P318" s="137">
        <f t="shared" si="14"/>
        <v>1</v>
      </c>
      <c r="Q318" s="13" t="s">
        <v>255</v>
      </c>
    </row>
    <row r="319" spans="1:17" s="9" customFormat="1" ht="32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32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32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32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32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32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32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32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32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32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32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32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32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32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8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32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32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0.35000000000000003</v>
      </c>
      <c r="O335" s="24">
        <f>N335</f>
        <v>0.35000000000000003</v>
      </c>
      <c r="P335" s="137">
        <f t="shared" si="16"/>
        <v>0</v>
      </c>
      <c r="Q335" s="13" t="s">
        <v>286</v>
      </c>
    </row>
    <row r="336" spans="1:17" s="9" customFormat="1" ht="32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3</v>
      </c>
      <c r="P336" s="137">
        <f t="shared" si="16"/>
        <v>3</v>
      </c>
      <c r="Q336" s="13" t="s">
        <v>272</v>
      </c>
    </row>
    <row r="337" spans="1:17" s="9" customFormat="1" ht="32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32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32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32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32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32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32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11</v>
      </c>
      <c r="O343" s="24">
        <f t="shared" si="17"/>
        <v>11</v>
      </c>
      <c r="P343" s="137">
        <f t="shared" si="16"/>
        <v>11</v>
      </c>
      <c r="Q343" s="13" t="s">
        <v>282</v>
      </c>
    </row>
    <row r="344" spans="1:17" s="9" customFormat="1" ht="32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32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32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32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32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32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32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32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32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32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32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32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32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32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32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32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2.1</v>
      </c>
      <c r="O359" s="24">
        <f t="shared" si="18"/>
        <v>2.1</v>
      </c>
      <c r="P359" s="137">
        <f t="shared" si="16"/>
        <v>2</v>
      </c>
      <c r="Q359" s="13" t="s">
        <v>297</v>
      </c>
    </row>
    <row r="360" spans="1:17" s="9" customFormat="1" ht="32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32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32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32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32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32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32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32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32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32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32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32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32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32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32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32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32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32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32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32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32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32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32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32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32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32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32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32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32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32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32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32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32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32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32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32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32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32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32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32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32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32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32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32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32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32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32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32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32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32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32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32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32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32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32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32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32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32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32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32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32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32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32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32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32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32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32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32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32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32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32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32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32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32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32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32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32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32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32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32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32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32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32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32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32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32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32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32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32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32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32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32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32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32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32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32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32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32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32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32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32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10</v>
      </c>
      <c r="P460" s="137">
        <f t="shared" si="28"/>
        <v>10</v>
      </c>
      <c r="Q460" s="13"/>
    </row>
    <row r="461" spans="1:17" s="9" customFormat="1" ht="32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10</v>
      </c>
      <c r="P461" s="137">
        <f t="shared" si="28"/>
        <v>10</v>
      </c>
      <c r="Q461" s="13"/>
    </row>
    <row r="462" spans="1:17" s="9" customFormat="1" ht="32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32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32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32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32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32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32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32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32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32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32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32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32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32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32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32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32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32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32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32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32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32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32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32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2</v>
      </c>
      <c r="O485" s="24">
        <f t="shared" ref="O485:O491" si="32">N485</f>
        <v>2</v>
      </c>
      <c r="P485" s="137">
        <f>ROUND(O485,0)</f>
        <v>2</v>
      </c>
      <c r="Q485" s="13" t="s">
        <v>551</v>
      </c>
    </row>
    <row r="486" spans="1:17" s="9" customFormat="1" ht="32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2</v>
      </c>
      <c r="O486" s="24">
        <f t="shared" si="32"/>
        <v>2</v>
      </c>
      <c r="P486" s="137">
        <f>ROUND(O486,0)</f>
        <v>2</v>
      </c>
      <c r="Q486" s="13" t="s">
        <v>551</v>
      </c>
    </row>
    <row r="487" spans="1:17" s="9" customFormat="1" ht="32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2</v>
      </c>
      <c r="O487" s="24">
        <f t="shared" si="32"/>
        <v>2</v>
      </c>
      <c r="P487" s="137">
        <f>ROUND(O487,0)</f>
        <v>2</v>
      </c>
      <c r="Q487" s="13" t="s">
        <v>552</v>
      </c>
    </row>
    <row r="488" spans="1:17" s="9" customFormat="1" ht="32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2</v>
      </c>
      <c r="O488" s="24">
        <f t="shared" si="32"/>
        <v>2</v>
      </c>
      <c r="P488" s="137">
        <f>N488</f>
        <v>2</v>
      </c>
      <c r="Q488" s="13" t="s">
        <v>552</v>
      </c>
    </row>
    <row r="489" spans="1:17" s="9" customFormat="1" ht="32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2</v>
      </c>
      <c r="O489" s="24">
        <f>N489</f>
        <v>2</v>
      </c>
      <c r="P489" s="137">
        <f t="shared" ref="P489:P521" si="33">ROUND(O489,0)</f>
        <v>2</v>
      </c>
      <c r="Q489" s="13" t="s">
        <v>552</v>
      </c>
    </row>
    <row r="490" spans="1:17" s="9" customFormat="1" ht="32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32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32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32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32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32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32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32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32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32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32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1</v>
      </c>
      <c r="P500" s="137">
        <f t="shared" si="33"/>
        <v>1</v>
      </c>
      <c r="Q500" s="13" t="s">
        <v>237</v>
      </c>
    </row>
    <row r="501" spans="1:17" s="9" customFormat="1" ht="32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32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32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32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32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32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32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32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1</v>
      </c>
      <c r="P508" s="137">
        <f t="shared" si="33"/>
        <v>1</v>
      </c>
      <c r="Q508" s="13" t="s">
        <v>237</v>
      </c>
    </row>
    <row r="509" spans="1:17" s="9" customFormat="1" ht="32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32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32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32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32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32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32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1</v>
      </c>
      <c r="P515" s="137">
        <f t="shared" si="33"/>
        <v>1</v>
      </c>
      <c r="Q515" s="13" t="s">
        <v>237</v>
      </c>
    </row>
    <row r="516" spans="1:17" s="9" customFormat="1" ht="32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32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32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32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32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32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32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32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32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32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32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32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32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32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32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32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32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32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32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32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32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32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32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32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32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32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32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32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32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32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32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32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32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32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32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1</v>
      </c>
      <c r="P550" s="137">
        <f t="shared" si="34"/>
        <v>1</v>
      </c>
      <c r="Q550" s="13" t="s">
        <v>237</v>
      </c>
    </row>
    <row r="551" spans="1:17" s="9" customFormat="1" ht="32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32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165</v>
      </c>
      <c r="O552" s="24">
        <f>N552</f>
        <v>165</v>
      </c>
      <c r="P552" s="137">
        <f t="shared" si="34"/>
        <v>165</v>
      </c>
      <c r="Q552" s="13" t="s">
        <v>256</v>
      </c>
    </row>
    <row r="553" spans="1:17" s="9" customFormat="1" ht="32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32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32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1</v>
      </c>
      <c r="P555" s="137">
        <f t="shared" si="34"/>
        <v>1</v>
      </c>
      <c r="Q555" s="13" t="s">
        <v>255</v>
      </c>
    </row>
    <row r="556" spans="1:17" s="9" customFormat="1" ht="32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1</v>
      </c>
      <c r="P556" s="137">
        <f t="shared" si="34"/>
        <v>1</v>
      </c>
      <c r="Q556" s="13" t="s">
        <v>255</v>
      </c>
    </row>
    <row r="557" spans="1:17" s="9" customFormat="1" ht="32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32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32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32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32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32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32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32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32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32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32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32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32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32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8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32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32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32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3</v>
      </c>
      <c r="P574" s="137">
        <f t="shared" si="36"/>
        <v>3</v>
      </c>
      <c r="Q574" s="13" t="s">
        <v>272</v>
      </c>
    </row>
    <row r="575" spans="1:17" s="9" customFormat="1" ht="32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32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32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32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32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32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32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11</v>
      </c>
      <c r="O581" s="24">
        <f t="shared" si="37"/>
        <v>11</v>
      </c>
      <c r="P581" s="137">
        <f t="shared" si="36"/>
        <v>11</v>
      </c>
      <c r="Q581" s="13" t="s">
        <v>282</v>
      </c>
    </row>
    <row r="582" spans="1:17" s="9" customFormat="1" ht="32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32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32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32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32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32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32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32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32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32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32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32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32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32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32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32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32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32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32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32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32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32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32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32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32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32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32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32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32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32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32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32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32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32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32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32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32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32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32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32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32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32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32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32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32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32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32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32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32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32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32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32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32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32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32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32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32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32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32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32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32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32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32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32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32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32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32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32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32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32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32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32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32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32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32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32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32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32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32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32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32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32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32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32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32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32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32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32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32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32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32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32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32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32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32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32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32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32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32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32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32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32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32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32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32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32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32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32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32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32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32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32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32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32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32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32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32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10</v>
      </c>
      <c r="P698" s="137">
        <f t="shared" si="48"/>
        <v>10</v>
      </c>
      <c r="Q698" s="13"/>
    </row>
    <row r="699" spans="1:17" s="9" customFormat="1" ht="32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10</v>
      </c>
      <c r="P699" s="137">
        <f t="shared" si="48"/>
        <v>10</v>
      </c>
      <c r="Q699" s="13"/>
    </row>
    <row r="700" spans="1:17" s="9" customFormat="1" ht="32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32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32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32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32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32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32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32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32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32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32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32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32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32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32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32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32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32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32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32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32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32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32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32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2</v>
      </c>
      <c r="O723" s="24">
        <f t="shared" ref="O723:O729" si="52">N723</f>
        <v>2</v>
      </c>
      <c r="P723" s="137">
        <f>ROUND(O723,0)</f>
        <v>2</v>
      </c>
      <c r="Q723" s="13" t="s">
        <v>551</v>
      </c>
    </row>
    <row r="724" spans="1:17" s="9" customFormat="1" ht="32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2</v>
      </c>
      <c r="O724" s="24">
        <f t="shared" si="52"/>
        <v>2</v>
      </c>
      <c r="P724" s="137">
        <f>ROUND(O724,0)</f>
        <v>2</v>
      </c>
      <c r="Q724" s="13" t="s">
        <v>551</v>
      </c>
    </row>
    <row r="725" spans="1:17" s="9" customFormat="1" ht="32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2</v>
      </c>
      <c r="O725" s="24">
        <f t="shared" si="52"/>
        <v>2</v>
      </c>
      <c r="P725" s="137">
        <f>ROUND(O725,0)</f>
        <v>2</v>
      </c>
      <c r="Q725" s="13" t="s">
        <v>552</v>
      </c>
    </row>
    <row r="726" spans="1:17" s="9" customFormat="1" ht="32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2</v>
      </c>
      <c r="O726" s="24">
        <f t="shared" si="52"/>
        <v>2</v>
      </c>
      <c r="P726" s="137">
        <f>N726</f>
        <v>2</v>
      </c>
      <c r="Q726" s="13" t="s">
        <v>552</v>
      </c>
    </row>
    <row r="727" spans="1:17" s="9" customFormat="1" ht="32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2</v>
      </c>
      <c r="O727" s="24">
        <f>N727</f>
        <v>2</v>
      </c>
      <c r="P727" s="137">
        <f t="shared" ref="P727:P759" si="53">ROUND(O727,0)</f>
        <v>2</v>
      </c>
      <c r="Q727" s="13" t="s">
        <v>552</v>
      </c>
    </row>
    <row r="728" spans="1:17" s="9" customFormat="1" ht="16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 ht="16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 ht="16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 ht="16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32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32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32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32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32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32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32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1</v>
      </c>
      <c r="P738" s="137">
        <f t="shared" si="53"/>
        <v>1</v>
      </c>
      <c r="Q738" s="13" t="s">
        <v>237</v>
      </c>
    </row>
    <row r="739" spans="1:17" s="9" customFormat="1" ht="32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32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32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32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32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 ht="32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 ht="32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32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1</v>
      </c>
      <c r="P746" s="137">
        <f t="shared" si="53"/>
        <v>1</v>
      </c>
      <c r="Q746" s="13" t="s">
        <v>237</v>
      </c>
    </row>
    <row r="747" spans="1:17" s="9" customFormat="1" ht="16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32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32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32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32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32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32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1</v>
      </c>
      <c r="P753" s="137">
        <f t="shared" si="53"/>
        <v>1</v>
      </c>
      <c r="Q753" s="13" t="s">
        <v>237</v>
      </c>
    </row>
    <row r="754" spans="1:17" s="9" customFormat="1" ht="32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32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32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32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 ht="16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 ht="16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 ht="16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 ht="16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32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 ht="32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32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32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32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 ht="16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 ht="32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 ht="16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32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 ht="32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 ht="32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 ht="32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 ht="32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 ht="32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 ht="32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 ht="16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 ht="16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 ht="32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 ht="32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 ht="32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 ht="32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 ht="32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 ht="32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32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 ht="16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32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32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1</v>
      </c>
      <c r="P788" s="137">
        <f t="shared" si="54"/>
        <v>1</v>
      </c>
      <c r="Q788" s="13" t="s">
        <v>237</v>
      </c>
    </row>
    <row r="789" spans="1:17" s="9" customFormat="1" ht="16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 ht="16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165</v>
      </c>
      <c r="O790" s="24">
        <f>N790</f>
        <v>165</v>
      </c>
      <c r="P790" s="137">
        <f t="shared" si="54"/>
        <v>165</v>
      </c>
      <c r="Q790" s="13" t="s">
        <v>256</v>
      </c>
    </row>
    <row r="791" spans="1:17" s="9" customFormat="1" ht="16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 ht="16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 ht="16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1</v>
      </c>
      <c r="P793" s="137">
        <f t="shared" si="54"/>
        <v>1</v>
      </c>
      <c r="Q793" s="13" t="s">
        <v>255</v>
      </c>
    </row>
    <row r="794" spans="1:17" s="9" customFormat="1" ht="16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1</v>
      </c>
      <c r="P794" s="137">
        <f t="shared" si="54"/>
        <v>1</v>
      </c>
      <c r="Q794" s="13" t="s">
        <v>255</v>
      </c>
    </row>
    <row r="795" spans="1:17" s="9" customFormat="1" ht="16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 ht="16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 ht="16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 ht="16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 ht="16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32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 ht="16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 ht="16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 ht="16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 ht="16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 ht="16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32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32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32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8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 ht="16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 ht="16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 ht="16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3</v>
      </c>
      <c r="P812" s="137">
        <f t="shared" si="56"/>
        <v>3</v>
      </c>
      <c r="Q812" s="13" t="s">
        <v>272</v>
      </c>
    </row>
    <row r="813" spans="1:17" s="9" customFormat="1" ht="16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 ht="16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 ht="16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32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 ht="16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 ht="16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32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11</v>
      </c>
      <c r="O819" s="24">
        <f t="shared" si="57"/>
        <v>11</v>
      </c>
      <c r="P819" s="137">
        <f t="shared" si="56"/>
        <v>11</v>
      </c>
      <c r="Q819" s="13" t="s">
        <v>282</v>
      </c>
    </row>
    <row r="820" spans="1:17" s="9" customFormat="1" ht="16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 ht="16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 ht="16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 ht="16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 ht="16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 ht="16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 ht="16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 ht="16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 ht="16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 ht="16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 ht="16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 ht="16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 ht="16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 ht="16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 ht="16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 ht="16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 ht="16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 ht="16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 ht="16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 ht="16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 ht="16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32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32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32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32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32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32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32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32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32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32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32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 ht="16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 ht="16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 ht="16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 ht="16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 ht="16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 ht="16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32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32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 ht="16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 ht="16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 ht="16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 ht="16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 ht="16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 ht="16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 ht="16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 ht="16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 ht="16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 ht="16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 ht="16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 ht="16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 ht="16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 ht="16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 ht="16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 ht="16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 ht="16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 ht="16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 ht="16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 ht="16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 ht="16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 ht="16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 ht="16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 ht="16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 ht="16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 ht="16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 ht="16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 ht="16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 ht="16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 ht="16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 ht="16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 ht="16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 ht="16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 ht="16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 ht="16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 ht="16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 ht="16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 ht="16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 ht="16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 ht="16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 ht="16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 ht="16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 ht="16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 ht="16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 ht="16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 ht="16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 ht="16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 ht="16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 ht="16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 ht="16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 ht="16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 ht="16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 ht="16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 ht="16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 ht="16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 ht="16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 ht="16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 ht="16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 ht="16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 ht="16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 ht="16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 ht="16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32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 ht="16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 ht="16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 ht="16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32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 ht="16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30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 ht="16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 ht="16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 ht="16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 ht="16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 ht="16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 ht="16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 ht="16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 ht="16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10</v>
      </c>
      <c r="P936" s="137">
        <f t="shared" si="68"/>
        <v>10</v>
      </c>
      <c r="Q936" s="13"/>
    </row>
    <row r="937" spans="1:17" s="9" customFormat="1" ht="16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10</v>
      </c>
      <c r="P937" s="137">
        <f t="shared" si="68"/>
        <v>10</v>
      </c>
      <c r="Q937" s="13"/>
    </row>
    <row r="938" spans="1:17" s="9" customFormat="1" ht="16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 ht="16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 ht="16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 ht="16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 ht="16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 ht="16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 ht="16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 ht="16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 ht="16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 ht="16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 ht="16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 ht="16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 ht="16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 ht="16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 ht="16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 ht="16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 ht="16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 ht="16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 ht="16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 ht="16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 ht="16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 ht="16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 ht="16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32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2</v>
      </c>
      <c r="O961" s="24">
        <f t="shared" ref="O961:O967" si="72">N961</f>
        <v>2</v>
      </c>
      <c r="P961" s="137">
        <f>ROUND(O961,0)</f>
        <v>2</v>
      </c>
      <c r="Q961" s="13" t="s">
        <v>551</v>
      </c>
    </row>
    <row r="962" spans="1:17" s="9" customFormat="1" ht="32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2</v>
      </c>
      <c r="O962" s="24">
        <f t="shared" si="72"/>
        <v>2</v>
      </c>
      <c r="P962" s="137">
        <f>ROUND(O962,0)</f>
        <v>2</v>
      </c>
      <c r="Q962" s="13" t="s">
        <v>551</v>
      </c>
    </row>
    <row r="963" spans="1:17" s="9" customFormat="1" ht="32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2</v>
      </c>
      <c r="O963" s="24">
        <f t="shared" si="72"/>
        <v>2</v>
      </c>
      <c r="P963" s="137">
        <f>ROUND(O963,0)</f>
        <v>2</v>
      </c>
      <c r="Q963" s="13" t="s">
        <v>552</v>
      </c>
    </row>
    <row r="964" spans="1:17" s="9" customFormat="1" ht="32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2</v>
      </c>
      <c r="O964" s="24">
        <f t="shared" si="72"/>
        <v>2</v>
      </c>
      <c r="P964" s="137">
        <f>N964</f>
        <v>2</v>
      </c>
      <c r="Q964" s="13" t="s">
        <v>552</v>
      </c>
    </row>
    <row r="965" spans="1:17" s="9" customFormat="1" ht="32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2</v>
      </c>
      <c r="O965" s="24">
        <f>N965</f>
        <v>2</v>
      </c>
      <c r="P965" s="137">
        <f t="shared" ref="P965:P997" si="73">ROUND(O965,0)</f>
        <v>2</v>
      </c>
      <c r="Q965" s="13" t="s">
        <v>552</v>
      </c>
    </row>
    <row r="966" spans="1:17" s="9" customFormat="1" ht="16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 ht="16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 ht="16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 ht="16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32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32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32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32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32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32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32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1</v>
      </c>
      <c r="P976" s="137">
        <f t="shared" si="73"/>
        <v>1</v>
      </c>
      <c r="Q976" s="13" t="s">
        <v>237</v>
      </c>
    </row>
    <row r="977" spans="1:17" s="9" customFormat="1" ht="32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32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32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32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32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 ht="32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 ht="32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32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1</v>
      </c>
      <c r="P984" s="137">
        <f t="shared" si="73"/>
        <v>1</v>
      </c>
      <c r="Q984" s="13" t="s">
        <v>237</v>
      </c>
    </row>
    <row r="985" spans="1:17" s="9" customFormat="1" ht="16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32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32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32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32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32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32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1</v>
      </c>
      <c r="P991" s="137">
        <f t="shared" si="73"/>
        <v>1</v>
      </c>
      <c r="Q991" s="13" t="s">
        <v>237</v>
      </c>
    </row>
    <row r="992" spans="1:17" s="9" customFormat="1" ht="32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32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32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32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 ht="16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 ht="16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 ht="16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 ht="16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32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 ht="32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32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32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32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 ht="16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 ht="32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 ht="16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32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 ht="32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 ht="32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 ht="32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 ht="32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 ht="32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 ht="32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 ht="16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 ht="16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 ht="32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 ht="32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 ht="32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 ht="32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 ht="32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 ht="32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32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 ht="16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32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32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1</v>
      </c>
      <c r="P1026" s="137">
        <f t="shared" si="74"/>
        <v>1</v>
      </c>
      <c r="Q1026" s="13" t="s">
        <v>237</v>
      </c>
    </row>
    <row r="1027" spans="1:17" s="9" customFormat="1" ht="16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 ht="16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165</v>
      </c>
      <c r="O1028" s="24">
        <f>N1028</f>
        <v>165</v>
      </c>
      <c r="P1028" s="137">
        <f t="shared" si="74"/>
        <v>165</v>
      </c>
      <c r="Q1028" s="13" t="s">
        <v>256</v>
      </c>
    </row>
    <row r="1029" spans="1:17" s="9" customFormat="1" ht="16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 ht="16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 ht="16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1</v>
      </c>
      <c r="P1031" s="137">
        <f t="shared" si="74"/>
        <v>1</v>
      </c>
      <c r="Q1031" s="13" t="s">
        <v>255</v>
      </c>
    </row>
    <row r="1032" spans="1:17" s="9" customFormat="1" ht="16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1</v>
      </c>
      <c r="P1032" s="137">
        <f t="shared" si="74"/>
        <v>1</v>
      </c>
      <c r="Q1032" s="13" t="s">
        <v>255</v>
      </c>
    </row>
    <row r="1033" spans="1:17" s="9" customFormat="1" ht="16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 ht="16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 ht="16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 ht="16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 ht="16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32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 ht="16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 ht="16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 ht="16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 ht="16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 ht="16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32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32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32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8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 ht="16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 ht="16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 ht="16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3</v>
      </c>
      <c r="P1050" s="137">
        <f t="shared" si="76"/>
        <v>3</v>
      </c>
      <c r="Q1050" s="13" t="s">
        <v>272</v>
      </c>
    </row>
    <row r="1051" spans="1:17" s="9" customFormat="1" ht="16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 ht="16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 ht="16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32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 ht="16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 ht="16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32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11</v>
      </c>
      <c r="O1057" s="24">
        <f t="shared" si="77"/>
        <v>11</v>
      </c>
      <c r="P1057" s="137">
        <f t="shared" si="76"/>
        <v>11</v>
      </c>
      <c r="Q1057" s="13" t="s">
        <v>282</v>
      </c>
    </row>
    <row r="1058" spans="1:17" s="9" customFormat="1" ht="16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 ht="16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 ht="16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 ht="16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 ht="16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 ht="16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 ht="16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 ht="16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 ht="16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 ht="16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 ht="16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 ht="16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 ht="16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 ht="16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 ht="16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 ht="16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 ht="16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 ht="16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 ht="16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 ht="16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 ht="16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32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32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32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32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32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32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32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32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32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32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32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 ht="16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 ht="16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 ht="16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 ht="16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 ht="16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 ht="16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32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32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 ht="16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 ht="16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 ht="16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 ht="16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 ht="16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 ht="16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 ht="16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 ht="16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 ht="16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 ht="16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 ht="16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 ht="16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 ht="16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 ht="16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 ht="16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 ht="16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 ht="16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 ht="16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 ht="16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 ht="16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 ht="16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 ht="16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 ht="16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 ht="16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 ht="16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 ht="16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 ht="16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 ht="16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 ht="16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 ht="16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 ht="16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 ht="16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 ht="16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 ht="16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 ht="16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 ht="16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 ht="16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 ht="16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 ht="16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 ht="16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 ht="16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 ht="16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 ht="16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 ht="16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 ht="16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 ht="16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 ht="16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 ht="16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 ht="16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 ht="16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 ht="16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 ht="16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 ht="16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 ht="16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 ht="16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 ht="16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 ht="16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 ht="16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 ht="16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 ht="16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 ht="16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 ht="16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32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 ht="16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 ht="16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 ht="16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32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 ht="16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30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 ht="16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 ht="16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 ht="16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 ht="16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 ht="16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 ht="16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 ht="16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 ht="16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10</v>
      </c>
      <c r="P1174" s="137">
        <f t="shared" si="88"/>
        <v>10</v>
      </c>
      <c r="Q1174" s="13"/>
    </row>
    <row r="1175" spans="1:17" s="9" customFormat="1" ht="16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10</v>
      </c>
      <c r="P1175" s="137">
        <f t="shared" si="88"/>
        <v>10</v>
      </c>
      <c r="Q1175" s="13"/>
    </row>
    <row r="1176" spans="1:17" s="9" customFormat="1" ht="16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 ht="16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 ht="16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 ht="16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 ht="16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 ht="16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 ht="16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 ht="16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 ht="16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 ht="16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 ht="16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 ht="16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 ht="16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 ht="16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 ht="16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 ht="16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 ht="16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 ht="16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 ht="16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 ht="16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 ht="16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 ht="16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 ht="16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>
      <c r="N1199" s="80">
        <f>IF(P3&lt;&gt;101,(N4*2),0)</f>
        <v>4</v>
      </c>
    </row>
    <row r="1201" spans="14:14">
      <c r="N1201" s="80">
        <f>IF(P3&lt;=100,1,IF(AND(P3&gt;=101,P3&lt;=200),2,IF(AND(P3&gt;=201,P3&lt;=300),3,0)))</f>
        <v>2</v>
      </c>
    </row>
    <row r="1202" spans="14:14">
      <c r="N1202" s="80">
        <f>P3/20</f>
        <v>8.25</v>
      </c>
    </row>
  </sheetData>
  <sheetProtection selectLockedCells="1" selectUnlockedCells="1"/>
  <sortState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 filterMode="1">
    <tabColor theme="5"/>
    <pageSetUpPr fitToPage="1"/>
  </sheetPr>
  <dimension ref="A1:O1225"/>
  <sheetViews>
    <sheetView tabSelected="1" view="pageBreakPreview" zoomScale="91" zoomScaleNormal="91" zoomScaleSheetLayoutView="91" workbookViewId="0">
      <selection activeCell="D15" sqref="D15"/>
    </sheetView>
  </sheetViews>
  <sheetFormatPr baseColWidth="10" defaultColWidth="11.5" defaultRowHeight="13"/>
  <cols>
    <col min="1" max="1" width="6.5" style="50" customWidth="1"/>
    <col min="2" max="2" width="14.5" style="50" customWidth="1"/>
    <col min="3" max="3" width="24.6640625" style="50" customWidth="1"/>
    <col min="4" max="4" width="27.83203125" style="50" bestFit="1" customWidth="1"/>
    <col min="5" max="5" width="44.33203125" style="50" customWidth="1"/>
    <col min="6" max="6" width="12" style="53" customWidth="1"/>
    <col min="7" max="7" width="18.5" style="50" customWidth="1"/>
    <col min="8" max="8" width="13.5" style="50" customWidth="1"/>
    <col min="9" max="14" width="11.5" style="50" hidden="1" customWidth="1"/>
    <col min="15" max="15" width="8.5" style="50" hidden="1" customWidth="1"/>
    <col min="16" max="16384" width="11.5" style="50"/>
  </cols>
  <sheetData>
    <row r="1" spans="1:15" ht="72" customHeight="1" thickBot="1">
      <c r="A1" s="68"/>
      <c r="B1" s="69"/>
      <c r="C1" s="69"/>
      <c r="D1" s="69"/>
      <c r="E1" s="69"/>
      <c r="F1" s="70"/>
      <c r="G1" s="69"/>
      <c r="H1" s="71"/>
    </row>
    <row r="2" spans="1:15">
      <c r="A2" s="287" t="s">
        <v>550</v>
      </c>
      <c r="B2" s="288"/>
      <c r="C2" s="288"/>
      <c r="D2" s="288"/>
      <c r="E2" s="288"/>
      <c r="F2" s="288"/>
      <c r="G2" s="288"/>
      <c r="H2" s="289"/>
    </row>
    <row r="3" spans="1:15">
      <c r="A3" s="290" t="s">
        <v>417</v>
      </c>
      <c r="B3" s="291"/>
      <c r="C3" s="291"/>
      <c r="D3" s="291"/>
      <c r="E3" s="291"/>
      <c r="F3" s="291"/>
      <c r="G3" s="291"/>
      <c r="H3" s="292"/>
    </row>
    <row r="4" spans="1:15" ht="6.75" customHeight="1" thickBot="1">
      <c r="A4" s="293"/>
      <c r="B4" s="294"/>
      <c r="C4" s="294"/>
      <c r="D4" s="294"/>
      <c r="E4" s="294"/>
      <c r="F4" s="294"/>
      <c r="G4" s="294"/>
      <c r="H4" s="295"/>
    </row>
    <row r="5" spans="1:15" ht="14" thickBot="1">
      <c r="A5" s="296" t="s">
        <v>729</v>
      </c>
      <c r="B5" s="296"/>
      <c r="C5" s="296"/>
      <c r="D5" s="296"/>
      <c r="E5" s="296"/>
      <c r="F5" s="296"/>
      <c r="G5" s="296"/>
      <c r="H5" s="296"/>
    </row>
    <row r="6" spans="1:15" ht="16.5" customHeight="1">
      <c r="A6" s="312" t="s">
        <v>730</v>
      </c>
      <c r="B6" s="313"/>
      <c r="C6" s="313"/>
      <c r="D6" s="313"/>
      <c r="E6" s="313"/>
      <c r="F6" s="313"/>
      <c r="G6" s="313"/>
      <c r="H6" s="314"/>
    </row>
    <row r="7" spans="1:15" ht="15.75" customHeight="1" thickBot="1">
      <c r="A7" s="315"/>
      <c r="B7" s="316"/>
      <c r="C7" s="316"/>
      <c r="D7" s="316"/>
      <c r="E7" s="316"/>
      <c r="F7" s="316"/>
      <c r="G7" s="316"/>
      <c r="H7" s="317"/>
      <c r="I7" s="297" t="s">
        <v>414</v>
      </c>
      <c r="J7" s="297"/>
      <c r="K7" s="297" t="s">
        <v>415</v>
      </c>
      <c r="L7" s="297"/>
      <c r="M7" s="50" t="s">
        <v>416</v>
      </c>
      <c r="O7" s="50" t="s">
        <v>15</v>
      </c>
    </row>
    <row r="8" spans="1:15" ht="14" thickBot="1">
      <c r="A8" s="248" t="s">
        <v>561</v>
      </c>
      <c r="B8" s="249"/>
      <c r="C8" s="220">
        <f ca="1">TODAY()</f>
        <v>43585</v>
      </c>
      <c r="D8" s="220"/>
      <c r="E8" s="220"/>
      <c r="F8" s="220"/>
      <c r="G8" s="220"/>
      <c r="H8" s="220"/>
      <c r="I8" s="51"/>
      <c r="J8" s="51"/>
      <c r="K8" s="51"/>
      <c r="L8" s="51"/>
    </row>
    <row r="9" spans="1:15" ht="14" thickBot="1">
      <c r="A9" s="253" t="s">
        <v>728</v>
      </c>
      <c r="B9" s="254"/>
      <c r="C9" s="254"/>
      <c r="D9" s="255"/>
      <c r="E9" s="253" t="s">
        <v>560</v>
      </c>
      <c r="F9" s="254"/>
      <c r="G9" s="254"/>
      <c r="H9" s="255"/>
    </row>
    <row r="10" spans="1:15" ht="15" customHeight="1" thickBot="1">
      <c r="A10" s="306" t="s">
        <v>188</v>
      </c>
      <c r="B10" s="307"/>
      <c r="C10" s="308"/>
      <c r="D10" s="140" t="str">
        <f>'INFORMACION BASE'!E11</f>
        <v>Choco</v>
      </c>
      <c r="E10" s="300" t="s">
        <v>213</v>
      </c>
      <c r="F10" s="301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>
      <c r="A11" s="281" t="s">
        <v>418</v>
      </c>
      <c r="B11" s="282"/>
      <c r="C11" s="283"/>
      <c r="D11" s="141" t="str">
        <f>'INFORMACION BASE'!E12</f>
        <v>Quibdo</v>
      </c>
      <c r="E11" s="302" t="s">
        <v>214</v>
      </c>
      <c r="F11" s="303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>
      <c r="A12" s="309" t="s">
        <v>549</v>
      </c>
      <c r="B12" s="310"/>
      <c r="C12" s="311"/>
      <c r="D12" s="141" t="str">
        <f>'INFORMACION BASE'!E13</f>
        <v>Pendiente</v>
      </c>
      <c r="E12" s="302" t="s">
        <v>215</v>
      </c>
      <c r="F12" s="303"/>
      <c r="G12" s="66">
        <f>'INFORMACION BASE'!D20</f>
        <v>18</v>
      </c>
      <c r="H12" s="67">
        <f>'INFORMACION BASE'!E20</f>
        <v>1</v>
      </c>
      <c r="I12" s="50" t="str">
        <f>IF((D12&gt;1),"CUMPLE","NO CUMPLE")</f>
        <v>CUMPLE</v>
      </c>
    </row>
    <row r="13" spans="1:15" ht="15" customHeight="1">
      <c r="A13" s="281" t="s">
        <v>189</v>
      </c>
      <c r="B13" s="282"/>
      <c r="C13" s="283"/>
      <c r="D13" s="141" t="str">
        <f>'INFORMACION BASE'!E14</f>
        <v>CDI Ciudadela Mia</v>
      </c>
      <c r="E13" s="302" t="s">
        <v>216</v>
      </c>
      <c r="F13" s="303"/>
      <c r="G13" s="66">
        <f>'INFORMACION BASE'!D21</f>
        <v>32</v>
      </c>
      <c r="H13" s="67">
        <f>'INFORMACION BASE'!E21</f>
        <v>2</v>
      </c>
      <c r="I13" s="50" t="str">
        <f>IF((D13&gt;1),"CUMPLE","NO CUMPLE")</f>
        <v>CUMPLE</v>
      </c>
    </row>
    <row r="14" spans="1:15">
      <c r="A14" s="278" t="s">
        <v>727</v>
      </c>
      <c r="B14" s="279"/>
      <c r="C14" s="280"/>
      <c r="D14" s="142" t="str">
        <f>'INFORMACION BASE'!E15</f>
        <v>Por Definir</v>
      </c>
      <c r="E14" s="304" t="s">
        <v>217</v>
      </c>
      <c r="F14" s="305"/>
      <c r="G14" s="66">
        <f>'INFORMACION BASE'!D22</f>
        <v>63</v>
      </c>
      <c r="H14" s="67">
        <f>'INFORMACION BASE'!E22</f>
        <v>3</v>
      </c>
      <c r="I14" s="50" t="str">
        <f>IF((D14&gt;1),"CUMPLE","NO CUMPLE")</f>
        <v>CUMPLE</v>
      </c>
    </row>
    <row r="15" spans="1:15" s="52" customFormat="1">
      <c r="A15" s="281" t="s">
        <v>222</v>
      </c>
      <c r="B15" s="282"/>
      <c r="C15" s="283"/>
      <c r="D15" s="141" t="str">
        <f>'INFORMACION BASE'!E30</f>
        <v>Cálido</v>
      </c>
      <c r="E15" s="302" t="s">
        <v>218</v>
      </c>
      <c r="F15" s="303"/>
      <c r="G15" s="66">
        <f>'INFORMACION BASE'!D23</f>
        <v>27</v>
      </c>
      <c r="H15" s="67">
        <f>'INFORMACION BASE'!E23</f>
        <v>1</v>
      </c>
      <c r="I15" s="50"/>
    </row>
    <row r="16" spans="1:15" s="52" customFormat="1" ht="14" thickBot="1">
      <c r="A16" s="281" t="s">
        <v>301</v>
      </c>
      <c r="B16" s="282"/>
      <c r="C16" s="283"/>
      <c r="D16" s="141">
        <f>'INFORMACION BASE'!E29</f>
        <v>1400</v>
      </c>
      <c r="E16" s="302" t="s">
        <v>225</v>
      </c>
      <c r="F16" s="303"/>
      <c r="G16" s="66">
        <f>'INFORMACION BASE'!D24</f>
        <v>25</v>
      </c>
      <c r="H16" s="67">
        <f>'INFORMACION BASE'!E24</f>
        <v>1</v>
      </c>
      <c r="I16" s="50"/>
    </row>
    <row r="17" spans="1:13" s="52" customFormat="1" ht="14" thickBot="1">
      <c r="A17" s="284" t="s">
        <v>354</v>
      </c>
      <c r="B17" s="285"/>
      <c r="C17" s="286"/>
      <c r="D17" s="143">
        <f>'INFORMACION BASE'!E28</f>
        <v>843</v>
      </c>
      <c r="E17" s="298" t="s">
        <v>226</v>
      </c>
      <c r="F17" s="299"/>
      <c r="G17" s="146">
        <f>'INFORMACION BASE'!D25</f>
        <v>165</v>
      </c>
      <c r="H17" s="147">
        <f>'INFORMACION BASE'!E25</f>
        <v>8</v>
      </c>
      <c r="I17" s="50"/>
    </row>
    <row r="18" spans="1:13" s="52" customFormat="1" ht="14" thickBot="1">
      <c r="A18" s="271" t="s">
        <v>731</v>
      </c>
      <c r="B18" s="271"/>
      <c r="C18" s="271"/>
      <c r="D18" s="271"/>
      <c r="E18" s="271"/>
      <c r="F18" s="271"/>
      <c r="G18" s="271"/>
      <c r="H18" s="271"/>
      <c r="I18" s="50"/>
    </row>
    <row r="19" spans="1:13" s="52" customFormat="1" ht="15" customHeight="1" thickBot="1">
      <c r="A19" s="256" t="s">
        <v>423</v>
      </c>
      <c r="B19" s="257"/>
      <c r="C19" s="257"/>
      <c r="D19" s="258"/>
      <c r="E19" s="272" t="s">
        <v>229</v>
      </c>
      <c r="F19" s="273"/>
      <c r="G19" s="273"/>
      <c r="H19" s="274"/>
      <c r="I19" s="50"/>
    </row>
    <row r="20" spans="1:13" s="52" customFormat="1" ht="15" customHeight="1">
      <c r="A20" s="259" t="s">
        <v>230</v>
      </c>
      <c r="B20" s="260"/>
      <c r="C20" s="260"/>
      <c r="D20" s="261"/>
      <c r="E20" s="275">
        <f>SUM(F31:F39)</f>
        <v>29</v>
      </c>
      <c r="F20" s="276"/>
      <c r="G20" s="276"/>
      <c r="H20" s="277"/>
      <c r="I20" s="50"/>
    </row>
    <row r="21" spans="1:13" s="52" customFormat="1" ht="15" customHeight="1">
      <c r="A21" s="259" t="s">
        <v>231</v>
      </c>
      <c r="B21" s="260"/>
      <c r="C21" s="260"/>
      <c r="D21" s="261"/>
      <c r="E21" s="265">
        <f>SUM(F40:F99)</f>
        <v>450</v>
      </c>
      <c r="F21" s="266"/>
      <c r="G21" s="266"/>
      <c r="H21" s="267"/>
      <c r="I21" s="50"/>
    </row>
    <row r="22" spans="1:13" s="52" customFormat="1" ht="15" customHeight="1">
      <c r="A22" s="259" t="s">
        <v>733</v>
      </c>
      <c r="B22" s="260"/>
      <c r="C22" s="260"/>
      <c r="D22" s="261"/>
      <c r="E22" s="265">
        <f>SUM(F100:F103)</f>
        <v>4</v>
      </c>
      <c r="F22" s="266"/>
      <c r="G22" s="266"/>
      <c r="H22" s="267"/>
      <c r="I22" s="50"/>
    </row>
    <row r="23" spans="1:13" s="52" customFormat="1" ht="15" customHeight="1">
      <c r="A23" s="259" t="s">
        <v>232</v>
      </c>
      <c r="B23" s="260"/>
      <c r="C23" s="260"/>
      <c r="D23" s="261"/>
      <c r="E23" s="265">
        <f>SUM(F104:F109)</f>
        <v>21</v>
      </c>
      <c r="F23" s="266"/>
      <c r="G23" s="266"/>
      <c r="H23" s="267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>
      <c r="A24" s="259" t="s">
        <v>737</v>
      </c>
      <c r="B24" s="260"/>
      <c r="C24" s="260"/>
      <c r="D24" s="261"/>
      <c r="E24" s="265">
        <f>SUM(F110:F120)</f>
        <v>480</v>
      </c>
      <c r="F24" s="266"/>
      <c r="G24" s="266"/>
      <c r="H24" s="267"/>
      <c r="I24" s="50"/>
    </row>
    <row r="25" spans="1:13" s="52" customFormat="1" ht="15" customHeight="1">
      <c r="A25" s="259" t="s">
        <v>734</v>
      </c>
      <c r="B25" s="260"/>
      <c r="C25" s="260"/>
      <c r="D25" s="261"/>
      <c r="E25" s="265">
        <f>SUM(F160:F271)</f>
        <v>659.5</v>
      </c>
      <c r="F25" s="266"/>
      <c r="G25" s="266"/>
      <c r="H25" s="267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>
      <c r="A26" s="259" t="s">
        <v>233</v>
      </c>
      <c r="B26" s="260"/>
      <c r="C26" s="260"/>
      <c r="D26" s="261"/>
      <c r="E26" s="265">
        <f>SUM(F121:F149)</f>
        <v>594</v>
      </c>
      <c r="F26" s="266"/>
      <c r="G26" s="266"/>
      <c r="H26" s="267"/>
      <c r="I26" s="50" t="str">
        <f>IF((D16&gt;=0),"CUMPLE","NO CUMPLE")</f>
        <v>CUMPLE</v>
      </c>
    </row>
    <row r="27" spans="1:13" s="52" customFormat="1" ht="15" customHeight="1" thickBot="1">
      <c r="A27" s="259" t="s">
        <v>277</v>
      </c>
      <c r="B27" s="260"/>
      <c r="C27" s="260"/>
      <c r="D27" s="261"/>
      <c r="E27" s="265">
        <f>SUM(F150:F159)</f>
        <v>25</v>
      </c>
      <c r="F27" s="266"/>
      <c r="G27" s="266"/>
      <c r="H27" s="267"/>
      <c r="I27" s="50" t="str">
        <f>IF((D17&gt;1),"CUMPLE","NO CUMPLE")</f>
        <v>CUMPLE</v>
      </c>
    </row>
    <row r="28" spans="1:13" s="52" customFormat="1" ht="15" customHeight="1" thickBot="1">
      <c r="A28" s="262" t="s">
        <v>15</v>
      </c>
      <c r="B28" s="263"/>
      <c r="C28" s="263"/>
      <c r="D28" s="264"/>
      <c r="E28" s="268">
        <f>SUM(E20:E27)</f>
        <v>2262.5</v>
      </c>
      <c r="F28" s="269"/>
      <c r="G28" s="269"/>
      <c r="H28" s="270"/>
      <c r="I28" s="50"/>
    </row>
    <row r="29" spans="1:13" s="52" customFormat="1" ht="14" thickBot="1">
      <c r="A29" s="250" t="s">
        <v>732</v>
      </c>
      <c r="B29" s="251"/>
      <c r="C29" s="251"/>
      <c r="D29" s="251"/>
      <c r="E29" s="251"/>
      <c r="F29" s="251"/>
      <c r="G29" s="251"/>
      <c r="H29" s="252"/>
    </row>
    <row r="30" spans="1:13" ht="22.5" customHeight="1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45" t="s">
        <v>229</v>
      </c>
      <c r="G30" s="246"/>
      <c r="H30" s="247"/>
    </row>
    <row r="31" spans="1:13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21">
        <f>FORMULACION!$P$4</f>
        <v>2</v>
      </c>
      <c r="G31" s="222"/>
      <c r="H31" s="223"/>
    </row>
    <row r="32" spans="1:13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21">
        <f>FORMULACION!P5</f>
        <v>2</v>
      </c>
      <c r="G32" s="222"/>
      <c r="H32" s="223"/>
    </row>
    <row r="33" spans="1:10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21">
        <f>FORMULACION!P6</f>
        <v>2</v>
      </c>
      <c r="G33" s="222"/>
      <c r="H33" s="223">
        <f t="shared" ref="H33" si="0">F33*G33</f>
        <v>0</v>
      </c>
    </row>
    <row r="34" spans="1:10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21">
        <f>FORMULACION!P7</f>
        <v>2</v>
      </c>
      <c r="G34" s="222"/>
      <c r="H34" s="223"/>
    </row>
    <row r="35" spans="1:10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21">
        <f>FORMULACION!P8</f>
        <v>2</v>
      </c>
      <c r="G35" s="222"/>
      <c r="H35" s="223">
        <f t="shared" ref="H35:H51" si="1">F35*G35</f>
        <v>0</v>
      </c>
      <c r="J35" s="50">
        <f>14*3</f>
        <v>42</v>
      </c>
    </row>
    <row r="36" spans="1:10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21">
        <f>FORMULACION!P9</f>
        <v>8</v>
      </c>
      <c r="G36" s="222"/>
      <c r="H36" s="223">
        <f t="shared" si="1"/>
        <v>0</v>
      </c>
    </row>
    <row r="37" spans="1:10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21">
        <f>FORMULACION!P10</f>
        <v>8</v>
      </c>
      <c r="G37" s="222"/>
      <c r="H37" s="223">
        <f t="shared" si="1"/>
        <v>0</v>
      </c>
    </row>
    <row r="38" spans="1:10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21">
        <f>FORMULACION!P11</f>
        <v>1</v>
      </c>
      <c r="G38" s="222"/>
      <c r="H38" s="223">
        <f t="shared" si="1"/>
        <v>0</v>
      </c>
    </row>
    <row r="39" spans="1:10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21">
        <f>FORMULACION!P12</f>
        <v>2</v>
      </c>
      <c r="G39" s="222"/>
      <c r="H39" s="223">
        <f t="shared" si="1"/>
        <v>0</v>
      </c>
    </row>
    <row r="40" spans="1:10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39">
        <f>FORMULACION!P13</f>
        <v>2</v>
      </c>
      <c r="G40" s="240"/>
      <c r="H40" s="241">
        <f t="shared" si="1"/>
        <v>0</v>
      </c>
    </row>
    <row r="41" spans="1:10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39">
        <f>FORMULACION!P14</f>
        <v>2</v>
      </c>
      <c r="G41" s="240"/>
      <c r="H41" s="241">
        <f t="shared" si="1"/>
        <v>0</v>
      </c>
    </row>
    <row r="42" spans="1:10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39">
        <f>FORMULACION!P15</f>
        <v>2</v>
      </c>
      <c r="G42" s="240"/>
      <c r="H42" s="241">
        <f t="shared" si="1"/>
        <v>0</v>
      </c>
    </row>
    <row r="43" spans="1:10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39">
        <f>FORMULACION!P16</f>
        <v>1</v>
      </c>
      <c r="G43" s="240"/>
      <c r="H43" s="241">
        <f t="shared" si="1"/>
        <v>0</v>
      </c>
    </row>
    <row r="44" spans="1:10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39">
        <f>FORMULACION!P17</f>
        <v>2</v>
      </c>
      <c r="G44" s="240"/>
      <c r="H44" s="241">
        <f t="shared" si="1"/>
        <v>0</v>
      </c>
    </row>
    <row r="45" spans="1:10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39">
        <f>FORMULACION!P18</f>
        <v>2</v>
      </c>
      <c r="G45" s="240"/>
      <c r="H45" s="241">
        <f t="shared" si="1"/>
        <v>0</v>
      </c>
    </row>
    <row r="46" spans="1:10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39">
        <f>FORMULACION!P19</f>
        <v>2</v>
      </c>
      <c r="G46" s="240"/>
      <c r="H46" s="241">
        <f t="shared" si="1"/>
        <v>0</v>
      </c>
    </row>
    <row r="47" spans="1:10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39">
        <f>FORMULACION!P20</f>
        <v>2</v>
      </c>
      <c r="G47" s="240"/>
      <c r="H47" s="241">
        <f t="shared" si="1"/>
        <v>0</v>
      </c>
    </row>
    <row r="48" spans="1:10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39">
        <f>FORMULACION!P21</f>
        <v>2</v>
      </c>
      <c r="G48" s="240"/>
      <c r="H48" s="241">
        <f t="shared" si="1"/>
        <v>0</v>
      </c>
    </row>
    <row r="49" spans="1:8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39">
        <f>FORMULACION!P22</f>
        <v>2</v>
      </c>
      <c r="G49" s="240"/>
      <c r="H49" s="241">
        <f t="shared" si="1"/>
        <v>0</v>
      </c>
    </row>
    <row r="50" spans="1:8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39">
        <f>FORMULACION!P23</f>
        <v>2</v>
      </c>
      <c r="G50" s="240"/>
      <c r="H50" s="241">
        <f t="shared" si="1"/>
        <v>0</v>
      </c>
    </row>
    <row r="51" spans="1:8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39">
        <f>FORMULACION!P24</f>
        <v>115</v>
      </c>
      <c r="G51" s="240"/>
      <c r="H51" s="241">
        <f t="shared" si="1"/>
        <v>0</v>
      </c>
    </row>
    <row r="52" spans="1:8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39">
        <f>FORMULACION!P25</f>
        <v>50</v>
      </c>
      <c r="G52" s="240"/>
      <c r="H52" s="241"/>
    </row>
    <row r="53" spans="1:8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39">
        <f>FORMULACION!P26</f>
        <v>0</v>
      </c>
      <c r="G53" s="240"/>
      <c r="H53" s="241">
        <f t="shared" ref="H53:H84" si="2">F53*G53</f>
        <v>0</v>
      </c>
    </row>
    <row r="54" spans="1:8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39">
        <f>FORMULACION!P27</f>
        <v>16</v>
      </c>
      <c r="G54" s="240"/>
      <c r="H54" s="241">
        <f t="shared" si="2"/>
        <v>0</v>
      </c>
    </row>
    <row r="55" spans="1:8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39">
        <f>FORMULACION!P28</f>
        <v>1</v>
      </c>
      <c r="G55" s="240"/>
      <c r="H55" s="241">
        <f t="shared" si="2"/>
        <v>0</v>
      </c>
    </row>
    <row r="56" spans="1:8">
      <c r="A56" s="148">
        <v>26</v>
      </c>
      <c r="B56" s="149" t="s">
        <v>555</v>
      </c>
      <c r="C56" s="150" t="s">
        <v>22</v>
      </c>
      <c r="D56" s="150" t="s">
        <v>295</v>
      </c>
      <c r="E56" s="151" t="s">
        <v>26</v>
      </c>
      <c r="F56" s="242">
        <f>FORMULACION!P29</f>
        <v>1</v>
      </c>
      <c r="G56" s="243"/>
      <c r="H56" s="244">
        <f t="shared" si="2"/>
        <v>0</v>
      </c>
    </row>
    <row r="57" spans="1:8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39">
        <f>FORMULACION!P30</f>
        <v>0</v>
      </c>
      <c r="G57" s="240"/>
      <c r="H57" s="241">
        <f t="shared" si="2"/>
        <v>0</v>
      </c>
    </row>
    <row r="58" spans="1:8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39">
        <f>FORMULACION!P31</f>
        <v>1</v>
      </c>
      <c r="G58" s="240"/>
      <c r="H58" s="241">
        <f t="shared" si="2"/>
        <v>0</v>
      </c>
    </row>
    <row r="59" spans="1:8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39">
        <f>FORMULACION!P32</f>
        <v>0</v>
      </c>
      <c r="G59" s="240"/>
      <c r="H59" s="241">
        <f t="shared" si="2"/>
        <v>0</v>
      </c>
    </row>
    <row r="60" spans="1:8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39">
        <f>FORMULACION!P33</f>
        <v>1</v>
      </c>
      <c r="G60" s="240"/>
      <c r="H60" s="241">
        <f t="shared" si="2"/>
        <v>0</v>
      </c>
    </row>
    <row r="61" spans="1:8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39">
        <f>FORMULACION!P34</f>
        <v>1</v>
      </c>
      <c r="G61" s="240"/>
      <c r="H61" s="241">
        <f t="shared" si="2"/>
        <v>0</v>
      </c>
    </row>
    <row r="62" spans="1:8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39">
        <f>FORMULACION!P35</f>
        <v>1</v>
      </c>
      <c r="G62" s="240"/>
      <c r="H62" s="241">
        <f t="shared" si="2"/>
        <v>0</v>
      </c>
    </row>
    <row r="63" spans="1:8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39">
        <f>FORMULACION!P36</f>
        <v>1</v>
      </c>
      <c r="G63" s="240"/>
      <c r="H63" s="241">
        <f t="shared" si="2"/>
        <v>0</v>
      </c>
    </row>
    <row r="64" spans="1:8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39">
        <f>FORMULACION!P37</f>
        <v>1</v>
      </c>
      <c r="G64" s="240"/>
      <c r="H64" s="241">
        <f t="shared" si="2"/>
        <v>0</v>
      </c>
    </row>
    <row r="65" spans="1:8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39">
        <f>FORMULACION!P38</f>
        <v>2</v>
      </c>
      <c r="G65" s="240"/>
      <c r="H65" s="241">
        <f t="shared" si="2"/>
        <v>0</v>
      </c>
    </row>
    <row r="66" spans="1:8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39">
        <f>FORMULACION!P39</f>
        <v>1</v>
      </c>
      <c r="G66" s="240"/>
      <c r="H66" s="241">
        <f t="shared" si="2"/>
        <v>0</v>
      </c>
    </row>
    <row r="67" spans="1:8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39">
        <f>FORMULACION!P40</f>
        <v>0</v>
      </c>
      <c r="G67" s="240"/>
      <c r="H67" s="241">
        <f t="shared" si="2"/>
        <v>0</v>
      </c>
    </row>
    <row r="68" spans="1:8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39">
        <f>FORMULACION!P41</f>
        <v>1</v>
      </c>
      <c r="G68" s="240"/>
      <c r="H68" s="241">
        <f t="shared" si="2"/>
        <v>0</v>
      </c>
    </row>
    <row r="69" spans="1:8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39">
        <f>FORMULACION!P42</f>
        <v>1</v>
      </c>
      <c r="G69" s="240"/>
      <c r="H69" s="241">
        <f t="shared" si="2"/>
        <v>0</v>
      </c>
    </row>
    <row r="70" spans="1:8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39">
        <f>FORMULACION!P43</f>
        <v>2</v>
      </c>
      <c r="G70" s="240"/>
      <c r="H70" s="241">
        <f t="shared" si="2"/>
        <v>0</v>
      </c>
    </row>
    <row r="71" spans="1:8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39">
        <f>FORMULACION!P44</f>
        <v>4</v>
      </c>
      <c r="G71" s="240"/>
      <c r="H71" s="241">
        <f t="shared" si="2"/>
        <v>0</v>
      </c>
    </row>
    <row r="72" spans="1:8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39">
        <f>FORMULACION!P45</f>
        <v>4</v>
      </c>
      <c r="G72" s="240"/>
      <c r="H72" s="241">
        <f t="shared" si="2"/>
        <v>0</v>
      </c>
    </row>
    <row r="73" spans="1:8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39">
        <f>FORMULACION!P46</f>
        <v>2</v>
      </c>
      <c r="G73" s="240"/>
      <c r="H73" s="241">
        <f t="shared" si="2"/>
        <v>0</v>
      </c>
    </row>
    <row r="74" spans="1:8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39">
        <f>FORMULACION!P47</f>
        <v>2</v>
      </c>
      <c r="G74" s="240"/>
      <c r="H74" s="241">
        <f t="shared" si="2"/>
        <v>0</v>
      </c>
    </row>
    <row r="75" spans="1:8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39">
        <f>FORMULACION!P48</f>
        <v>2</v>
      </c>
      <c r="G75" s="240"/>
      <c r="H75" s="241">
        <f t="shared" si="2"/>
        <v>0</v>
      </c>
    </row>
    <row r="76" spans="1:8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39">
        <f>FORMULACION!P49</f>
        <v>2</v>
      </c>
      <c r="G76" s="240"/>
      <c r="H76" s="241">
        <f t="shared" si="2"/>
        <v>0</v>
      </c>
    </row>
    <row r="77" spans="1:8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39">
        <f>FORMULACION!P50</f>
        <v>1</v>
      </c>
      <c r="G77" s="240"/>
      <c r="H77" s="241">
        <f t="shared" si="2"/>
        <v>0</v>
      </c>
    </row>
    <row r="78" spans="1:8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39">
        <f>FORMULACION!P51</f>
        <v>6</v>
      </c>
      <c r="G78" s="240"/>
      <c r="H78" s="241">
        <f t="shared" si="2"/>
        <v>0</v>
      </c>
    </row>
    <row r="79" spans="1:8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39">
        <f>FORMULACION!P52</f>
        <v>4</v>
      </c>
      <c r="G79" s="240"/>
      <c r="H79" s="241">
        <f t="shared" si="2"/>
        <v>0</v>
      </c>
    </row>
    <row r="80" spans="1:8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39">
        <f>FORMULACION!P53</f>
        <v>4</v>
      </c>
      <c r="G80" s="240"/>
      <c r="H80" s="241">
        <f t="shared" si="2"/>
        <v>0</v>
      </c>
    </row>
    <row r="81" spans="1:8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39">
        <f>FORMULACION!P54</f>
        <v>2</v>
      </c>
      <c r="G81" s="240"/>
      <c r="H81" s="241">
        <f t="shared" si="2"/>
        <v>0</v>
      </c>
    </row>
    <row r="82" spans="1:8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39">
        <f>FORMULACION!P55</f>
        <v>2</v>
      </c>
      <c r="G82" s="240"/>
      <c r="H82" s="241">
        <f t="shared" si="2"/>
        <v>0</v>
      </c>
    </row>
    <row r="83" spans="1:8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39">
        <f>FORMULACION!P56</f>
        <v>2</v>
      </c>
      <c r="G83" s="240"/>
      <c r="H83" s="241">
        <f t="shared" si="2"/>
        <v>0</v>
      </c>
    </row>
    <row r="84" spans="1:8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39">
        <f>FORMULACION!P57</f>
        <v>2</v>
      </c>
      <c r="G84" s="240"/>
      <c r="H84" s="241">
        <f t="shared" si="2"/>
        <v>0</v>
      </c>
    </row>
    <row r="85" spans="1:8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39">
        <f>FORMULACION!P58</f>
        <v>2</v>
      </c>
      <c r="G85" s="240"/>
      <c r="H85" s="241">
        <f t="shared" ref="H85:H110" si="3">F85*G85</f>
        <v>0</v>
      </c>
    </row>
    <row r="86" spans="1:8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39">
        <f>FORMULACION!P59</f>
        <v>2</v>
      </c>
      <c r="G86" s="240"/>
      <c r="H86" s="241">
        <f t="shared" si="3"/>
        <v>0</v>
      </c>
    </row>
    <row r="87" spans="1:8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39">
        <f>FORMULACION!P60</f>
        <v>2</v>
      </c>
      <c r="G87" s="240"/>
      <c r="H87" s="241">
        <f t="shared" si="3"/>
        <v>0</v>
      </c>
    </row>
    <row r="88" spans="1:8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39">
        <f>FORMULACION!P61</f>
        <v>2</v>
      </c>
      <c r="G88" s="240"/>
      <c r="H88" s="241">
        <f t="shared" si="3"/>
        <v>0</v>
      </c>
    </row>
    <row r="89" spans="1:8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39">
        <f>FORMULACION!P62</f>
        <v>2</v>
      </c>
      <c r="G89" s="240"/>
      <c r="H89" s="241">
        <f t="shared" si="3"/>
        <v>0</v>
      </c>
    </row>
    <row r="90" spans="1:8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39">
        <f>FORMULACION!P63</f>
        <v>2</v>
      </c>
      <c r="G90" s="240"/>
      <c r="H90" s="241">
        <f t="shared" si="3"/>
        <v>0</v>
      </c>
    </row>
    <row r="91" spans="1:8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39">
        <f>FORMULACION!P64</f>
        <v>2</v>
      </c>
      <c r="G91" s="240"/>
      <c r="H91" s="241">
        <f t="shared" si="3"/>
        <v>0</v>
      </c>
    </row>
    <row r="92" spans="1:8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39">
        <f>FORMULACION!P65</f>
        <v>2</v>
      </c>
      <c r="G92" s="240"/>
      <c r="H92" s="241">
        <f t="shared" si="3"/>
        <v>0</v>
      </c>
    </row>
    <row r="93" spans="1:8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39">
        <f>FORMULACION!P66</f>
        <v>2</v>
      </c>
      <c r="G93" s="240"/>
      <c r="H93" s="241">
        <f t="shared" si="3"/>
        <v>0</v>
      </c>
    </row>
    <row r="94" spans="1:8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39">
        <f>FORMULACION!P67</f>
        <v>2</v>
      </c>
      <c r="G94" s="240"/>
      <c r="H94" s="241">
        <f t="shared" si="3"/>
        <v>0</v>
      </c>
    </row>
    <row r="95" spans="1:8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39">
        <f>FORMULACION!P68</f>
        <v>2</v>
      </c>
      <c r="G95" s="240"/>
      <c r="H95" s="241">
        <f t="shared" si="3"/>
        <v>0</v>
      </c>
    </row>
    <row r="96" spans="1:8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39">
        <f>FORMULACION!P69</f>
        <v>2</v>
      </c>
      <c r="G96" s="240"/>
      <c r="H96" s="241">
        <f t="shared" si="3"/>
        <v>0</v>
      </c>
    </row>
    <row r="97" spans="1:8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39">
        <f>FORMULACION!P70</f>
        <v>1</v>
      </c>
      <c r="G97" s="240"/>
      <c r="H97" s="241">
        <f t="shared" si="3"/>
        <v>0</v>
      </c>
    </row>
    <row r="98" spans="1:8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39">
        <f>FORMULACION!P71</f>
        <v>4</v>
      </c>
      <c r="G98" s="240"/>
      <c r="H98" s="241">
        <f t="shared" si="3"/>
        <v>0</v>
      </c>
    </row>
    <row r="99" spans="1:8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39">
        <f>FORMULACION!P72</f>
        <v>165</v>
      </c>
      <c r="G99" s="240"/>
      <c r="H99" s="241">
        <f t="shared" si="3"/>
        <v>0</v>
      </c>
    </row>
    <row r="100" spans="1:8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236">
        <f>FORMULACION!P73</f>
        <v>1</v>
      </c>
      <c r="G100" s="237"/>
      <c r="H100" s="238">
        <f t="shared" si="3"/>
        <v>0</v>
      </c>
    </row>
    <row r="101" spans="1:8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236">
        <f>FORMULACION!P74</f>
        <v>1</v>
      </c>
      <c r="G101" s="237"/>
      <c r="H101" s="238">
        <f t="shared" si="3"/>
        <v>0</v>
      </c>
    </row>
    <row r="102" spans="1:8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236">
        <f>FORMULACION!P75</f>
        <v>1</v>
      </c>
      <c r="G102" s="237"/>
      <c r="H102" s="238">
        <f t="shared" si="3"/>
        <v>0</v>
      </c>
    </row>
    <row r="103" spans="1:8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236">
        <f>FORMULACION!P76</f>
        <v>1</v>
      </c>
      <c r="G103" s="237"/>
      <c r="H103" s="238">
        <f t="shared" si="3"/>
        <v>0</v>
      </c>
    </row>
    <row r="104" spans="1:8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233">
        <f>FORMULACION!P77</f>
        <v>6</v>
      </c>
      <c r="G104" s="234"/>
      <c r="H104" s="235">
        <f t="shared" si="3"/>
        <v>0</v>
      </c>
    </row>
    <row r="105" spans="1:8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233">
        <f>FORMULACION!P78</f>
        <v>1</v>
      </c>
      <c r="G105" s="234"/>
      <c r="H105" s="235">
        <f t="shared" si="3"/>
        <v>0</v>
      </c>
    </row>
    <row r="106" spans="1:8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233">
        <f>FORMULACION!P79</f>
        <v>1</v>
      </c>
      <c r="G106" s="234"/>
      <c r="H106" s="235">
        <f t="shared" si="3"/>
        <v>0</v>
      </c>
    </row>
    <row r="107" spans="1:8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233">
        <f>FORMULACION!P80</f>
        <v>1</v>
      </c>
      <c r="G107" s="234"/>
      <c r="H107" s="235">
        <f t="shared" si="3"/>
        <v>0</v>
      </c>
    </row>
    <row r="108" spans="1:8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233">
        <f>FORMULACION!P81</f>
        <v>11</v>
      </c>
      <c r="G108" s="234"/>
      <c r="H108" s="235">
        <f t="shared" si="3"/>
        <v>0</v>
      </c>
    </row>
    <row r="109" spans="1:8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233">
        <f>FORMULACION!P82</f>
        <v>1</v>
      </c>
      <c r="G109" s="234"/>
      <c r="H109" s="235">
        <f t="shared" si="3"/>
        <v>0</v>
      </c>
    </row>
    <row r="110" spans="1:8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230">
        <f>FORMULACION!P83</f>
        <v>0</v>
      </c>
      <c r="G110" s="231"/>
      <c r="H110" s="232">
        <f t="shared" si="3"/>
        <v>0</v>
      </c>
    </row>
    <row r="111" spans="1:8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230">
        <f>FORMULACION!P84</f>
        <v>147</v>
      </c>
      <c r="G111" s="231"/>
      <c r="H111" s="232"/>
    </row>
    <row r="112" spans="1:8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230">
        <f>FORMULACION!P85</f>
        <v>2</v>
      </c>
      <c r="G112" s="231"/>
      <c r="H112" s="232">
        <f t="shared" ref="H112:H133" si="4">F112*G112</f>
        <v>0</v>
      </c>
    </row>
    <row r="113" spans="1:8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230">
        <f>FORMULACION!P86</f>
        <v>1</v>
      </c>
      <c r="G113" s="231"/>
      <c r="H113" s="232">
        <f t="shared" si="4"/>
        <v>0</v>
      </c>
    </row>
    <row r="114" spans="1:8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230">
        <f>FORMULACION!P87</f>
        <v>0</v>
      </c>
      <c r="G114" s="231"/>
      <c r="H114" s="232">
        <f t="shared" si="4"/>
        <v>0</v>
      </c>
    </row>
    <row r="115" spans="1:8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230">
        <f>FORMULACION!P88</f>
        <v>0</v>
      </c>
      <c r="G115" s="231"/>
      <c r="H115" s="232">
        <f t="shared" si="4"/>
        <v>0</v>
      </c>
    </row>
    <row r="116" spans="1:8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230">
        <f>FORMULACION!P89</f>
        <v>0</v>
      </c>
      <c r="G116" s="231"/>
      <c r="H116" s="232">
        <f t="shared" si="4"/>
        <v>0</v>
      </c>
    </row>
    <row r="117" spans="1:8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230">
        <f>FORMULACION!P90</f>
        <v>0</v>
      </c>
      <c r="G117" s="231"/>
      <c r="H117" s="232">
        <f t="shared" si="4"/>
        <v>0</v>
      </c>
    </row>
    <row r="118" spans="1:8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230">
        <f>FORMULACION!P91</f>
        <v>0</v>
      </c>
      <c r="G118" s="231"/>
      <c r="H118" s="232">
        <f t="shared" si="4"/>
        <v>0</v>
      </c>
    </row>
    <row r="119" spans="1:8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230">
        <f>FORMULACION!P92</f>
        <v>294</v>
      </c>
      <c r="G119" s="231"/>
      <c r="H119" s="232">
        <f t="shared" si="4"/>
        <v>0</v>
      </c>
    </row>
    <row r="120" spans="1:8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230">
        <f>FORMULACION!P93</f>
        <v>36</v>
      </c>
      <c r="G120" s="231"/>
      <c r="H120" s="232">
        <f t="shared" si="4"/>
        <v>0</v>
      </c>
    </row>
    <row r="121" spans="1:8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227">
        <f>FORMULACION!P94</f>
        <v>50</v>
      </c>
      <c r="G121" s="228"/>
      <c r="H121" s="229">
        <f t="shared" si="4"/>
        <v>0</v>
      </c>
    </row>
    <row r="122" spans="1:8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227">
        <f>FORMULACION!P95</f>
        <v>147</v>
      </c>
      <c r="G122" s="228"/>
      <c r="H122" s="229">
        <f t="shared" si="4"/>
        <v>0</v>
      </c>
    </row>
    <row r="123" spans="1:8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227">
        <f>FORMULACION!P96</f>
        <v>1</v>
      </c>
      <c r="G123" s="228"/>
      <c r="H123" s="229">
        <f t="shared" si="4"/>
        <v>0</v>
      </c>
    </row>
    <row r="124" spans="1:8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227">
        <f>FORMULACION!P97</f>
        <v>0</v>
      </c>
      <c r="G124" s="228"/>
      <c r="H124" s="229">
        <f t="shared" si="4"/>
        <v>0</v>
      </c>
    </row>
    <row r="125" spans="1:8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227">
        <f>FORMULACION!P98</f>
        <v>8</v>
      </c>
      <c r="G125" s="228"/>
      <c r="H125" s="229">
        <f t="shared" si="4"/>
        <v>0</v>
      </c>
    </row>
    <row r="126" spans="1:8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227">
        <f>FORMULACION!P99</f>
        <v>8</v>
      </c>
      <c r="G126" s="228"/>
      <c r="H126" s="229">
        <f t="shared" si="4"/>
        <v>0</v>
      </c>
    </row>
    <row r="127" spans="1:8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227">
        <f>FORMULACION!P100</f>
        <v>8</v>
      </c>
      <c r="G127" s="228"/>
      <c r="H127" s="229">
        <f t="shared" si="4"/>
        <v>0</v>
      </c>
    </row>
    <row r="128" spans="1:8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227">
        <f>FORMULACION!P101</f>
        <v>18</v>
      </c>
      <c r="G128" s="228"/>
      <c r="H128" s="229">
        <f t="shared" si="4"/>
        <v>0</v>
      </c>
    </row>
    <row r="129" spans="1:8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227">
        <f>FORMULACION!P102</f>
        <v>8</v>
      </c>
      <c r="G129" s="228"/>
      <c r="H129" s="229">
        <f t="shared" si="4"/>
        <v>0</v>
      </c>
    </row>
    <row r="130" spans="1:8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227">
        <f>FORMULACION!P103</f>
        <v>0</v>
      </c>
      <c r="G130" s="228"/>
      <c r="H130" s="229">
        <f t="shared" si="4"/>
        <v>0</v>
      </c>
    </row>
    <row r="131" spans="1:8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227">
        <f>FORMULACION!P104</f>
        <v>4</v>
      </c>
      <c r="G131" s="228"/>
      <c r="H131" s="229">
        <f t="shared" si="4"/>
        <v>0</v>
      </c>
    </row>
    <row r="132" spans="1:8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227">
        <f>FORMULACION!P105</f>
        <v>3</v>
      </c>
      <c r="G132" s="228"/>
      <c r="H132" s="229">
        <f t="shared" si="4"/>
        <v>0</v>
      </c>
    </row>
    <row r="133" spans="1:8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227">
        <f>FORMULACION!P106</f>
        <v>3</v>
      </c>
      <c r="G133" s="228"/>
      <c r="H133" s="229">
        <f t="shared" si="4"/>
        <v>0</v>
      </c>
    </row>
    <row r="134" spans="1:8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227">
        <f>FORMULACION!P107</f>
        <v>3</v>
      </c>
      <c r="G134" s="228"/>
      <c r="H134" s="229"/>
    </row>
    <row r="135" spans="1:8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227">
        <f>FORMULACION!P108</f>
        <v>4</v>
      </c>
      <c r="G135" s="228"/>
      <c r="H135" s="229">
        <f t="shared" ref="H135:H166" si="5">F135*G135</f>
        <v>0</v>
      </c>
    </row>
    <row r="136" spans="1:8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227">
        <f>FORMULACION!P109</f>
        <v>39</v>
      </c>
      <c r="G136" s="228"/>
      <c r="H136" s="229">
        <f t="shared" si="5"/>
        <v>0</v>
      </c>
    </row>
    <row r="137" spans="1:8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227">
        <f>FORMULACION!P110</f>
        <v>9</v>
      </c>
      <c r="G137" s="228"/>
      <c r="H137" s="229">
        <f t="shared" si="5"/>
        <v>0</v>
      </c>
    </row>
    <row r="138" spans="1:8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227">
        <f>FORMULACION!P111</f>
        <v>165</v>
      </c>
      <c r="G138" s="228"/>
      <c r="H138" s="229">
        <f t="shared" si="5"/>
        <v>0</v>
      </c>
    </row>
    <row r="139" spans="1:8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227">
        <f>FORMULACION!P112</f>
        <v>1</v>
      </c>
      <c r="G139" s="228"/>
      <c r="H139" s="229">
        <f t="shared" si="5"/>
        <v>0</v>
      </c>
    </row>
    <row r="140" spans="1:8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227">
        <f>FORMULACION!P113</f>
        <v>1</v>
      </c>
      <c r="G140" s="228"/>
      <c r="H140" s="229">
        <f t="shared" si="5"/>
        <v>0</v>
      </c>
    </row>
    <row r="141" spans="1:8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227">
        <f>FORMULACION!P114</f>
        <v>1</v>
      </c>
      <c r="G141" s="228"/>
      <c r="H141" s="229">
        <f t="shared" si="5"/>
        <v>0</v>
      </c>
    </row>
    <row r="142" spans="1:8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227">
        <f>FORMULACION!P115</f>
        <v>3</v>
      </c>
      <c r="G142" s="228"/>
      <c r="H142" s="229">
        <f t="shared" si="5"/>
        <v>0</v>
      </c>
    </row>
    <row r="143" spans="1:8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227">
        <f>FORMULACION!P116</f>
        <v>3</v>
      </c>
      <c r="G143" s="228"/>
      <c r="H143" s="229">
        <f t="shared" si="5"/>
        <v>0</v>
      </c>
    </row>
    <row r="144" spans="1:8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227">
        <f>FORMULACION!P117</f>
        <v>2</v>
      </c>
      <c r="G144" s="228"/>
      <c r="H144" s="229">
        <f t="shared" si="5"/>
        <v>0</v>
      </c>
    </row>
    <row r="145" spans="1:8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227">
        <f>FORMULACION!P118</f>
        <v>1</v>
      </c>
      <c r="G145" s="228"/>
      <c r="H145" s="229">
        <f t="shared" si="5"/>
        <v>0</v>
      </c>
    </row>
    <row r="146" spans="1:8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227">
        <f>FORMULACION!P119</f>
        <v>2</v>
      </c>
      <c r="G146" s="228"/>
      <c r="H146" s="229">
        <f t="shared" si="5"/>
        <v>0</v>
      </c>
    </row>
    <row r="147" spans="1:8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227">
        <f>FORMULACION!P120</f>
        <v>1</v>
      </c>
      <c r="G147" s="228"/>
      <c r="H147" s="229">
        <f t="shared" si="5"/>
        <v>0</v>
      </c>
    </row>
    <row r="148" spans="1:8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227">
        <f>FORMULACION!P121</f>
        <v>2</v>
      </c>
      <c r="G148" s="228"/>
      <c r="H148" s="229">
        <f t="shared" si="5"/>
        <v>0</v>
      </c>
    </row>
    <row r="149" spans="1:8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227">
        <f>FORMULACION!P122</f>
        <v>99</v>
      </c>
      <c r="G149" s="228"/>
      <c r="H149" s="229">
        <f t="shared" si="5"/>
        <v>0</v>
      </c>
    </row>
    <row r="150" spans="1:8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224">
        <f>FORMULACION!P123</f>
        <v>7</v>
      </c>
      <c r="G150" s="225"/>
      <c r="H150" s="226">
        <f t="shared" si="5"/>
        <v>0</v>
      </c>
    </row>
    <row r="151" spans="1:8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224">
        <f>FORMULACION!P124</f>
        <v>1</v>
      </c>
      <c r="G151" s="225"/>
      <c r="H151" s="226">
        <f t="shared" si="5"/>
        <v>0</v>
      </c>
    </row>
    <row r="152" spans="1:8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224">
        <f>FORMULACION!P125</f>
        <v>0</v>
      </c>
      <c r="G152" s="225"/>
      <c r="H152" s="226">
        <f t="shared" si="5"/>
        <v>0</v>
      </c>
    </row>
    <row r="153" spans="1:8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224">
        <f>FORMULACION!P126</f>
        <v>1</v>
      </c>
      <c r="G153" s="225"/>
      <c r="H153" s="226">
        <f t="shared" si="5"/>
        <v>0</v>
      </c>
    </row>
    <row r="154" spans="1:8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224">
        <f>FORMULACION!P127</f>
        <v>1</v>
      </c>
      <c r="G154" s="225"/>
      <c r="H154" s="226">
        <f t="shared" si="5"/>
        <v>0</v>
      </c>
    </row>
    <row r="155" spans="1:8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224">
        <f>FORMULACION!P128</f>
        <v>8</v>
      </c>
      <c r="G155" s="225"/>
      <c r="H155" s="226">
        <f t="shared" si="5"/>
        <v>0</v>
      </c>
    </row>
    <row r="156" spans="1:8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224">
        <f>FORMULACION!P129</f>
        <v>1</v>
      </c>
      <c r="G156" s="225"/>
      <c r="H156" s="226">
        <f t="shared" si="5"/>
        <v>0</v>
      </c>
    </row>
    <row r="157" spans="1:8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224">
        <f>FORMULACION!P130</f>
        <v>2</v>
      </c>
      <c r="G157" s="225"/>
      <c r="H157" s="226">
        <f t="shared" si="5"/>
        <v>0</v>
      </c>
    </row>
    <row r="158" spans="1:8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224">
        <f>FORMULACION!P131</f>
        <v>2</v>
      </c>
      <c r="G158" s="225"/>
      <c r="H158" s="226">
        <f t="shared" si="5"/>
        <v>0</v>
      </c>
    </row>
    <row r="159" spans="1:8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224">
        <f>FORMULACION!P132</f>
        <v>2</v>
      </c>
      <c r="G159" s="225"/>
      <c r="H159" s="226">
        <f t="shared" si="5"/>
        <v>0</v>
      </c>
    </row>
    <row r="160" spans="1:8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217">
        <f>FORMULACION!P133</f>
        <v>7</v>
      </c>
      <c r="G160" s="218"/>
      <c r="H160" s="219">
        <f t="shared" si="5"/>
        <v>0</v>
      </c>
    </row>
    <row r="161" spans="1:8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217">
        <f>FORMULACION!P134</f>
        <v>7</v>
      </c>
      <c r="G161" s="218"/>
      <c r="H161" s="219">
        <f t="shared" si="5"/>
        <v>0</v>
      </c>
    </row>
    <row r="162" spans="1:8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217">
        <f>FORMULACION!P135</f>
        <v>14</v>
      </c>
      <c r="G162" s="218"/>
      <c r="H162" s="219">
        <f t="shared" si="5"/>
        <v>0</v>
      </c>
    </row>
    <row r="163" spans="1:8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217">
        <f>FORMULACION!P136</f>
        <v>8</v>
      </c>
      <c r="G163" s="218"/>
      <c r="H163" s="219">
        <f t="shared" si="5"/>
        <v>0</v>
      </c>
    </row>
    <row r="164" spans="1:8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217">
        <f>FORMULACION!P137</f>
        <v>1</v>
      </c>
      <c r="G164" s="218"/>
      <c r="H164" s="219">
        <f t="shared" si="5"/>
        <v>0</v>
      </c>
    </row>
    <row r="165" spans="1:8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217">
        <f>FORMULACION!P138</f>
        <v>1</v>
      </c>
      <c r="G165" s="218"/>
      <c r="H165" s="219">
        <f t="shared" si="5"/>
        <v>0</v>
      </c>
    </row>
    <row r="166" spans="1:8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217">
        <f>FORMULACION!P139</f>
        <v>8</v>
      </c>
      <c r="G166" s="218"/>
      <c r="H166" s="219">
        <f t="shared" si="5"/>
        <v>0</v>
      </c>
    </row>
    <row r="167" spans="1:8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217">
        <f>FORMULACION!P140</f>
        <v>1</v>
      </c>
      <c r="G167" s="218"/>
      <c r="H167" s="219">
        <f t="shared" ref="H167:H198" si="6">F167*G167</f>
        <v>0</v>
      </c>
    </row>
    <row r="168" spans="1:8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217">
        <f>FORMULACION!P141</f>
        <v>8</v>
      </c>
      <c r="G168" s="218"/>
      <c r="H168" s="219">
        <f t="shared" si="6"/>
        <v>0</v>
      </c>
    </row>
    <row r="169" spans="1:8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217">
        <f>FORMULACION!P142</f>
        <v>0</v>
      </c>
      <c r="G169" s="218"/>
      <c r="H169" s="219">
        <f t="shared" si="6"/>
        <v>0</v>
      </c>
    </row>
    <row r="170" spans="1:8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217">
        <f>FORMULACION!P143</f>
        <v>3</v>
      </c>
      <c r="G170" s="218"/>
      <c r="H170" s="219">
        <f t="shared" si="6"/>
        <v>0</v>
      </c>
    </row>
    <row r="171" spans="1:8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217">
        <f>FORMULACION!P144</f>
        <v>6</v>
      </c>
      <c r="G171" s="218"/>
      <c r="H171" s="219">
        <f t="shared" si="6"/>
        <v>0</v>
      </c>
    </row>
    <row r="172" spans="1:8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217">
        <f>FORMULACION!P145</f>
        <v>6</v>
      </c>
      <c r="G172" s="218"/>
      <c r="H172" s="219">
        <f t="shared" si="6"/>
        <v>0</v>
      </c>
    </row>
    <row r="173" spans="1:8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217">
        <f>FORMULACION!P146</f>
        <v>6</v>
      </c>
      <c r="G173" s="218"/>
      <c r="H173" s="219">
        <f t="shared" si="6"/>
        <v>0</v>
      </c>
    </row>
    <row r="174" spans="1:8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217">
        <f>FORMULACION!P147</f>
        <v>2</v>
      </c>
      <c r="G174" s="218"/>
      <c r="H174" s="219">
        <f t="shared" si="6"/>
        <v>0</v>
      </c>
    </row>
    <row r="175" spans="1:8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217">
        <f>FORMULACION!P148</f>
        <v>8</v>
      </c>
      <c r="G175" s="218"/>
      <c r="H175" s="219">
        <f t="shared" si="6"/>
        <v>0</v>
      </c>
    </row>
    <row r="176" spans="1:8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217">
        <f>FORMULACION!P149</f>
        <v>1</v>
      </c>
      <c r="G176" s="218"/>
      <c r="H176" s="219">
        <f t="shared" si="6"/>
        <v>0</v>
      </c>
    </row>
    <row r="177" spans="1:8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217">
        <f>FORMULACION!P150</f>
        <v>1</v>
      </c>
      <c r="G177" s="218"/>
      <c r="H177" s="219">
        <f t="shared" si="6"/>
        <v>0</v>
      </c>
    </row>
    <row r="178" spans="1:8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217">
        <f>FORMULACION!P151</f>
        <v>0</v>
      </c>
      <c r="G178" s="218"/>
      <c r="H178" s="219">
        <f t="shared" si="6"/>
        <v>0</v>
      </c>
    </row>
    <row r="179" spans="1:8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217">
        <f>FORMULACION!P152</f>
        <v>6</v>
      </c>
      <c r="G179" s="218"/>
      <c r="H179" s="219">
        <f t="shared" si="6"/>
        <v>0</v>
      </c>
    </row>
    <row r="180" spans="1:8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217">
        <f>FORMULACION!P153</f>
        <v>3</v>
      </c>
      <c r="G180" s="218"/>
      <c r="H180" s="219">
        <f t="shared" si="6"/>
        <v>0</v>
      </c>
    </row>
    <row r="181" spans="1:8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217">
        <f>FORMULACION!P154</f>
        <v>3</v>
      </c>
      <c r="G181" s="218"/>
      <c r="H181" s="219">
        <f t="shared" si="6"/>
        <v>0</v>
      </c>
    </row>
    <row r="182" spans="1:8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217">
        <f>FORMULACION!P155</f>
        <v>3</v>
      </c>
      <c r="G182" s="218"/>
      <c r="H182" s="219">
        <f t="shared" si="6"/>
        <v>0</v>
      </c>
    </row>
    <row r="183" spans="1:8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217">
        <f>FORMULACION!P156</f>
        <v>7</v>
      </c>
      <c r="G183" s="218"/>
      <c r="H183" s="219">
        <f t="shared" si="6"/>
        <v>0</v>
      </c>
    </row>
    <row r="184" spans="1:8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217">
        <f>FORMULACION!P157</f>
        <v>2</v>
      </c>
      <c r="G184" s="218"/>
      <c r="H184" s="219">
        <f t="shared" si="6"/>
        <v>0</v>
      </c>
    </row>
    <row r="185" spans="1:8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217">
        <f>FORMULACION!P158</f>
        <v>2</v>
      </c>
      <c r="G185" s="218"/>
      <c r="H185" s="219">
        <f t="shared" si="6"/>
        <v>0</v>
      </c>
    </row>
    <row r="186" spans="1:8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217">
        <f>FORMULACION!P159</f>
        <v>0</v>
      </c>
      <c r="G186" s="218"/>
      <c r="H186" s="219">
        <f t="shared" si="6"/>
        <v>0</v>
      </c>
    </row>
    <row r="187" spans="1:8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217">
        <f>FORMULACION!P160</f>
        <v>0</v>
      </c>
      <c r="G187" s="218"/>
      <c r="H187" s="219">
        <f t="shared" si="6"/>
        <v>0</v>
      </c>
    </row>
    <row r="188" spans="1:8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217">
        <f>FORMULACION!P161</f>
        <v>1</v>
      </c>
      <c r="G188" s="218"/>
      <c r="H188" s="219">
        <f t="shared" si="6"/>
        <v>0</v>
      </c>
    </row>
    <row r="189" spans="1:8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217">
        <f>FORMULACION!P162</f>
        <v>1</v>
      </c>
      <c r="G189" s="218"/>
      <c r="H189" s="219">
        <f t="shared" si="6"/>
        <v>0</v>
      </c>
    </row>
    <row r="190" spans="1:8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217">
        <f>FORMULACION!P163</f>
        <v>7</v>
      </c>
      <c r="G190" s="218"/>
      <c r="H190" s="219">
        <f t="shared" si="6"/>
        <v>0</v>
      </c>
    </row>
    <row r="191" spans="1:8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217">
        <f>FORMULACION!P164</f>
        <v>2</v>
      </c>
      <c r="G191" s="218"/>
      <c r="H191" s="219">
        <f t="shared" si="6"/>
        <v>0</v>
      </c>
    </row>
    <row r="192" spans="1:8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217">
        <f>FORMULACION!P165</f>
        <v>2</v>
      </c>
      <c r="G192" s="218"/>
      <c r="H192" s="219">
        <f t="shared" si="6"/>
        <v>0</v>
      </c>
    </row>
    <row r="193" spans="1:8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217">
        <f>FORMULACION!P166</f>
        <v>2</v>
      </c>
      <c r="G193" s="218"/>
      <c r="H193" s="219">
        <f t="shared" si="6"/>
        <v>0</v>
      </c>
    </row>
    <row r="194" spans="1:8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217">
        <f>FORMULACION!P167</f>
        <v>6</v>
      </c>
      <c r="G194" s="218"/>
      <c r="H194" s="219">
        <f t="shared" si="6"/>
        <v>0</v>
      </c>
    </row>
    <row r="195" spans="1:8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217">
        <f>FORMULACION!P168</f>
        <v>0</v>
      </c>
      <c r="G195" s="218"/>
      <c r="H195" s="219">
        <f t="shared" si="6"/>
        <v>0</v>
      </c>
    </row>
    <row r="196" spans="1:8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217">
        <f>FORMULACION!P169</f>
        <v>0</v>
      </c>
      <c r="G196" s="218"/>
      <c r="H196" s="219">
        <f t="shared" si="6"/>
        <v>0</v>
      </c>
    </row>
    <row r="197" spans="1:8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217">
        <f>FORMULACION!P170</f>
        <v>4</v>
      </c>
      <c r="G197" s="218"/>
      <c r="H197" s="219">
        <f t="shared" si="6"/>
        <v>0</v>
      </c>
    </row>
    <row r="198" spans="1:8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217">
        <f>FORMULACION!P171</f>
        <v>4</v>
      </c>
      <c r="G198" s="218"/>
      <c r="H198" s="219">
        <f t="shared" si="6"/>
        <v>0</v>
      </c>
    </row>
    <row r="199" spans="1:8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217">
        <f>FORMULACION!P172</f>
        <v>1</v>
      </c>
      <c r="G199" s="218"/>
      <c r="H199" s="219">
        <f t="shared" ref="H199:H221" si="7">F199*G199</f>
        <v>0</v>
      </c>
    </row>
    <row r="200" spans="1:8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217">
        <f>FORMULACION!P173</f>
        <v>2</v>
      </c>
      <c r="G200" s="218"/>
      <c r="H200" s="219">
        <f t="shared" si="7"/>
        <v>0</v>
      </c>
    </row>
    <row r="201" spans="1:8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217">
        <f>FORMULACION!P174</f>
        <v>7</v>
      </c>
      <c r="G201" s="218"/>
      <c r="H201" s="219">
        <f t="shared" si="7"/>
        <v>0</v>
      </c>
    </row>
    <row r="202" spans="1:8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217">
        <f>FORMULACION!P175</f>
        <v>12</v>
      </c>
      <c r="G202" s="218"/>
      <c r="H202" s="219">
        <f t="shared" si="7"/>
        <v>0</v>
      </c>
    </row>
    <row r="203" spans="1:8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217">
        <f>FORMULACION!P176</f>
        <v>12</v>
      </c>
      <c r="G203" s="218"/>
      <c r="H203" s="219">
        <f t="shared" si="7"/>
        <v>0</v>
      </c>
    </row>
    <row r="204" spans="1:8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217">
        <f>FORMULACION!P177</f>
        <v>12</v>
      </c>
      <c r="G204" s="218"/>
      <c r="H204" s="219">
        <f t="shared" si="7"/>
        <v>0</v>
      </c>
    </row>
    <row r="205" spans="1:8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217">
        <f>FORMULACION!P178</f>
        <v>12</v>
      </c>
      <c r="G205" s="218"/>
      <c r="H205" s="219">
        <f t="shared" si="7"/>
        <v>0</v>
      </c>
    </row>
    <row r="206" spans="1:8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217">
        <f>FORMULACION!P179</f>
        <v>12</v>
      </c>
      <c r="G206" s="218"/>
      <c r="H206" s="219">
        <f t="shared" si="7"/>
        <v>0</v>
      </c>
    </row>
    <row r="207" spans="1:8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217">
        <f>FORMULACION!P180</f>
        <v>14</v>
      </c>
      <c r="G207" s="218"/>
      <c r="H207" s="219">
        <f t="shared" si="7"/>
        <v>0</v>
      </c>
    </row>
    <row r="208" spans="1:8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217">
        <f>FORMULACION!P181</f>
        <v>12</v>
      </c>
      <c r="G208" s="218"/>
      <c r="H208" s="219">
        <f t="shared" si="7"/>
        <v>0</v>
      </c>
    </row>
    <row r="209" spans="1:8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217">
        <f>FORMULACION!P182</f>
        <v>1</v>
      </c>
      <c r="G209" s="218"/>
      <c r="H209" s="219">
        <f t="shared" si="7"/>
        <v>0</v>
      </c>
    </row>
    <row r="210" spans="1:8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217">
        <f>FORMULACION!P183</f>
        <v>12</v>
      </c>
      <c r="G210" s="218"/>
      <c r="H210" s="219">
        <f t="shared" si="7"/>
        <v>0</v>
      </c>
    </row>
    <row r="211" spans="1:8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217">
        <f>FORMULACION!P184</f>
        <v>12</v>
      </c>
      <c r="G211" s="218"/>
      <c r="H211" s="219">
        <f t="shared" si="7"/>
        <v>0</v>
      </c>
    </row>
    <row r="212" spans="1:8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217">
        <f>FORMULACION!P185</f>
        <v>3</v>
      </c>
      <c r="G212" s="218"/>
      <c r="H212" s="219">
        <f t="shared" si="7"/>
        <v>0</v>
      </c>
    </row>
    <row r="213" spans="1:8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217">
        <f>FORMULACION!P186</f>
        <v>12</v>
      </c>
      <c r="G213" s="218"/>
      <c r="H213" s="219">
        <f t="shared" si="7"/>
        <v>0</v>
      </c>
    </row>
    <row r="214" spans="1:8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217">
        <f>FORMULACION!P187</f>
        <v>1</v>
      </c>
      <c r="G214" s="218"/>
      <c r="H214" s="219">
        <f t="shared" si="7"/>
        <v>0</v>
      </c>
    </row>
    <row r="215" spans="1:8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217">
        <f>FORMULACION!P188</f>
        <v>12</v>
      </c>
      <c r="G215" s="218"/>
      <c r="H215" s="219">
        <f t="shared" si="7"/>
        <v>0</v>
      </c>
    </row>
    <row r="216" spans="1:8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217">
        <f>FORMULACION!P189</f>
        <v>1</v>
      </c>
      <c r="G216" s="218"/>
      <c r="H216" s="219">
        <f t="shared" si="7"/>
        <v>0</v>
      </c>
    </row>
    <row r="217" spans="1:8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217">
        <f>FORMULACION!P190</f>
        <v>12</v>
      </c>
      <c r="G217" s="218"/>
      <c r="H217" s="219">
        <f t="shared" si="7"/>
        <v>0</v>
      </c>
    </row>
    <row r="218" spans="1:8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217">
        <f>FORMULACION!P191</f>
        <v>12</v>
      </c>
      <c r="G218" s="218"/>
      <c r="H218" s="219">
        <f t="shared" si="7"/>
        <v>0</v>
      </c>
    </row>
    <row r="219" spans="1:8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217">
        <f>FORMULACION!P192</f>
        <v>0</v>
      </c>
      <c r="G219" s="218"/>
      <c r="H219" s="219">
        <f t="shared" si="7"/>
        <v>0</v>
      </c>
    </row>
    <row r="220" spans="1:8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217">
        <f>FORMULACION!P193</f>
        <v>12</v>
      </c>
      <c r="G220" s="218"/>
      <c r="H220" s="219">
        <f t="shared" si="7"/>
        <v>0</v>
      </c>
    </row>
    <row r="221" spans="1:8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217">
        <f>FORMULACION!P194</f>
        <v>1</v>
      </c>
      <c r="G221" s="218"/>
      <c r="H221" s="219">
        <f t="shared" si="7"/>
        <v>0</v>
      </c>
    </row>
    <row r="222" spans="1:8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217">
        <f>FORMULACION!P195</f>
        <v>12</v>
      </c>
      <c r="G222" s="218"/>
      <c r="H222" s="219"/>
    </row>
    <row r="223" spans="1:8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217">
        <f>FORMULACION!P196</f>
        <v>12</v>
      </c>
      <c r="G223" s="218"/>
      <c r="H223" s="219"/>
    </row>
    <row r="224" spans="1:8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217">
        <f>FORMULACION!P197</f>
        <v>1</v>
      </c>
      <c r="G224" s="218"/>
      <c r="H224" s="219"/>
    </row>
    <row r="225" spans="1:8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217">
        <f>FORMULACION!P198</f>
        <v>12</v>
      </c>
      <c r="G225" s="218"/>
      <c r="H225" s="219"/>
    </row>
    <row r="226" spans="1:8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217">
        <f>FORMULACION!P199</f>
        <v>12</v>
      </c>
      <c r="G226" s="218"/>
      <c r="H226" s="219"/>
    </row>
    <row r="227" spans="1:8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217">
        <f>FORMULACION!P200</f>
        <v>12</v>
      </c>
      <c r="G227" s="218"/>
      <c r="H227" s="219"/>
    </row>
    <row r="228" spans="1:8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217">
        <f>FORMULACION!P201</f>
        <v>1</v>
      </c>
      <c r="G228" s="218"/>
      <c r="H228" s="219"/>
    </row>
    <row r="229" spans="1:8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217">
        <f>FORMULACION!P202</f>
        <v>1</v>
      </c>
      <c r="G229" s="218"/>
      <c r="H229" s="219"/>
    </row>
    <row r="230" spans="1:8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217">
        <f>FORMULACION!P203</f>
        <v>12</v>
      </c>
      <c r="G230" s="218"/>
      <c r="H230" s="219"/>
    </row>
    <row r="231" spans="1:8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217">
        <f>FORMULACION!P204</f>
        <v>0</v>
      </c>
      <c r="G231" s="218"/>
      <c r="H231" s="219">
        <f t="shared" ref="H231:H271" si="8">F231*G231</f>
        <v>0</v>
      </c>
    </row>
    <row r="232" spans="1:8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217">
        <f>FORMULACION!P205</f>
        <v>12</v>
      </c>
      <c r="G232" s="218"/>
      <c r="H232" s="219">
        <f t="shared" si="8"/>
        <v>0</v>
      </c>
    </row>
    <row r="233" spans="1:8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217">
        <f>FORMULACION!P206</f>
        <v>6</v>
      </c>
      <c r="G233" s="218"/>
      <c r="H233" s="219">
        <f t="shared" si="8"/>
        <v>0</v>
      </c>
    </row>
    <row r="234" spans="1:8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217">
        <f>FORMULACION!P207</f>
        <v>6</v>
      </c>
      <c r="G234" s="218"/>
      <c r="H234" s="219">
        <f t="shared" si="8"/>
        <v>0</v>
      </c>
    </row>
    <row r="235" spans="1:8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217">
        <f>FORMULACION!P208</f>
        <v>1</v>
      </c>
      <c r="G235" s="218"/>
      <c r="H235" s="219">
        <f t="shared" si="8"/>
        <v>0</v>
      </c>
    </row>
    <row r="236" spans="1:8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217">
        <f>FORMULACION!P209</f>
        <v>6</v>
      </c>
      <c r="G236" s="218"/>
      <c r="H236" s="219">
        <f t="shared" si="8"/>
        <v>0</v>
      </c>
    </row>
    <row r="237" spans="1:8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217">
        <f>FORMULACION!P210</f>
        <v>24</v>
      </c>
      <c r="G237" s="218"/>
      <c r="H237" s="219">
        <f t="shared" si="8"/>
        <v>0</v>
      </c>
    </row>
    <row r="238" spans="1:8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217">
        <f>FORMULACION!P211</f>
        <v>6</v>
      </c>
      <c r="G238" s="218"/>
      <c r="H238" s="219">
        <f t="shared" si="8"/>
        <v>0</v>
      </c>
    </row>
    <row r="239" spans="1:8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217">
        <f>FORMULACION!P212</f>
        <v>3</v>
      </c>
      <c r="G239" s="218"/>
      <c r="H239" s="219">
        <f t="shared" si="8"/>
        <v>0</v>
      </c>
    </row>
    <row r="240" spans="1:8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217">
        <f>FORMULACION!P213</f>
        <v>6</v>
      </c>
      <c r="G240" s="218"/>
      <c r="H240" s="219">
        <f t="shared" si="8"/>
        <v>0</v>
      </c>
    </row>
    <row r="241" spans="1:8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217">
        <f>FORMULACION!P214</f>
        <v>6</v>
      </c>
      <c r="G241" s="218"/>
      <c r="H241" s="219">
        <f t="shared" si="8"/>
        <v>0</v>
      </c>
    </row>
    <row r="242" spans="1:8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217">
        <f>FORMULACION!P215</f>
        <v>6</v>
      </c>
      <c r="G242" s="218"/>
      <c r="H242" s="219">
        <f t="shared" si="8"/>
        <v>0</v>
      </c>
    </row>
    <row r="243" spans="1:8" ht="22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217">
        <f>FORMULACION!P216</f>
        <v>6</v>
      </c>
      <c r="G243" s="218"/>
      <c r="H243" s="219">
        <f t="shared" si="8"/>
        <v>0</v>
      </c>
    </row>
    <row r="244" spans="1:8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217">
        <f>FORMULACION!P217</f>
        <v>6</v>
      </c>
      <c r="G244" s="218"/>
      <c r="H244" s="219">
        <f t="shared" si="8"/>
        <v>0</v>
      </c>
    </row>
    <row r="245" spans="1:8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217">
        <f>FORMULACION!P218</f>
        <v>6</v>
      </c>
      <c r="G245" s="218"/>
      <c r="H245" s="219">
        <f t="shared" si="8"/>
        <v>0</v>
      </c>
    </row>
    <row r="246" spans="1:8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217">
        <f>FORMULACION!P219</f>
        <v>6</v>
      </c>
      <c r="G246" s="218"/>
      <c r="H246" s="219">
        <f t="shared" si="8"/>
        <v>0</v>
      </c>
    </row>
    <row r="247" spans="1:8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217">
        <f>FORMULACION!P220</f>
        <v>6</v>
      </c>
      <c r="G247" s="218"/>
      <c r="H247" s="219">
        <f t="shared" si="8"/>
        <v>0</v>
      </c>
    </row>
    <row r="248" spans="1:8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217">
        <f>FORMULACION!P221</f>
        <v>6</v>
      </c>
      <c r="G248" s="218"/>
      <c r="H248" s="219">
        <f t="shared" si="8"/>
        <v>0</v>
      </c>
    </row>
    <row r="249" spans="1:8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217">
        <f>FORMULACION!P222</f>
        <v>15</v>
      </c>
      <c r="G249" s="218"/>
      <c r="H249" s="219">
        <f t="shared" si="8"/>
        <v>0</v>
      </c>
    </row>
    <row r="250" spans="1:8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217">
        <f>FORMULACION!P223</f>
        <v>3.5</v>
      </c>
      <c r="G250" s="218"/>
      <c r="H250" s="219">
        <f t="shared" si="8"/>
        <v>0</v>
      </c>
    </row>
    <row r="251" spans="1:8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217">
        <f>FORMULACION!P224</f>
        <v>6</v>
      </c>
      <c r="G251" s="218"/>
      <c r="H251" s="219">
        <f t="shared" si="8"/>
        <v>0</v>
      </c>
    </row>
    <row r="252" spans="1:8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217">
        <f>FORMULACION!P225</f>
        <v>7</v>
      </c>
      <c r="G252" s="218"/>
      <c r="H252" s="219">
        <f t="shared" si="8"/>
        <v>0</v>
      </c>
    </row>
    <row r="253" spans="1:8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217">
        <f>FORMULACION!P226</f>
        <v>6</v>
      </c>
      <c r="G253" s="218"/>
      <c r="H253" s="219">
        <f t="shared" si="8"/>
        <v>0</v>
      </c>
    </row>
    <row r="254" spans="1:8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217">
        <f>FORMULACION!P227</f>
        <v>2</v>
      </c>
      <c r="G254" s="218"/>
      <c r="H254" s="219">
        <f t="shared" si="8"/>
        <v>0</v>
      </c>
    </row>
    <row r="255" spans="1:8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217">
        <f>FORMULACION!P228</f>
        <v>2</v>
      </c>
      <c r="G255" s="218"/>
      <c r="H255" s="219">
        <f t="shared" si="8"/>
        <v>0</v>
      </c>
    </row>
    <row r="256" spans="1:8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217">
        <f>FORMULACION!P229</f>
        <v>2</v>
      </c>
      <c r="G256" s="218"/>
      <c r="H256" s="219">
        <f t="shared" si="8"/>
        <v>0</v>
      </c>
    </row>
    <row r="257" spans="1:8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217">
        <f>FORMULACION!P230</f>
        <v>2</v>
      </c>
      <c r="G257" s="218"/>
      <c r="H257" s="219">
        <f t="shared" si="8"/>
        <v>0</v>
      </c>
    </row>
    <row r="258" spans="1:8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217">
        <f>FORMULACION!P231</f>
        <v>2</v>
      </c>
      <c r="G258" s="218"/>
      <c r="H258" s="219">
        <f t="shared" si="8"/>
        <v>0</v>
      </c>
    </row>
    <row r="259" spans="1:8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217">
        <f>FORMULACION!P232</f>
        <v>2</v>
      </c>
      <c r="G259" s="218"/>
      <c r="H259" s="219">
        <f t="shared" si="8"/>
        <v>0</v>
      </c>
    </row>
    <row r="260" spans="1:8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217">
        <f>FORMULACION!P233</f>
        <v>1</v>
      </c>
      <c r="G260" s="218"/>
      <c r="H260" s="219">
        <f t="shared" si="8"/>
        <v>0</v>
      </c>
    </row>
    <row r="261" spans="1:8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217">
        <f>FORMULACION!P234</f>
        <v>1</v>
      </c>
      <c r="G261" s="218"/>
      <c r="H261" s="219">
        <f t="shared" si="8"/>
        <v>0</v>
      </c>
    </row>
    <row r="262" spans="1:8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217">
        <f>FORMULACION!P235</f>
        <v>1</v>
      </c>
      <c r="G262" s="218"/>
      <c r="H262" s="219">
        <f t="shared" si="8"/>
        <v>0</v>
      </c>
    </row>
    <row r="263" spans="1:8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217">
        <f>FORMULACION!P236</f>
        <v>14</v>
      </c>
      <c r="G263" s="218"/>
      <c r="H263" s="219">
        <f t="shared" si="8"/>
        <v>0</v>
      </c>
    </row>
    <row r="264" spans="1:8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217">
        <f>FORMULACION!P237</f>
        <v>14</v>
      </c>
      <c r="G264" s="218"/>
      <c r="H264" s="219">
        <f t="shared" si="8"/>
        <v>0</v>
      </c>
    </row>
    <row r="265" spans="1:8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217">
        <f>FORMULACION!P238</f>
        <v>14</v>
      </c>
      <c r="G265" s="218"/>
      <c r="H265" s="219">
        <f t="shared" si="8"/>
        <v>0</v>
      </c>
    </row>
    <row r="266" spans="1:8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217">
        <f>FORMULACION!P239</f>
        <v>7</v>
      </c>
      <c r="G266" s="218"/>
      <c r="H266" s="219">
        <f t="shared" si="8"/>
        <v>0</v>
      </c>
    </row>
    <row r="267" spans="1:8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217">
        <f>FORMULACION!P240</f>
        <v>7</v>
      </c>
      <c r="G267" s="218"/>
      <c r="H267" s="219">
        <f t="shared" si="8"/>
        <v>0</v>
      </c>
    </row>
    <row r="268" spans="1:8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217">
        <f>FORMULACION!P241</f>
        <v>7</v>
      </c>
      <c r="G268" s="218"/>
      <c r="H268" s="219">
        <f t="shared" si="8"/>
        <v>0</v>
      </c>
    </row>
    <row r="269" spans="1:8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217">
        <f>FORMULACION!P242</f>
        <v>7</v>
      </c>
      <c r="G269" s="218"/>
      <c r="H269" s="219">
        <f t="shared" si="8"/>
        <v>0</v>
      </c>
    </row>
    <row r="270" spans="1:8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217">
        <f>FORMULACION!P243</f>
        <v>7</v>
      </c>
      <c r="G270" s="218"/>
      <c r="H270" s="219">
        <f t="shared" si="8"/>
        <v>0</v>
      </c>
    </row>
    <row r="271" spans="1:8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217">
        <f>FORMULACION!P244</f>
        <v>7</v>
      </c>
      <c r="G271" s="218"/>
      <c r="H271" s="219">
        <f t="shared" si="8"/>
        <v>0</v>
      </c>
    </row>
    <row r="272" spans="1:8" hidden="1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2</v>
      </c>
      <c r="G272" s="57">
        <v>15000</v>
      </c>
      <c r="H272" s="57">
        <f t="shared" ref="H272" si="9">F272*G272</f>
        <v>30000</v>
      </c>
    </row>
    <row r="273" spans="1:8" hidden="1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1</v>
      </c>
      <c r="G286" s="57">
        <v>153000</v>
      </c>
      <c r="H286" s="57">
        <f t="shared" si="10"/>
        <v>153000</v>
      </c>
    </row>
    <row r="287" spans="1:8" hidden="1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1</v>
      </c>
      <c r="G301" s="57">
        <v>6380000</v>
      </c>
      <c r="H301" s="57">
        <f t="shared" si="11"/>
        <v>6380000</v>
      </c>
    </row>
    <row r="302" spans="1:8" hidden="1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1</v>
      </c>
      <c r="G308" s="57">
        <v>315000</v>
      </c>
      <c r="H308" s="57">
        <f t="shared" si="11"/>
        <v>315000</v>
      </c>
    </row>
    <row r="309" spans="1:8" hidden="1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1</v>
      </c>
      <c r="G331" s="57">
        <v>15000</v>
      </c>
      <c r="H331" s="57">
        <f t="shared" si="11"/>
        <v>15000</v>
      </c>
    </row>
    <row r="332" spans="1:8" hidden="1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165</v>
      </c>
      <c r="G336" s="57">
        <v>10000</v>
      </c>
      <c r="H336" s="57">
        <f t="shared" si="11"/>
        <v>1650000</v>
      </c>
    </row>
    <row r="337" spans="1:8" hidden="1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1</v>
      </c>
      <c r="G338" s="57">
        <v>25000</v>
      </c>
      <c r="H338" s="57">
        <f t="shared" si="11"/>
        <v>25000</v>
      </c>
    </row>
    <row r="339" spans="1:8" hidden="1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1</v>
      </c>
      <c r="G339" s="57">
        <v>60000</v>
      </c>
      <c r="H339" s="57">
        <f t="shared" si="11"/>
        <v>60000</v>
      </c>
    </row>
    <row r="340" spans="1:8" hidden="1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1</v>
      </c>
      <c r="G340" s="57">
        <v>160000</v>
      </c>
      <c r="H340" s="57">
        <f t="shared" si="11"/>
        <v>160000</v>
      </c>
    </row>
    <row r="341" spans="1:8" hidden="1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3</v>
      </c>
      <c r="G353" s="57">
        <v>180000</v>
      </c>
      <c r="H353" s="57">
        <f t="shared" si="12"/>
        <v>540000</v>
      </c>
    </row>
    <row r="354" spans="1:8" hidden="1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10</v>
      </c>
      <c r="G360" s="57">
        <v>35000</v>
      </c>
      <c r="H360" s="57">
        <f t="shared" si="12"/>
        <v>350000</v>
      </c>
    </row>
    <row r="361" spans="1:8" hidden="1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11</v>
      </c>
      <c r="G471" s="57">
        <v>220000</v>
      </c>
      <c r="H471" s="57">
        <f t="shared" si="15"/>
        <v>2420000</v>
      </c>
    </row>
    <row r="472" spans="1:8" hidden="1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t="22" hidden="1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2</v>
      </c>
      <c r="G492" s="57">
        <v>25000</v>
      </c>
      <c r="H492" s="57">
        <f t="shared" si="15"/>
        <v>50000</v>
      </c>
    </row>
    <row r="493" spans="1:8" hidden="1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2</v>
      </c>
      <c r="G510" s="57">
        <v>23000</v>
      </c>
      <c r="H510" s="57">
        <f t="shared" si="15"/>
        <v>46000</v>
      </c>
    </row>
    <row r="511" spans="1:8" hidden="1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2</v>
      </c>
      <c r="G511" s="57">
        <v>15000</v>
      </c>
      <c r="H511" s="57">
        <f t="shared" si="15"/>
        <v>30000</v>
      </c>
    </row>
    <row r="512" spans="1:8" hidden="1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1</v>
      </c>
      <c r="G524" s="57">
        <v>95000</v>
      </c>
      <c r="H524" s="57">
        <f t="shared" si="16"/>
        <v>95000</v>
      </c>
    </row>
    <row r="525" spans="1:8" hidden="1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1</v>
      </c>
      <c r="G537" s="57">
        <v>2300000</v>
      </c>
      <c r="H537" s="57">
        <f t="shared" si="17"/>
        <v>2300000</v>
      </c>
    </row>
    <row r="538" spans="1:8" hidden="1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1</v>
      </c>
      <c r="G544" s="57">
        <v>3000000</v>
      </c>
      <c r="H544" s="57">
        <f t="shared" si="17"/>
        <v>3000000</v>
      </c>
    </row>
    <row r="545" spans="1:8" hidden="1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165</v>
      </c>
      <c r="G555" s="57">
        <v>17000</v>
      </c>
      <c r="H555" s="57">
        <f t="shared" si="17"/>
        <v>2805000</v>
      </c>
    </row>
    <row r="556" spans="1:8" hidden="1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1</v>
      </c>
      <c r="G567" s="57">
        <v>19000</v>
      </c>
      <c r="H567" s="57">
        <f t="shared" si="17"/>
        <v>19000</v>
      </c>
    </row>
    <row r="568" spans="1:8" hidden="1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1</v>
      </c>
      <c r="G576" s="57">
        <v>64000</v>
      </c>
      <c r="H576" s="57">
        <f t="shared" si="17"/>
        <v>64000</v>
      </c>
    </row>
    <row r="577" spans="1:8" hidden="1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1</v>
      </c>
      <c r="G578" s="57">
        <v>60000</v>
      </c>
      <c r="H578" s="57">
        <f t="shared" si="17"/>
        <v>60000</v>
      </c>
    </row>
    <row r="579" spans="1:8" hidden="1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3</v>
      </c>
      <c r="G594" s="57">
        <v>45000</v>
      </c>
      <c r="H594" s="57">
        <f t="shared" si="18"/>
        <v>135000</v>
      </c>
    </row>
    <row r="595" spans="1:8" hidden="1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t="22" hidden="1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11</v>
      </c>
      <c r="G718" s="57">
        <v>75000</v>
      </c>
      <c r="H718" s="57">
        <f t="shared" si="21"/>
        <v>825000</v>
      </c>
    </row>
    <row r="719" spans="1:8" hidden="1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2</v>
      </c>
      <c r="G749" s="57">
        <v>23000</v>
      </c>
      <c r="H749" s="57">
        <f t="shared" si="21"/>
        <v>46000</v>
      </c>
    </row>
    <row r="750" spans="1:8" hidden="1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1</v>
      </c>
      <c r="G762" s="57">
        <v>58000</v>
      </c>
      <c r="H762" s="57">
        <f t="shared" si="22"/>
        <v>58000</v>
      </c>
    </row>
    <row r="763" spans="1:8" hidden="1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1</v>
      </c>
      <c r="G777" s="57">
        <v>10200000</v>
      </c>
      <c r="H777" s="57">
        <f t="shared" si="23"/>
        <v>10200000</v>
      </c>
    </row>
    <row r="778" spans="1:8" hidden="1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1</v>
      </c>
      <c r="G784" s="57">
        <v>1600000</v>
      </c>
      <c r="H784" s="57">
        <f t="shared" si="23"/>
        <v>1600000</v>
      </c>
    </row>
    <row r="785" spans="1:8" hidden="1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1</v>
      </c>
      <c r="G808" s="57">
        <v>18000</v>
      </c>
      <c r="H808" s="57">
        <f t="shared" si="23"/>
        <v>18000</v>
      </c>
    </row>
    <row r="809" spans="1:8" hidden="1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165</v>
      </c>
      <c r="G809" s="57">
        <v>15000</v>
      </c>
      <c r="H809" s="57">
        <f t="shared" si="23"/>
        <v>2475000</v>
      </c>
    </row>
    <row r="810" spans="1:8" hidden="1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1</v>
      </c>
      <c r="G815" s="57">
        <v>64000</v>
      </c>
      <c r="H815" s="57">
        <f t="shared" si="23"/>
        <v>64000</v>
      </c>
    </row>
    <row r="816" spans="1:8" hidden="1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1</v>
      </c>
      <c r="G816" s="57">
        <v>25000</v>
      </c>
      <c r="H816" s="57">
        <f t="shared" si="23"/>
        <v>25000</v>
      </c>
    </row>
    <row r="817" spans="1:8" hidden="1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3</v>
      </c>
      <c r="G836" s="57">
        <v>40000</v>
      </c>
      <c r="H836" s="57">
        <f t="shared" si="24"/>
        <v>120000</v>
      </c>
    </row>
    <row r="837" spans="1:8" hidden="1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t="22" hidden="1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1</v>
      </c>
      <c r="G1000" s="57">
        <v>42000</v>
      </c>
      <c r="H1000" s="57">
        <f t="shared" si="28"/>
        <v>42000</v>
      </c>
    </row>
    <row r="1001" spans="1:8" hidden="1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1</v>
      </c>
      <c r="G1011" s="57">
        <v>950000</v>
      </c>
      <c r="H1011" s="57">
        <f t="shared" si="29"/>
        <v>950000</v>
      </c>
    </row>
    <row r="1012" spans="1:8" hidden="1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1</v>
      </c>
      <c r="G1024" s="57">
        <v>230000</v>
      </c>
      <c r="H1024" s="57">
        <f t="shared" si="29"/>
        <v>230000</v>
      </c>
    </row>
    <row r="1025" spans="1:8" hidden="1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1</v>
      </c>
      <c r="G1042" s="57">
        <v>59000</v>
      </c>
      <c r="H1042" s="57">
        <f t="shared" si="29"/>
        <v>59000</v>
      </c>
    </row>
    <row r="1043" spans="1:8" hidden="1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165</v>
      </c>
      <c r="G1045" s="57">
        <v>19000</v>
      </c>
      <c r="H1045" s="57">
        <f t="shared" si="29"/>
        <v>3135000</v>
      </c>
    </row>
    <row r="1046" spans="1:8" hidden="1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1</v>
      </c>
      <c r="G1053" s="57">
        <v>10000</v>
      </c>
      <c r="H1053" s="57">
        <f t="shared" si="29"/>
        <v>10000</v>
      </c>
    </row>
    <row r="1054" spans="1:8" hidden="1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1</v>
      </c>
      <c r="G1055" s="57">
        <v>25000</v>
      </c>
      <c r="H1055" s="57">
        <f t="shared" si="29"/>
        <v>25000</v>
      </c>
    </row>
    <row r="1056" spans="1:8" hidden="1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3</v>
      </c>
      <c r="G1076" s="57">
        <v>32000</v>
      </c>
      <c r="H1076" s="57">
        <f t="shared" si="30"/>
        <v>96000</v>
      </c>
    </row>
    <row r="1077" spans="1:8" hidden="1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t="22" hidden="1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10</v>
      </c>
      <c r="G1163" s="57">
        <v>20000</v>
      </c>
      <c r="H1163" s="57">
        <f t="shared" si="32"/>
        <v>200000</v>
      </c>
    </row>
    <row r="1164" spans="1:8" hidden="1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11</v>
      </c>
      <c r="G1191" s="57">
        <v>320000</v>
      </c>
      <c r="H1191" s="57">
        <f t="shared" si="33"/>
        <v>3520000</v>
      </c>
    </row>
    <row r="1192" spans="1:8" hidden="1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 xr:uid="{00000000-0009-0000-0000-000002000000}">
    <filterColumn colId="1">
      <filters>
        <filter val="INSTITUCIONAL"/>
      </filters>
    </filterColumn>
  </autoFilter>
  <sortState ref="B43:G296">
    <sortCondition ref="B43:B296"/>
    <sortCondition ref="C43:C296"/>
    <sortCondition ref="D43:D296"/>
  </sortState>
  <mergeCells count="291"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</mergeCells>
  <pageMargins left="0.47244094488188981" right="0.39370078740157483" top="0.74803149606299213" bottom="0.74803149606299213" header="0.31496062992125984" footer="0.31496062992125984"/>
  <pageSetup scale="56" fitToHeight="0" orientation="portrait" horizontalDpi="4294967295" verticalDpi="4294967295" r:id="rId1"/>
  <headerFooter>
    <oddFooter>&amp;R&amp;P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118"/>
  <sheetViews>
    <sheetView workbookViewId="0">
      <selection activeCell="A11" sqref="A11"/>
    </sheetView>
  </sheetViews>
  <sheetFormatPr baseColWidth="10" defaultColWidth="11.5" defaultRowHeight="15"/>
  <cols>
    <col min="3" max="3" width="11.5" customWidth="1"/>
  </cols>
  <sheetData>
    <row r="1" spans="1:1">
      <c r="A1">
        <v>130</v>
      </c>
    </row>
    <row r="2" spans="1:1">
      <c r="A2">
        <v>241</v>
      </c>
    </row>
    <row r="3" spans="1:1">
      <c r="A3">
        <f>A2-A1</f>
        <v>111</v>
      </c>
    </row>
    <row r="7" spans="1:1">
      <c r="A7">
        <v>130</v>
      </c>
    </row>
    <row r="8" spans="1:1">
      <c r="A8">
        <v>131</v>
      </c>
    </row>
    <row r="9" spans="1:1">
      <c r="A9">
        <v>132</v>
      </c>
    </row>
    <row r="10" spans="1:1">
      <c r="A10">
        <v>133</v>
      </c>
    </row>
    <row r="11" spans="1:1">
      <c r="A11">
        <v>134</v>
      </c>
    </row>
    <row r="12" spans="1:1">
      <c r="A12">
        <v>135</v>
      </c>
    </row>
    <row r="13" spans="1:1">
      <c r="A13">
        <v>136</v>
      </c>
    </row>
    <row r="14" spans="1:1">
      <c r="A14">
        <v>137</v>
      </c>
    </row>
    <row r="15" spans="1:1">
      <c r="A15">
        <v>138</v>
      </c>
    </row>
    <row r="16" spans="1:1">
      <c r="A16">
        <v>139</v>
      </c>
    </row>
    <row r="17" spans="1:1">
      <c r="A17">
        <v>140</v>
      </c>
    </row>
    <row r="18" spans="1:1">
      <c r="A18">
        <v>141</v>
      </c>
    </row>
    <row r="19" spans="1:1">
      <c r="A19">
        <v>142</v>
      </c>
    </row>
    <row r="20" spans="1:1">
      <c r="A20">
        <v>143</v>
      </c>
    </row>
    <row r="21" spans="1:1">
      <c r="A21">
        <v>144</v>
      </c>
    </row>
    <row r="22" spans="1:1">
      <c r="A22">
        <v>145</v>
      </c>
    </row>
    <row r="23" spans="1:1">
      <c r="A23">
        <v>146</v>
      </c>
    </row>
    <row r="24" spans="1:1">
      <c r="A24">
        <v>147</v>
      </c>
    </row>
    <row r="25" spans="1:1">
      <c r="A25">
        <v>148</v>
      </c>
    </row>
    <row r="26" spans="1:1">
      <c r="A26">
        <v>149</v>
      </c>
    </row>
    <row r="27" spans="1:1">
      <c r="A27">
        <v>150</v>
      </c>
    </row>
    <row r="28" spans="1:1">
      <c r="A28">
        <v>151</v>
      </c>
    </row>
    <row r="29" spans="1:1">
      <c r="A29">
        <v>152</v>
      </c>
    </row>
    <row r="30" spans="1:1">
      <c r="A30">
        <v>153</v>
      </c>
    </row>
    <row r="31" spans="1:1">
      <c r="A31">
        <v>154</v>
      </c>
    </row>
    <row r="32" spans="1:1">
      <c r="A32">
        <v>155</v>
      </c>
    </row>
    <row r="33" spans="1:1">
      <c r="A33">
        <v>156</v>
      </c>
    </row>
    <row r="34" spans="1:1">
      <c r="A34">
        <v>157</v>
      </c>
    </row>
    <row r="35" spans="1:1">
      <c r="A35">
        <v>158</v>
      </c>
    </row>
    <row r="36" spans="1:1">
      <c r="A36">
        <v>159</v>
      </c>
    </row>
    <row r="37" spans="1:1">
      <c r="A37">
        <v>160</v>
      </c>
    </row>
    <row r="38" spans="1:1">
      <c r="A38">
        <v>161</v>
      </c>
    </row>
    <row r="39" spans="1:1">
      <c r="A39">
        <v>162</v>
      </c>
    </row>
    <row r="40" spans="1:1">
      <c r="A40">
        <v>163</v>
      </c>
    </row>
    <row r="41" spans="1:1">
      <c r="A41">
        <v>164</v>
      </c>
    </row>
    <row r="42" spans="1:1">
      <c r="A42">
        <v>165</v>
      </c>
    </row>
    <row r="43" spans="1:1">
      <c r="A43">
        <v>166</v>
      </c>
    </row>
    <row r="44" spans="1:1">
      <c r="A44">
        <v>167</v>
      </c>
    </row>
    <row r="45" spans="1:1">
      <c r="A45">
        <v>168</v>
      </c>
    </row>
    <row r="46" spans="1:1">
      <c r="A46">
        <v>169</v>
      </c>
    </row>
    <row r="47" spans="1:1">
      <c r="A47">
        <v>170</v>
      </c>
    </row>
    <row r="48" spans="1:1">
      <c r="A48">
        <v>171</v>
      </c>
    </row>
    <row r="49" spans="1:1">
      <c r="A49">
        <v>172</v>
      </c>
    </row>
    <row r="50" spans="1:1">
      <c r="A50">
        <v>173</v>
      </c>
    </row>
    <row r="51" spans="1:1">
      <c r="A51">
        <v>174</v>
      </c>
    </row>
    <row r="52" spans="1:1">
      <c r="A52">
        <v>175</v>
      </c>
    </row>
    <row r="53" spans="1:1">
      <c r="A53">
        <v>176</v>
      </c>
    </row>
    <row r="54" spans="1:1">
      <c r="A54">
        <v>177</v>
      </c>
    </row>
    <row r="55" spans="1:1">
      <c r="A55">
        <v>178</v>
      </c>
    </row>
    <row r="56" spans="1:1">
      <c r="A56">
        <v>179</v>
      </c>
    </row>
    <row r="57" spans="1:1">
      <c r="A57">
        <v>180</v>
      </c>
    </row>
    <row r="58" spans="1:1">
      <c r="A58">
        <v>181</v>
      </c>
    </row>
    <row r="59" spans="1:1">
      <c r="A59">
        <v>182</v>
      </c>
    </row>
    <row r="60" spans="1:1">
      <c r="A60">
        <v>183</v>
      </c>
    </row>
    <row r="61" spans="1:1">
      <c r="A61">
        <v>184</v>
      </c>
    </row>
    <row r="62" spans="1:1">
      <c r="A62">
        <v>185</v>
      </c>
    </row>
    <row r="63" spans="1:1">
      <c r="A63">
        <v>186</v>
      </c>
    </row>
    <row r="64" spans="1:1">
      <c r="A64">
        <v>187</v>
      </c>
    </row>
    <row r="65" spans="1:1">
      <c r="A65">
        <v>188</v>
      </c>
    </row>
    <row r="66" spans="1:1">
      <c r="A66">
        <v>189</v>
      </c>
    </row>
    <row r="67" spans="1:1">
      <c r="A67">
        <v>190</v>
      </c>
    </row>
    <row r="68" spans="1:1">
      <c r="A68">
        <v>191</v>
      </c>
    </row>
    <row r="69" spans="1:1">
      <c r="A69">
        <v>192</v>
      </c>
    </row>
    <row r="70" spans="1:1">
      <c r="A70">
        <v>193</v>
      </c>
    </row>
    <row r="71" spans="1:1">
      <c r="A71">
        <v>194</v>
      </c>
    </row>
    <row r="72" spans="1:1">
      <c r="A72">
        <v>195</v>
      </c>
    </row>
    <row r="73" spans="1:1">
      <c r="A73">
        <v>196</v>
      </c>
    </row>
    <row r="74" spans="1:1">
      <c r="A74">
        <v>197</v>
      </c>
    </row>
    <row r="75" spans="1:1">
      <c r="A75">
        <v>198</v>
      </c>
    </row>
    <row r="76" spans="1:1">
      <c r="A76">
        <v>199</v>
      </c>
    </row>
    <row r="77" spans="1:1">
      <c r="A77">
        <v>200</v>
      </c>
    </row>
    <row r="78" spans="1:1">
      <c r="A78">
        <v>201</v>
      </c>
    </row>
    <row r="79" spans="1:1">
      <c r="A79">
        <v>202</v>
      </c>
    </row>
    <row r="80" spans="1:1">
      <c r="A80">
        <v>203</v>
      </c>
    </row>
    <row r="81" spans="1:1">
      <c r="A81">
        <v>204</v>
      </c>
    </row>
    <row r="82" spans="1:1">
      <c r="A82">
        <v>205</v>
      </c>
    </row>
    <row r="83" spans="1:1">
      <c r="A83">
        <v>206</v>
      </c>
    </row>
    <row r="84" spans="1:1">
      <c r="A84">
        <v>207</v>
      </c>
    </row>
    <row r="85" spans="1:1">
      <c r="A85">
        <v>208</v>
      </c>
    </row>
    <row r="86" spans="1:1">
      <c r="A86">
        <v>209</v>
      </c>
    </row>
    <row r="87" spans="1:1">
      <c r="A87">
        <v>210</v>
      </c>
    </row>
    <row r="88" spans="1:1">
      <c r="A88">
        <v>211</v>
      </c>
    </row>
    <row r="89" spans="1:1">
      <c r="A89">
        <v>212</v>
      </c>
    </row>
    <row r="90" spans="1:1">
      <c r="A90">
        <v>213</v>
      </c>
    </row>
    <row r="91" spans="1:1">
      <c r="A91">
        <v>214</v>
      </c>
    </row>
    <row r="92" spans="1:1">
      <c r="A92">
        <v>215</v>
      </c>
    </row>
    <row r="93" spans="1:1">
      <c r="A93">
        <v>216</v>
      </c>
    </row>
    <row r="94" spans="1:1">
      <c r="A94">
        <v>217</v>
      </c>
    </row>
    <row r="95" spans="1:1">
      <c r="A95">
        <v>218</v>
      </c>
    </row>
    <row r="96" spans="1:1">
      <c r="A96">
        <v>219</v>
      </c>
    </row>
    <row r="97" spans="1:1">
      <c r="A97">
        <v>220</v>
      </c>
    </row>
    <row r="98" spans="1:1">
      <c r="A98">
        <v>221</v>
      </c>
    </row>
    <row r="99" spans="1:1">
      <c r="A99">
        <v>222</v>
      </c>
    </row>
    <row r="100" spans="1:1">
      <c r="A100">
        <v>223</v>
      </c>
    </row>
    <row r="101" spans="1:1">
      <c r="A101">
        <v>224</v>
      </c>
    </row>
    <row r="102" spans="1:1">
      <c r="A102">
        <v>225</v>
      </c>
    </row>
    <row r="103" spans="1:1">
      <c r="A103">
        <v>226</v>
      </c>
    </row>
    <row r="104" spans="1:1">
      <c r="A104">
        <v>227</v>
      </c>
    </row>
    <row r="105" spans="1:1">
      <c r="A105">
        <v>228</v>
      </c>
    </row>
    <row r="106" spans="1:1">
      <c r="A106">
        <v>229</v>
      </c>
    </row>
    <row r="107" spans="1:1">
      <c r="A107">
        <v>230</v>
      </c>
    </row>
    <row r="108" spans="1:1">
      <c r="A108">
        <v>231</v>
      </c>
    </row>
    <row r="109" spans="1:1">
      <c r="A109">
        <v>232</v>
      </c>
    </row>
    <row r="110" spans="1:1">
      <c r="A110">
        <v>233</v>
      </c>
    </row>
    <row r="111" spans="1:1">
      <c r="A111">
        <v>234</v>
      </c>
    </row>
    <row r="112" spans="1:1">
      <c r="A112">
        <v>235</v>
      </c>
    </row>
    <row r="113" spans="1:1">
      <c r="A113">
        <v>236</v>
      </c>
    </row>
    <row r="114" spans="1:1">
      <c r="A114">
        <v>237</v>
      </c>
    </row>
    <row r="115" spans="1:1">
      <c r="A115">
        <v>238</v>
      </c>
    </row>
    <row r="116" spans="1:1">
      <c r="A116">
        <v>239</v>
      </c>
    </row>
    <row r="117" spans="1:1">
      <c r="A117">
        <v>240</v>
      </c>
    </row>
    <row r="118" spans="1:1">
      <c r="A118">
        <v>241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5</vt:i4>
      </vt:variant>
    </vt:vector>
  </HeadingPairs>
  <TitlesOfParts>
    <vt:vector size="9" baseType="lpstr">
      <vt:lpstr>INFORMACION BASE</vt:lpstr>
      <vt:lpstr>FORMULACION</vt:lpstr>
      <vt:lpstr>FORMATO </vt:lpstr>
      <vt:lpstr>Hoja1</vt:lpstr>
      <vt:lpstr>'FORMATO '!Área_de_impresión</vt:lpstr>
      <vt:lpstr>'INFORMACION BASE'!Área_de_impresión</vt:lpstr>
      <vt:lpstr>Clima</vt:lpstr>
      <vt:lpstr>'FORMATO '!Regional</vt:lpstr>
      <vt:lpstr>'INFORMACION BASE'!Regional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Microsoft Office User</cp:lastModifiedBy>
  <cp:lastPrinted>2019-04-30T14:05:05Z</cp:lastPrinted>
  <dcterms:created xsi:type="dcterms:W3CDTF">2015-12-30T16:21:58Z</dcterms:created>
  <dcterms:modified xsi:type="dcterms:W3CDTF">2019-04-30T14:08:30Z</dcterms:modified>
</cp:coreProperties>
</file>