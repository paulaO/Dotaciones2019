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drea Ospina Patiño\Documents\GitHub\Dotaciones2019\5.GestionDotaciones\IdentificacionNecesidades\"/>
    </mc:Choice>
  </mc:AlternateContent>
  <xr:revisionPtr revIDLastSave="0" documentId="13_ncr:1_{9EFE0B83-EDCE-4E7D-8617-60291D2F1C99}" xr6:coauthVersionLast="40" xr6:coauthVersionMax="40" xr10:uidLastSave="{00000000-0000-0000-0000-000000000000}"/>
  <bookViews>
    <workbookView xWindow="0" yWindow="0" windowWidth="20415" windowHeight="6180" tabRatio="776" xr2:uid="{00000000-000D-0000-FFFF-FFFF00000000}"/>
  </bookViews>
  <sheets>
    <sheet name="INFORMACION BASE" sheetId="2" r:id="rId1"/>
    <sheet name="FORMULACION" sheetId="1" state="hidden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<sst xmlns="http://schemas.openxmlformats.org/spreadsheetml/2006/main" count="9643" uniqueCount="741">
  <si>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</si>
  <si>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</si>
  <si>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</si>
  <si>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</si>
  <si>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</si>
  <si>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</si>
  <si>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</si>
  <si>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</si>
  <si>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</si>
  <si>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</si>
  <si>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</si>
  <si>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</si>
  <si>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</si>
  <si>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</si>
  <si>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</si>
  <si>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</si>
  <si>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</si>
  <si>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</si>
  <si>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</si>
  <si>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</si>
  <si>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</si>
  <si>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</si>
  <si>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</si>
  <si>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</si>
  <si>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</si>
  <si>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</si>
  <si>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</si>
  <si>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</si>
  <si>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</si>
  <si>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</si>
  <si>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</si>
  <si>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</si>
  <si>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</si>
  <si>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</si>
  <si>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</si>
  <si>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</si>
  <si>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</si>
  <si>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</si>
  <si>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</si>
  <si>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</si>
  <si>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</si>
  <si>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</si>
  <si>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</si>
  <si>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</si>
  <si>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</si>
  <si>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</si>
  <si>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</si>
  <si>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</si>
  <si>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</si>
  <si>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</si>
  <si>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</si>
  <si>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</si>
  <si>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</si>
  <si>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</si>
  <si>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</si>
  <si>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</si>
  <si>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</si>
  <si>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</si>
  <si>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</si>
  <si>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</si>
  <si>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</si>
  <si>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</si>
  <si>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</si>
  <si>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</si>
  <si>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</si>
  <si>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</si>
  <si>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</si>
  <si>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</si>
  <si>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</si>
  <si>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</si>
  <si>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</si>
  <si>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</si>
  <si>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</si>
  <si>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</si>
  <si>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</si>
  <si>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</si>
  <si>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</si>
  <si>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</si>
  <si>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</si>
  <si>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</si>
  <si>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</si>
  <si>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</si>
  <si>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</si>
  <si>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</si>
  <si>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</si>
  <si>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</si>
  <si>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</si>
  <si>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</si>
  <si>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</si>
  <si>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</si>
  <si>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</si>
  <si>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</si>
  <si>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</si>
  <si>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</si>
  <si>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</si>
  <si>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</si>
  <si>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</si>
  <si>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</si>
  <si>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</si>
  <si>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</si>
  <si>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</si>
  <si>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</si>
  <si>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</si>
  <si>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</si>
  <si>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</si>
  <si>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</si>
  <si>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</si>
  <si>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</si>
  <si>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</si>
  <si>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</si>
  <si>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</si>
  <si>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</si>
  <si>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</si>
  <si>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</si>
  <si>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</si>
  <si>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</si>
  <si>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</si>
  <si>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</si>
  <si>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</si>
  <si>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</si>
  <si>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</si>
  <si>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</si>
  <si>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</si>
  <si>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</si>
  <si>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</si>
  <si>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</si>
  <si>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</si>
  <si>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</si>
  <si>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</si>
  <si>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</si>
  <si>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</si>
  <si>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</si>
  <si>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</si>
  <si>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</si>
  <si>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</si>
  <si>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</si>
  <si>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</si>
  <si>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</si>
  <si>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</si>
  <si>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</si>
  <si>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</si>
  <si>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</si>
  <si>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</si>
  <si>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</si>
  <si>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</si>
  <si>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</si>
  <si>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</si>
  <si>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</si>
  <si>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</si>
  <si>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</si>
  <si>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</si>
  <si>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</si>
  <si>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</si>
  <si>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</si>
  <si>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</si>
  <si>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</si>
  <si>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</si>
  <si>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</si>
  <si>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</si>
  <si>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</si>
  <si>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</si>
  <si>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</si>
  <si>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</si>
  <si>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</si>
  <si>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</si>
  <si>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</si>
  <si>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</si>
  <si>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</si>
  <si>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</si>
  <si>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</si>
  <si>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</si>
  <si>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</si>
  <si>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</si>
  <si>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</si>
  <si>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</si>
  <si>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</si>
  <si>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</si>
  <si>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</si>
  <si>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</si>
  <si>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</si>
  <si>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</si>
  <si>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</si>
  <si>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</si>
  <si>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</si>
  <si>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</si>
  <si>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</si>
  <si>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</si>
  <si>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</si>
  <si>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</si>
  <si>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</si>
  <si>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</si>
  <si>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</si>
  <si>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</si>
  <si>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</si>
  <si>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</si>
  <si>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</si>
  <si>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</si>
  <si>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</si>
  <si>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</si>
  <si>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</si>
  <si>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</si>
  <si>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</si>
  <si>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</si>
  <si>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</si>
  <si>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</si>
  <si>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</si>
  <si>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</si>
  <si>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</si>
  <si>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</si>
  <si>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</si>
  <si>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</si>
  <si>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</si>
  <si>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</si>
  <si>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</si>
  <si>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</si>
  <si>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</si>
  <si>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</si>
  <si>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</si>
  <si>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</si>
  <si>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</si>
  <si>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</si>
  <si>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</si>
  <si>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</si>
  <si>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</si>
  <si>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</si>
  <si>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</si>
  <si>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</si>
  <si>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</si>
  <si>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</si>
  <si>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</si>
  <si>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</si>
  <si>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</si>
  <si>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</si>
  <si>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Lenceria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</si>
  <si>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</si>
  <si>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</si>
  <si>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</si>
  <si>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</si>
  <si>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</si>
  <si>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</si>
  <si>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</si>
  <si>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</si>
  <si>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</si>
  <si>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</si>
  <si>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</si>
  <si>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</si>
  <si>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</si>
  <si>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</si>
  <si>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</si>
  <si>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</si>
  <si>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</si>
  <si>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</si>
  <si>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</si>
  <si>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</si>
  <si>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</si>
  <si>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</si>
  <si>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</si>
  <si>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</si>
  <si>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</si>
  <si>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</si>
  <si>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</si>
  <si>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</si>
  <si>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</si>
  <si>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</si>
  <si>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</si>
  <si>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</si>
  <si>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</si>
  <si>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</si>
  <si>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</si>
  <si>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</si>
  <si>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</si>
  <si>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</si>
  <si>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</si>
  <si>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</si>
  <si>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</si>
  <si>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</si>
  <si>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</si>
  <si>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</si>
  <si>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</si>
  <si>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</si>
  <si>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</si>
  <si>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</si>
  <si>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</si>
  <si>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</si>
  <si>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</si>
  <si>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</si>
  <si>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</si>
  <si>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</si>
  <si>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</si>
  <si>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</si>
  <si>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</si>
  <si>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</si>
  <si>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</si>
  <si>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</si>
  <si>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</si>
  <si>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</si>
  <si>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</si>
  <si>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</si>
  <si>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</si>
  <si>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</si>
  <si>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</si>
  <si>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</si>
  <si>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</si>
  <si>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</si>
  <si>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</si>
  <si>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</si>
  <si>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</si>
  <si>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</si>
  <si>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</si>
  <si>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</si>
  <si>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</si>
  <si>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</si>
  <si>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</si>
  <si>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</si>
  <si>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</si>
  <si>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</si>
  <si>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</si>
  <si>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</si>
  <si>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</si>
  <si>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</si>
  <si>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</si>
  <si>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</si>
  <si>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</si>
  <si>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</si>
  <si>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</si>
  <si>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</si>
  <si>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</si>
  <si>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</si>
  <si>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</si>
  <si>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</si>
  <si>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</si>
  <si>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</si>
  <si>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</si>
  <si>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</si>
  <si>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</si>
  <si>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</si>
  <si>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</si>
  <si>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</si>
  <si>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</si>
  <si>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</si>
  <si>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</si>
  <si>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</si>
  <si>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</si>
  <si>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</si>
  <si>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</si>
  <si>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</si>
  <si>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</si>
  <si>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</si>
  <si>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</si>
  <si>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</si>
  <si>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</si>
  <si>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</si>
  <si>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</si>
  <si>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</si>
  <si>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</si>
  <si>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</si>
  <si>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</si>
  <si>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</si>
  <si>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</si>
  <si>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</si>
  <si>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</si>
  <si>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</si>
  <si>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</si>
  <si>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</si>
  <si>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</si>
  <si>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</si>
  <si>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</si>
  <si>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</si>
  <si>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</si>
  <si>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</si>
  <si>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</si>
  <si>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</si>
  <si>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</si>
  <si>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</si>
  <si>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</si>
  <si>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</si>
  <si>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</si>
  <si>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</si>
  <si>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</si>
  <si>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</si>
  <si>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</si>
  <si>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</si>
  <si>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</si>
  <si>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</si>
  <si>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</si>
  <si>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</si>
  <si>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</si>
  <si>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</si>
  <si>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</si>
  <si>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</si>
  <si>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</si>
  <si>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</si>
  <si>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</si>
  <si>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</si>
  <si>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</si>
  <si>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</si>
  <si>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</si>
  <si>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</si>
  <si>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</si>
  <si>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</si>
  <si>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</si>
  <si>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</si>
  <si>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</si>
  <si>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</si>
  <si>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</si>
  <si>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</si>
  <si>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</si>
  <si>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</si>
  <si>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</si>
  <si>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</si>
  <si>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</si>
  <si>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</si>
  <si>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</si>
  <si>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</si>
  <si>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</si>
  <si>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</si>
  <si>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</si>
  <si>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</si>
  <si>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</si>
  <si>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</si>
  <si>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</si>
  <si>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</si>
  <si>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</si>
  <si>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</si>
  <si>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</si>
  <si>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</si>
  <si>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</si>
  <si>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</si>
  <si>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</si>
  <si>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</si>
  <si>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</si>
  <si>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</si>
  <si>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</si>
  <si>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</si>
  <si>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</si>
  <si>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</si>
  <si>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</si>
  <si>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</si>
  <si>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</si>
  <si>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</si>
  <si>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</si>
  <si>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</si>
  <si>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</si>
  <si>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</si>
  <si>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</si>
  <si>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</si>
  <si>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</si>
  <si>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</si>
  <si>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</si>
  <si>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</si>
  <si>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</si>
  <si>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</si>
  <si>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</si>
  <si>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</si>
  <si>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</si>
  <si>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</si>
  <si>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</si>
  <si>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</si>
  <si>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</si>
  <si>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</si>
  <si>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</si>
  <si>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</si>
  <si>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</si>
  <si>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</si>
  <si>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</si>
  <si>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</si>
  <si>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</si>
  <si>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</si>
  <si>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</si>
  <si>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</si>
  <si>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</si>
  <si>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</si>
  <si>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</si>
  <si>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</si>
  <si>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</si>
  <si>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</si>
  <si>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</si>
  <si>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</si>
  <si>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</si>
  <si>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</si>
  <si>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</si>
  <si>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</si>
  <si>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</si>
  <si>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</si>
  <si>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</si>
  <si>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</si>
  <si>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</si>
  <si>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</si>
  <si>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</si>
  <si>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</si>
  <si>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</si>
  <si>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</si>
  <si>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</si>
  <si>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</si>
  <si>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</si>
  <si>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</si>
  <si>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</si>
  <si>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</si>
  <si>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</si>
  <si>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</si>
  <si>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</si>
  <si>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</si>
  <si>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</si>
  <si>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</si>
  <si>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</si>
  <si>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</si>
  <si>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</si>
  <si>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</si>
  <si>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</si>
  <si>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</si>
  <si>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</si>
  <si>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</si>
  <si>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</si>
  <si>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</si>
  <si>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</si>
  <si>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</si>
  <si>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</si>
  <si>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</si>
  <si>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</si>
  <si>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</si>
  <si>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</si>
  <si>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</si>
  <si>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</si>
  <si>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</si>
  <si>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</si>
  <si>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</si>
  <si>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</si>
  <si>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</si>
  <si>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</si>
  <si>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</si>
  <si>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</si>
  <si>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</si>
  <si>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</si>
  <si>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</si>
  <si>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</si>
  <si>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</si>
  <si>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</si>
  <si>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</si>
  <si>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</si>
  <si>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</si>
  <si>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</si>
  <si>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</si>
  <si>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</si>
  <si>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</si>
  <si>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</si>
  <si>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</si>
  <si>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</si>
  <si>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</si>
  <si>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</si>
  <si>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</si>
  <si>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</si>
  <si>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</si>
  <si>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</si>
  <si>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</si>
  <si>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</si>
  <si>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</si>
  <si>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</si>
  <si>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</si>
  <si>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</si>
  <si>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</si>
  <si>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</si>
  <si>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</si>
  <si>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</si>
  <si>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</si>
  <si>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</si>
  <si>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</si>
  <si>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</si>
  <si>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</si>
  <si>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</si>
  <si>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</si>
  <si>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</si>
  <si>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</si>
  <si>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</si>
  <si>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</si>
  <si>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</si>
  <si>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</si>
  <si>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</si>
  <si>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</si>
  <si>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</si>
  <si>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</si>
  <si>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</si>
  <si>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</si>
  <si>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</si>
  <si>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</si>
  <si>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</si>
  <si>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</si>
  <si>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</si>
  <si>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</si>
  <si>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</si>
  <si>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</si>
  <si>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</si>
  <si>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</si>
  <si>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</si>
  <si>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</si>
  <si>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</si>
  <si>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</si>
  <si>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</si>
  <si>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</si>
  <si>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</si>
  <si>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</si>
  <si>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</si>
  <si>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</si>
  <si>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</si>
  <si>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</si>
  <si>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</si>
  <si>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</si>
  <si>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</si>
  <si>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</si>
  <si>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</si>
  <si>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</si>
  <si>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</si>
  <si>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</si>
  <si>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</si>
  <si>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</si>
  <si>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</si>
  <si>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</si>
  <si>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</si>
  <si>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</si>
  <si>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</si>
  <si>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</si>
  <si>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</si>
  <si>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</si>
  <si>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</si>
  <si>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</si>
  <si>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</si>
  <si>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</si>
  <si>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</si>
  <si>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</si>
  <si>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</si>
  <si>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</si>
  <si>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</si>
  <si>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</si>
  <si>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</si>
  <si>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</si>
  <si>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</si>
  <si>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</si>
  <si>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</si>
  <si>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</si>
  <si>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</si>
  <si>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</si>
  <si>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</si>
  <si>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</si>
  <si>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</si>
  <si>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</si>
  <si>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</si>
  <si>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</si>
  <si>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</si>
  <si>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</si>
  <si>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</si>
  <si>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</si>
  <si>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</si>
  <si>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</si>
  <si>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</si>
  <si>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</si>
  <si>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</si>
  <si>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</si>
  <si>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</si>
  <si>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</si>
  <si>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</si>
  <si>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</si>
  <si>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</si>
  <si>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</si>
  <si>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</si>
  <si>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</si>
  <si>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</si>
  <si>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</si>
  <si>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</si>
  <si>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</si>
  <si>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</si>
  <si>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</si>
  <si>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</si>
  <si>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</si>
  <si>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</si>
  <si>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</si>
  <si>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</si>
  <si>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</si>
  <si>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</si>
  <si>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</si>
  <si>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</si>
  <si>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</si>
  <si>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</si>
  <si>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</si>
  <si>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</si>
  <si>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</si>
  <si>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</si>
  <si>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</si>
  <si>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</si>
  <si>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</si>
  <si>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</si>
  <si>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</si>
  <si>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</si>
  <si>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</si>
  <si>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</si>
  <si>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</si>
  <si>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</si>
  <si>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</si>
  <si>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</si>
  <si>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</si>
  <si>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</si>
  <si>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</si>
  <si>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</si>
  <si>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</si>
  <si>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</si>
  <si>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</si>
  <si>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</si>
  <si>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</si>
  <si>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</si>
  <si>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</si>
  <si>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</si>
  <si>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</si>
  <si>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</si>
  <si>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</si>
  <si>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</si>
  <si>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</si>
  <si>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</si>
  <si>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</si>
  <si>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</si>
  <si>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</si>
  <si>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</si>
  <si>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</si>
  <si>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</si>
  <si>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</si>
  <si>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</si>
  <si>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</si>
  <si>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</si>
  <si>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</si>
  <si>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</si>
  <si>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</si>
  <si>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</si>
  <si>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</si>
  <si>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Fundación Sembrando Esperanza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</si>
  <si>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</si>
  <si>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</si>
  <si>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</si>
  <si>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</si>
  <si>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</si>
  <si>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</si>
  <si>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</si>
  <si>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Campo de la Cruz- I.E La Inmaculada</t>
  </si>
  <si>
    <t>SEMBRANDO HUELLAS 1</t>
  </si>
  <si>
    <t>Por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</si>
</sst>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#,##0_ ;\-#,##0\ 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1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164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164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164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165" fontId="18" fillId="22" borderId="6" xfId="0" applyNumberFormat="1" applyFont="1" applyFill="1" applyBorder="1" applyAlignment="1">
      <alignment horizontal="center"/>
    </xf>
    <xf numFmtId="165" fontId="18" fillId="22" borderId="0" xfId="0" applyNumberFormat="1" applyFont="1" applyFill="1" applyBorder="1" applyAlignment="1">
      <alignment horizontal="center"/>
    </xf>
    <xf numFmtId="165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5962266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tabSelected="1" view="pageBreakPreview" topLeftCell="A10" zoomScale="87" zoomScaleNormal="106" zoomScaleSheetLayoutView="87" workbookViewId="0">
      <selection activeCell="E29" sqref="E29:F29"/>
    </sheetView>
  </sheetViews>
  <sheetFormatPr baseColWidth="10" defaultColWidth="11.42578125" defaultRowHeight="14.25" x14ac:dyDescent="0.2"/>
  <cols>
    <col min="1" max="3" width="11.42578125" style="39"/>
    <col min="4" max="4" width="13.42578125" style="39" customWidth="1"/>
    <col min="5" max="5" width="29.85546875" style="39" customWidth="1"/>
    <col min="6" max="6" width="14.140625" style="39" customWidth="1"/>
    <col min="7" max="7" width="9.140625" style="36" customWidth="1"/>
    <col min="8" max="8" width="8.7109375" style="36" customWidth="1"/>
    <col min="9" max="10" width="11.42578125" style="36"/>
    <col min="11" max="12" width="11.42578125" style="36" customWidth="1"/>
    <col min="13" max="13" width="11.42578125" style="37" customWidth="1"/>
    <col min="14" max="14" width="29.42578125" style="39" hidden="1" customWidth="1"/>
    <col min="15" max="15" width="11.42578125" style="39" hidden="1" customWidth="1"/>
    <col min="16" max="16" width="11.85546875" style="39" hidden="1" customWidth="1"/>
    <col min="17" max="21" width="11.42578125" style="39" hidden="1" customWidth="1"/>
    <col min="22" max="29" width="11.42578125" style="39" customWidth="1"/>
    <col min="30" max="16384" width="11.42578125" style="39"/>
  </cols>
  <sheetData>
    <row r="1" spans="1:19" ht="84.75" customHeight="1" x14ac:dyDescent="0.2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239</v>
      </c>
      <c r="Q1" s="40" t="s">
        <v>274</v>
      </c>
      <c r="R1" s="39" t="s">
        <v>295</v>
      </c>
      <c r="S1" s="39" t="s">
        <v>354</v>
      </c>
    </row>
    <row r="2" spans="1:19" ht="15.75" customHeight="1" x14ac:dyDescent="0.2">
      <c r="A2" s="181" t="s">
        <v>551</v>
      </c>
      <c r="B2" s="182"/>
      <c r="C2" s="182"/>
      <c r="D2" s="182"/>
      <c r="E2" s="182"/>
      <c r="F2" s="183"/>
      <c r="G2" s="115"/>
      <c r="H2" s="115"/>
      <c r="N2" s="39" t="s">
        <v>192</v>
      </c>
      <c r="O2" s="39" t="s">
        <v>224</v>
      </c>
      <c r="P2" s="39" t="str">
        <f>IF((D20&gt;=1),"CUMPLE","NO CUMPLE")</f>
        <v>NO CUMPLE</v>
      </c>
      <c r="Q2" s="39" t="str">
        <f>IF((D20&gt;=1),"CUMPLE","NO CUMPLE")</f>
        <v>NO CUMPLE</v>
      </c>
      <c r="R2" s="39" t="s">
        <v>297</v>
      </c>
      <c r="S2" s="39" t="s">
        <v>356</v>
      </c>
    </row>
    <row r="3" spans="1:19" ht="14.25" customHeight="1" x14ac:dyDescent="0.2">
      <c r="A3" s="199" t="s">
        <v>418</v>
      </c>
      <c r="B3" s="200"/>
      <c r="C3" s="200"/>
      <c r="D3" s="200"/>
      <c r="E3" s="200"/>
      <c r="F3" s="201"/>
      <c r="G3" s="115"/>
      <c r="H3" s="115"/>
      <c r="N3" s="39" t="s">
        <v>202</v>
      </c>
      <c r="O3" s="39" t="s">
        <v>724</v>
      </c>
      <c r="P3" s="41">
        <f>COUNTIF(P2:P2,"CUMPLE")</f>
        <v>0</v>
      </c>
      <c r="Q3" s="39" t="str">
        <f>IF((D21&gt;=1),"CUMPLE","NO CUMPLE")</f>
        <v>CUMPLE</v>
      </c>
      <c r="S3" s="39" t="s">
        <v>357</v>
      </c>
    </row>
    <row r="4" spans="1:19" ht="14.25" customHeight="1" x14ac:dyDescent="0.2">
      <c r="A4" s="199"/>
      <c r="B4" s="200"/>
      <c r="C4" s="200"/>
      <c r="D4" s="200"/>
      <c r="E4" s="200"/>
      <c r="F4" s="201"/>
      <c r="G4" s="115"/>
      <c r="H4" s="115"/>
      <c r="N4" s="39" t="s">
        <v>204</v>
      </c>
      <c r="P4" s="42" t="str">
        <f>IF(AND(P3&lt;=2,P3&gt;=1),"CUMPLE","NO CUMPLE")</f>
        <v>NO CUMPLE</v>
      </c>
      <c r="Q4" s="41">
        <f>COUNTIF(Q2:Q3,"CUMPLE")</f>
        <v>1</v>
      </c>
      <c r="S4" s="39" t="s">
        <v>358</v>
      </c>
    </row>
    <row r="5" spans="1:19" ht="9.75" customHeight="1" x14ac:dyDescent="0.2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359</v>
      </c>
    </row>
    <row r="6" spans="1:19" ht="27" customHeight="1" x14ac:dyDescent="0.2">
      <c r="A6" s="194" t="s">
        <v>737</v>
      </c>
      <c r="B6" s="195"/>
      <c r="C6" s="195"/>
      <c r="D6" s="195"/>
      <c r="E6" s="195"/>
      <c r="F6" s="196"/>
      <c r="G6" s="117"/>
      <c r="H6" s="117"/>
      <c r="N6" s="39" t="s">
        <v>205</v>
      </c>
      <c r="S6" s="39" t="s">
        <v>360</v>
      </c>
    </row>
    <row r="7" spans="1:19" ht="15.75" x14ac:dyDescent="0.25">
      <c r="A7" s="184" t="s">
        <v>722</v>
      </c>
      <c r="B7" s="185"/>
      <c r="C7" s="185"/>
      <c r="D7" s="185"/>
      <c r="E7" s="185"/>
      <c r="F7" s="186"/>
      <c r="G7" s="118"/>
      <c r="H7" s="118"/>
      <c r="N7" s="39" t="s">
        <v>206</v>
      </c>
      <c r="S7" s="39" t="s">
        <v>361</v>
      </c>
    </row>
    <row r="8" spans="1:19" x14ac:dyDescent="0.2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362</v>
      </c>
    </row>
    <row r="9" spans="1:19" ht="15.75" x14ac:dyDescent="0.25">
      <c r="A9" s="152" t="s">
        <v>212</v>
      </c>
      <c r="B9" s="153"/>
      <c r="C9" s="153"/>
      <c r="D9" s="153"/>
      <c r="E9" s="153"/>
      <c r="F9" s="154"/>
      <c r="G9" s="119"/>
      <c r="H9" s="119"/>
      <c r="N9" s="39" t="s">
        <v>207</v>
      </c>
      <c r="S9" s="39" t="s">
        <v>364</v>
      </c>
    </row>
    <row r="10" spans="1:19" x14ac:dyDescent="0.2">
      <c r="A10" s="126"/>
      <c r="B10" s="119"/>
      <c r="C10" s="119"/>
      <c r="D10" s="119"/>
      <c r="E10" s="192" t="s">
        <v>211</v>
      </c>
      <c r="F10" s="193"/>
      <c r="G10" s="119"/>
      <c r="H10" s="119"/>
      <c r="N10" s="39" t="s">
        <v>191</v>
      </c>
      <c r="S10" s="39" t="s">
        <v>363</v>
      </c>
    </row>
    <row r="11" spans="1:19" x14ac:dyDescent="0.2">
      <c r="A11" s="170" t="s">
        <v>188</v>
      </c>
      <c r="B11" s="171"/>
      <c r="C11" s="171"/>
      <c r="D11" s="171"/>
      <c r="E11" s="179" t="s">
        <v>204</v>
      </c>
      <c r="F11" s="180"/>
      <c r="G11" s="119"/>
      <c r="H11" s="119"/>
      <c r="N11" s="39" t="s">
        <v>203</v>
      </c>
    </row>
    <row r="12" spans="1:19" ht="24.75" customHeight="1" x14ac:dyDescent="0.2">
      <c r="A12" s="170" t="s">
        <v>419</v>
      </c>
      <c r="B12" s="171"/>
      <c r="C12" s="171"/>
      <c r="D12" s="171"/>
      <c r="E12" s="179" t="s">
        <v>738</v>
      </c>
      <c r="F12" s="180"/>
      <c r="G12" s="119"/>
      <c r="H12" s="119"/>
      <c r="N12" s="39" t="s">
        <v>193</v>
      </c>
    </row>
    <row r="13" spans="1:19" x14ac:dyDescent="0.2">
      <c r="A13" s="172" t="s">
        <v>550</v>
      </c>
      <c r="B13" s="173"/>
      <c r="C13" s="173"/>
      <c r="D13" s="173"/>
      <c r="E13" s="179" t="s">
        <v>730</v>
      </c>
      <c r="F13" s="180"/>
      <c r="G13" s="119"/>
      <c r="H13" s="119"/>
      <c r="N13" s="36" t="s">
        <v>197</v>
      </c>
    </row>
    <row r="14" spans="1:19" ht="15" x14ac:dyDescent="0.2">
      <c r="A14" s="190" t="s">
        <v>189</v>
      </c>
      <c r="B14" s="191"/>
      <c r="C14" s="191"/>
      <c r="D14" s="191"/>
      <c r="E14" s="179" t="s">
        <v>739</v>
      </c>
      <c r="F14" s="180"/>
      <c r="G14" s="119"/>
      <c r="H14" s="119"/>
      <c r="N14" s="39" t="s">
        <v>428</v>
      </c>
    </row>
    <row r="15" spans="1:19" x14ac:dyDescent="0.2">
      <c r="A15" s="170" t="s">
        <v>727</v>
      </c>
      <c r="B15" s="171"/>
      <c r="C15" s="171"/>
      <c r="D15" s="171"/>
      <c r="E15" s="197" t="s">
        <v>740</v>
      </c>
      <c r="F15" s="198"/>
      <c r="G15" s="119"/>
      <c r="H15" s="119"/>
      <c r="N15" s="39" t="s">
        <v>429</v>
      </c>
    </row>
    <row r="16" spans="1:19" ht="15.75" x14ac:dyDescent="0.25">
      <c r="A16" s="187"/>
      <c r="B16" s="188"/>
      <c r="C16" s="188"/>
      <c r="D16" s="188"/>
      <c r="E16" s="188"/>
      <c r="F16" s="189"/>
      <c r="G16" s="119"/>
      <c r="H16" s="119"/>
      <c r="N16" s="39" t="s">
        <v>426</v>
      </c>
    </row>
    <row r="17" spans="1:19" x14ac:dyDescent="0.2">
      <c r="A17" s="126"/>
      <c r="B17" s="174" t="s">
        <v>221</v>
      </c>
      <c r="C17" s="174"/>
      <c r="D17" s="174"/>
      <c r="E17" s="174"/>
      <c r="F17" s="127"/>
      <c r="G17" s="119"/>
      <c r="H17" s="119"/>
      <c r="N17" s="39" t="s">
        <v>425</v>
      </c>
    </row>
    <row r="18" spans="1:19" ht="15" x14ac:dyDescent="0.2">
      <c r="A18" s="155" t="s">
        <v>213</v>
      </c>
      <c r="B18" s="156"/>
      <c r="C18" s="156"/>
      <c r="D18" s="120" t="s">
        <v>219</v>
      </c>
      <c r="E18" s="156" t="s">
        <v>220</v>
      </c>
      <c r="F18" s="157"/>
      <c r="G18" s="119"/>
      <c r="H18" s="119"/>
      <c r="N18" s="39" t="s">
        <v>427</v>
      </c>
    </row>
    <row r="19" spans="1:19" ht="15" customHeight="1" x14ac:dyDescent="0.2">
      <c r="A19" s="158" t="s">
        <v>214</v>
      </c>
      <c r="B19" s="159"/>
      <c r="C19" s="159"/>
      <c r="D19" s="114">
        <v>0</v>
      </c>
      <c r="E19" s="177">
        <v>0</v>
      </c>
      <c r="F19" s="178"/>
      <c r="G19" s="119"/>
      <c r="H19" s="119"/>
      <c r="N19" s="36" t="s">
        <v>430</v>
      </c>
      <c r="O19" s="36"/>
      <c r="P19" s="36"/>
      <c r="Q19" s="36"/>
      <c r="R19" s="36"/>
      <c r="S19" s="36"/>
    </row>
    <row r="20" spans="1:19" ht="15" customHeight="1" x14ac:dyDescent="0.2">
      <c r="A20" s="158" t="s">
        <v>215</v>
      </c>
      <c r="B20" s="159"/>
      <c r="C20" s="159"/>
      <c r="D20" s="114">
        <v>0</v>
      </c>
      <c r="E20" s="177">
        <v>0</v>
      </c>
      <c r="F20" s="178"/>
      <c r="G20" s="119"/>
      <c r="H20" s="119"/>
      <c r="N20" s="39" t="s">
        <v>201</v>
      </c>
    </row>
    <row r="21" spans="1:19" ht="15" customHeight="1" x14ac:dyDescent="0.2">
      <c r="A21" s="158" t="s">
        <v>216</v>
      </c>
      <c r="B21" s="159"/>
      <c r="C21" s="159"/>
      <c r="D21" s="114">
        <v>20</v>
      </c>
      <c r="E21" s="177">
        <v>1</v>
      </c>
      <c r="F21" s="178"/>
      <c r="G21" s="119"/>
      <c r="H21" s="119"/>
      <c r="N21" s="39" t="s">
        <v>208</v>
      </c>
    </row>
    <row r="22" spans="1:19" ht="15" customHeight="1" x14ac:dyDescent="0.2">
      <c r="A22" s="158" t="s">
        <v>217</v>
      </c>
      <c r="B22" s="159"/>
      <c r="C22" s="159"/>
      <c r="D22" s="114">
        <v>20</v>
      </c>
      <c r="E22" s="177">
        <v>1</v>
      </c>
      <c r="F22" s="178"/>
      <c r="G22" s="119"/>
      <c r="H22" s="119"/>
      <c r="N22" s="39" t="s">
        <v>198</v>
      </c>
    </row>
    <row r="23" spans="1:19" ht="15" customHeight="1" x14ac:dyDescent="0.2">
      <c r="A23" s="158" t="s">
        <v>218</v>
      </c>
      <c r="B23" s="159"/>
      <c r="C23" s="159"/>
      <c r="D23" s="114">
        <v>20</v>
      </c>
      <c r="E23" s="177">
        <v>1</v>
      </c>
      <c r="F23" s="178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 x14ac:dyDescent="0.2">
      <c r="A24" s="158" t="s">
        <v>225</v>
      </c>
      <c r="B24" s="159"/>
      <c r="C24" s="159"/>
      <c r="D24" s="114">
        <v>0</v>
      </c>
      <c r="E24" s="177">
        <v>0</v>
      </c>
      <c r="F24" s="178"/>
      <c r="G24" s="119"/>
      <c r="H24" s="119"/>
      <c r="N24" s="39" t="s">
        <v>195</v>
      </c>
    </row>
    <row r="25" spans="1:19" ht="15" customHeight="1" x14ac:dyDescent="0.2">
      <c r="A25" s="160" t="s">
        <v>226</v>
      </c>
      <c r="B25" s="161"/>
      <c r="C25" s="161"/>
      <c r="D25" s="113">
        <f>SUM(D19:D24)</f>
        <v>60</v>
      </c>
      <c r="E25" s="175">
        <f>SUM(E19:F24)</f>
        <v>3</v>
      </c>
      <c r="F25" s="176"/>
      <c r="G25" s="119"/>
      <c r="H25" s="119"/>
      <c r="N25" s="39" t="s">
        <v>196</v>
      </c>
    </row>
    <row r="26" spans="1:19" s="130" customFormat="1" ht="15" x14ac:dyDescent="0.25">
      <c r="A26" s="162" t="s">
        <v>725</v>
      </c>
      <c r="B26" s="163"/>
      <c r="C26" s="163"/>
      <c r="D26" s="132">
        <v>2</v>
      </c>
      <c r="E26" s="132" t="s">
        <v>726</v>
      </c>
      <c r="F26" s="133">
        <f>D26*D25</f>
        <v>120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 x14ac:dyDescent="0.2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 x14ac:dyDescent="0.2">
      <c r="A28" s="150" t="s">
        <v>355</v>
      </c>
      <c r="B28" s="151"/>
      <c r="C28" s="151"/>
      <c r="D28" s="151"/>
      <c r="E28" s="164">
        <v>322.43</v>
      </c>
      <c r="F28" s="165"/>
      <c r="G28" s="119"/>
      <c r="H28" s="119"/>
    </row>
    <row r="29" spans="1:19" x14ac:dyDescent="0.2">
      <c r="A29" s="150" t="s">
        <v>302</v>
      </c>
      <c r="B29" s="151"/>
      <c r="C29" s="151"/>
      <c r="D29" s="151"/>
      <c r="E29" s="166">
        <v>75.8</v>
      </c>
      <c r="F29" s="167"/>
      <c r="G29" s="119"/>
      <c r="H29" s="119"/>
    </row>
    <row r="30" spans="1:19" ht="15.75" customHeight="1" thickBot="1" x14ac:dyDescent="0.25">
      <c r="A30" s="168" t="s">
        <v>222</v>
      </c>
      <c r="B30" s="169"/>
      <c r="C30" s="169"/>
      <c r="D30" s="169"/>
      <c r="E30" s="148" t="s">
        <v>224</v>
      </c>
      <c r="F30" s="149"/>
      <c r="G30" s="119"/>
      <c r="H30" s="119"/>
    </row>
    <row r="31" spans="1:19" s="36" customFormat="1" ht="10.5" customHeight="1" x14ac:dyDescent="0.2"/>
    <row r="32" spans="1:19" x14ac:dyDescent="0.2">
      <c r="A32" s="36"/>
      <c r="B32" s="36"/>
      <c r="C32" s="36"/>
      <c r="D32" s="36"/>
      <c r="E32" s="36"/>
      <c r="F32" s="36"/>
    </row>
    <row r="33" spans="1:6" x14ac:dyDescent="0.2">
      <c r="A33" s="36"/>
      <c r="B33" s="36"/>
      <c r="C33" s="36"/>
      <c r="D33" s="36"/>
      <c r="E33" s="36"/>
      <c r="F33" s="36"/>
    </row>
    <row r="34" spans="1:6" x14ac:dyDescent="0.2">
      <c r="A34" s="36"/>
      <c r="B34" s="36"/>
      <c r="C34" s="36"/>
      <c r="D34" s="36"/>
      <c r="E34" s="36"/>
      <c r="F34" s="36"/>
    </row>
    <row r="35" spans="1:6" x14ac:dyDescent="0.2">
      <c r="A35" s="36"/>
      <c r="B35" s="36"/>
      <c r="C35" s="36"/>
      <c r="D35" s="36"/>
      <c r="E35" s="36"/>
      <c r="F35" s="36"/>
    </row>
    <row r="36" spans="1:6" x14ac:dyDescent="0.2">
      <c r="A36" s="36"/>
      <c r="B36" s="36"/>
      <c r="C36" s="36"/>
      <c r="D36" s="36"/>
      <c r="E36" s="36"/>
      <c r="F36" s="36"/>
    </row>
    <row r="37" spans="1:6" x14ac:dyDescent="0.2">
      <c r="A37" s="36"/>
      <c r="B37" s="36"/>
      <c r="C37" s="36"/>
      <c r="D37" s="36"/>
      <c r="E37" s="36"/>
      <c r="F37" s="36"/>
    </row>
    <row r="38" spans="1:6" x14ac:dyDescent="0.2">
      <c r="A38" s="36"/>
      <c r="B38" s="36"/>
      <c r="C38" s="36"/>
      <c r="D38" s="36"/>
      <c r="E38" s="36"/>
      <c r="F38" s="36"/>
    </row>
    <row r="39" spans="1:6" x14ac:dyDescent="0.2">
      <c r="A39" s="36"/>
      <c r="B39" s="36"/>
      <c r="C39" s="36"/>
      <c r="D39" s="36"/>
      <c r="E39" s="36"/>
      <c r="F39" s="36"/>
    </row>
    <row r="40" spans="1:6" x14ac:dyDescent="0.2">
      <c r="A40" s="36"/>
      <c r="B40" s="36"/>
      <c r="C40" s="36"/>
      <c r="D40" s="36"/>
      <c r="E40" s="36"/>
      <c r="F40" s="36"/>
    </row>
    <row r="41" spans="1:6" x14ac:dyDescent="0.2">
      <c r="A41" s="36"/>
      <c r="B41" s="36"/>
      <c r="C41" s="36"/>
      <c r="D41" s="36"/>
      <c r="E41" s="36"/>
      <c r="F41" s="36"/>
    </row>
    <row r="42" spans="1:6" x14ac:dyDescent="0.2">
      <c r="A42" s="36"/>
      <c r="B42" s="36"/>
      <c r="C42" s="36"/>
      <c r="D42" s="36"/>
      <c r="E42" s="36"/>
      <c r="F42" s="36"/>
    </row>
    <row r="43" spans="1:6" x14ac:dyDescent="0.2">
      <c r="A43" s="36"/>
      <c r="B43" s="36"/>
      <c r="C43" s="36"/>
      <c r="D43" s="36"/>
      <c r="E43" s="36"/>
      <c r="F43" s="36"/>
    </row>
    <row r="44" spans="1:6" x14ac:dyDescent="0.2">
      <c r="A44" s="36"/>
      <c r="B44" s="36"/>
      <c r="C44" s="36"/>
      <c r="D44" s="36"/>
      <c r="E44" s="36"/>
      <c r="F44" s="36"/>
    </row>
    <row r="45" spans="1:6" x14ac:dyDescent="0.2">
      <c r="A45" s="36"/>
      <c r="B45" s="36"/>
      <c r="C45" s="36"/>
      <c r="D45" s="36"/>
      <c r="E45" s="36"/>
      <c r="F45" s="36"/>
    </row>
    <row r="46" spans="1:6" x14ac:dyDescent="0.2">
      <c r="A46" s="36"/>
      <c r="B46" s="36"/>
      <c r="C46" s="36"/>
      <c r="D46" s="36"/>
      <c r="E46" s="36"/>
      <c r="F46" s="36"/>
    </row>
    <row r="47" spans="1:6" x14ac:dyDescent="0.2">
      <c r="A47" s="36"/>
      <c r="B47" s="36"/>
      <c r="C47" s="36"/>
      <c r="D47" s="36"/>
      <c r="E47" s="36"/>
      <c r="F47" s="36"/>
    </row>
    <row r="48" spans="1:6" x14ac:dyDescent="0.2">
      <c r="A48" s="36"/>
      <c r="B48" s="36"/>
      <c r="C48" s="36"/>
      <c r="D48" s="36"/>
      <c r="E48" s="36"/>
      <c r="F48" s="36"/>
    </row>
    <row r="49" spans="1:6" x14ac:dyDescent="0.2">
      <c r="A49" s="36"/>
      <c r="B49" s="36"/>
      <c r="C49" s="36"/>
      <c r="D49" s="36"/>
      <c r="E49" s="36"/>
      <c r="F49" s="36"/>
    </row>
    <row r="50" spans="1:6" x14ac:dyDescent="0.2">
      <c r="A50" s="36"/>
      <c r="B50" s="36"/>
      <c r="C50" s="36"/>
      <c r="D50" s="36"/>
      <c r="E50" s="36"/>
      <c r="F50" s="36"/>
    </row>
    <row r="51" spans="1:6" x14ac:dyDescent="0.2">
      <c r="A51" s="36"/>
      <c r="B51" s="36"/>
      <c r="C51" s="36"/>
      <c r="D51" s="36"/>
      <c r="E51" s="36"/>
      <c r="F51" s="36"/>
    </row>
    <row r="52" spans="1:6" x14ac:dyDescent="0.2">
      <c r="A52" s="36"/>
      <c r="B52" s="36"/>
      <c r="C52" s="36"/>
      <c r="D52" s="36"/>
      <c r="E52" s="36"/>
      <c r="F52" s="36"/>
    </row>
    <row r="53" spans="1:6" x14ac:dyDescent="0.2">
      <c r="A53" s="36"/>
      <c r="B53" s="36"/>
      <c r="C53" s="36"/>
      <c r="D53" s="36"/>
      <c r="E53" s="36"/>
      <c r="F53" s="36"/>
    </row>
    <row r="54" spans="1:6" x14ac:dyDescent="0.2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8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zoomScale="68" zoomScaleNormal="68" workbookViewId="0">
      <pane ySplit="3" topLeftCell="A4" activePane="bottomLeft" state="frozen"/>
      <selection activeCell="F1" sqref="F1"/>
      <selection pane="bottomLeft" activeCell="M9" sqref="M9"/>
    </sheetView>
  </sheetViews>
  <sheetFormatPr baseColWidth="10" defaultColWidth="11.42578125" defaultRowHeight="15" x14ac:dyDescent="0.25"/>
  <cols>
    <col min="1" max="1" width="5.140625" style="14" bestFit="1" customWidth="1"/>
    <col min="2" max="2" width="8.85546875" customWidth="1"/>
    <col min="3" max="3" width="22.28515625" style="15" customWidth="1"/>
    <col min="4" max="5" width="27.85546875" style="16" hidden="1" customWidth="1"/>
    <col min="6" max="6" width="47.140625" style="9" customWidth="1"/>
    <col min="7" max="7" width="71" style="17" customWidth="1"/>
    <col min="8" max="9" width="15.28515625" style="21" customWidth="1"/>
    <col min="10" max="13" width="15.28515625" style="22" customWidth="1"/>
    <col min="14" max="14" width="22.5703125" style="80" customWidth="1"/>
    <col min="15" max="15" width="15.28515625" style="25" customWidth="1"/>
    <col min="16" max="16" width="15.28515625" style="139" customWidth="1"/>
    <col min="17" max="17" width="53.42578125" style="86" customWidth="1"/>
  </cols>
  <sheetData>
    <row r="1" spans="1:17" x14ac:dyDescent="0.25">
      <c r="A1" s="212" t="s">
        <v>0</v>
      </c>
      <c r="B1" s="212" t="s">
        <v>1</v>
      </c>
      <c r="C1" s="212" t="s">
        <v>2</v>
      </c>
      <c r="D1" s="212" t="s">
        <v>3</v>
      </c>
      <c r="E1" s="212" t="s">
        <v>4</v>
      </c>
      <c r="F1" s="212" t="s">
        <v>5</v>
      </c>
      <c r="G1" s="209" t="s">
        <v>555</v>
      </c>
      <c r="H1" s="81"/>
      <c r="I1" s="81"/>
      <c r="J1" s="82"/>
      <c r="K1" s="82"/>
      <c r="L1" s="82"/>
      <c r="M1" s="82" t="s">
        <v>652</v>
      </c>
      <c r="N1" s="83">
        <f>'INFORMACION BASE'!E29</f>
        <v>75.8</v>
      </c>
      <c r="O1" s="23" t="s">
        <v>651</v>
      </c>
      <c r="P1" s="134">
        <f>'INFORMACION BASE'!E28</f>
        <v>322.43</v>
      </c>
      <c r="Q1" s="202" t="s">
        <v>6</v>
      </c>
    </row>
    <row r="2" spans="1:17" ht="15.75" x14ac:dyDescent="0.25">
      <c r="A2" s="212"/>
      <c r="B2" s="212"/>
      <c r="C2" s="212"/>
      <c r="D2" s="212"/>
      <c r="E2" s="212"/>
      <c r="F2" s="212"/>
      <c r="G2" s="210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07" t="s">
        <v>13</v>
      </c>
      <c r="O2" s="205" t="s">
        <v>14</v>
      </c>
      <c r="P2" s="135" t="s">
        <v>15</v>
      </c>
      <c r="Q2" s="203"/>
    </row>
    <row r="3" spans="1:17" x14ac:dyDescent="0.25">
      <c r="A3" s="212"/>
      <c r="B3" s="212"/>
      <c r="C3" s="212"/>
      <c r="D3" s="212"/>
      <c r="E3" s="212"/>
      <c r="F3" s="212"/>
      <c r="G3" s="211"/>
      <c r="H3" s="4">
        <f>'INFORMACION BASE'!D19</f>
        <v>0</v>
      </c>
      <c r="I3" s="4">
        <f>'INFORMACION BASE'!D20</f>
        <v>0</v>
      </c>
      <c r="J3" s="4">
        <f>'INFORMACION BASE'!D21</f>
        <v>20</v>
      </c>
      <c r="K3" s="4">
        <f>'INFORMACION BASE'!D22</f>
        <v>20</v>
      </c>
      <c r="L3" s="4">
        <f>'INFORMACION BASE'!D23</f>
        <v>20</v>
      </c>
      <c r="M3" s="4">
        <f>'INFORMACION BASE'!D24</f>
        <v>0</v>
      </c>
      <c r="N3" s="208"/>
      <c r="O3" s="206"/>
      <c r="P3" s="136">
        <f>'INFORMACION BASE'!D25</f>
        <v>60</v>
      </c>
      <c r="Q3" s="204"/>
    </row>
    <row r="4" spans="1:17" s="9" customFormat="1" ht="30" x14ac:dyDescent="0.25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420</v>
      </c>
      <c r="G4" s="45" t="s">
        <v>556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552</v>
      </c>
    </row>
    <row r="5" spans="1:17" s="9" customFormat="1" ht="30" x14ac:dyDescent="0.25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556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552</v>
      </c>
    </row>
    <row r="6" spans="1:17" s="9" customFormat="1" ht="30" x14ac:dyDescent="0.25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549</v>
      </c>
      <c r="G6" s="45" t="s">
        <v>556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553</v>
      </c>
    </row>
    <row r="7" spans="1:17" s="9" customFormat="1" ht="30" x14ac:dyDescent="0.25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489</v>
      </c>
      <c r="G7" s="45" t="s">
        <v>556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553</v>
      </c>
    </row>
    <row r="8" spans="1:17" s="9" customFormat="1" ht="30" x14ac:dyDescent="0.25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554</v>
      </c>
      <c r="G8" s="45" t="s">
        <v>556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553</v>
      </c>
    </row>
    <row r="9" spans="1:17" s="9" customFormat="1" x14ac:dyDescent="0.25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570</v>
      </c>
      <c r="G9" s="45" t="s">
        <v>556</v>
      </c>
      <c r="H9" s="5"/>
      <c r="I9" s="5"/>
      <c r="J9" s="5"/>
      <c r="K9" s="5"/>
      <c r="L9" s="5"/>
      <c r="M9" s="5"/>
      <c r="N9" s="20">
        <f>P3/20</f>
        <v>3</v>
      </c>
      <c r="O9" s="24">
        <f>IF(N9&gt;=1,(N9*1),(((1-N9)+N9)))</f>
        <v>3</v>
      </c>
      <c r="P9" s="137">
        <f>ROUND(O9,0)</f>
        <v>3</v>
      </c>
      <c r="Q9" s="13" t="s">
        <v>571</v>
      </c>
    </row>
    <row r="10" spans="1:17" s="9" customFormat="1" x14ac:dyDescent="0.25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439</v>
      </c>
      <c r="G10" s="45" t="s">
        <v>556</v>
      </c>
      <c r="H10" s="5"/>
      <c r="I10" s="5"/>
      <c r="J10" s="5"/>
      <c r="K10" s="5"/>
      <c r="L10" s="5"/>
      <c r="M10" s="5"/>
      <c r="N10" s="20">
        <f>'INFORMACION BASE'!E25</f>
        <v>3</v>
      </c>
      <c r="O10" s="24">
        <f>N10</f>
        <v>3</v>
      </c>
      <c r="P10" s="137">
        <f>ROUND(O10,0)</f>
        <v>3</v>
      </c>
      <c r="Q10" s="13" t="s">
        <v>572</v>
      </c>
    </row>
    <row r="11" spans="1:17" s="9" customFormat="1" x14ac:dyDescent="0.25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368</v>
      </c>
      <c r="G11" s="45" t="s">
        <v>556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573</v>
      </c>
    </row>
    <row r="12" spans="1:17" s="9" customFormat="1" x14ac:dyDescent="0.25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366</v>
      </c>
      <c r="G12" s="45" t="s">
        <v>556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574</v>
      </c>
    </row>
    <row r="13" spans="1:17" s="9" customFormat="1" ht="30" x14ac:dyDescent="0.25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707</v>
      </c>
      <c r="G13" s="45" t="s">
        <v>556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553</v>
      </c>
    </row>
    <row r="14" spans="1:17" s="9" customFormat="1" ht="30" x14ac:dyDescent="0.25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556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553</v>
      </c>
    </row>
    <row r="15" spans="1:17" s="9" customFormat="1" ht="30" x14ac:dyDescent="0.25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556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553</v>
      </c>
    </row>
    <row r="16" spans="1:17" s="9" customFormat="1" ht="30" x14ac:dyDescent="0.25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556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0</v>
      </c>
      <c r="Q16" s="13" t="s">
        <v>577</v>
      </c>
    </row>
    <row r="17" spans="1:17" s="9" customFormat="1" ht="30" x14ac:dyDescent="0.25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556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553</v>
      </c>
    </row>
    <row r="18" spans="1:17" s="9" customFormat="1" ht="30" x14ac:dyDescent="0.25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556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553</v>
      </c>
    </row>
    <row r="19" spans="1:17" s="9" customFormat="1" ht="30" x14ac:dyDescent="0.25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556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553</v>
      </c>
    </row>
    <row r="20" spans="1:17" s="9" customFormat="1" ht="30" x14ac:dyDescent="0.25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556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553</v>
      </c>
    </row>
    <row r="21" spans="1:17" s="9" customFormat="1" ht="30" x14ac:dyDescent="0.25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432</v>
      </c>
      <c r="G21" s="45" t="s">
        <v>556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553</v>
      </c>
    </row>
    <row r="22" spans="1:17" s="9" customFormat="1" ht="30" x14ac:dyDescent="0.25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438</v>
      </c>
      <c r="G22" s="45" t="s">
        <v>556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553</v>
      </c>
    </row>
    <row r="23" spans="1:17" s="9" customFormat="1" ht="30" x14ac:dyDescent="0.25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434</v>
      </c>
      <c r="G23" s="45" t="s">
        <v>556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553</v>
      </c>
    </row>
    <row r="24" spans="1:17" s="9" customFormat="1" ht="30" x14ac:dyDescent="0.25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490</v>
      </c>
      <c r="G24" s="45" t="s">
        <v>556</v>
      </c>
      <c r="H24" s="18"/>
      <c r="I24" s="18"/>
      <c r="J24" s="18"/>
      <c r="K24" s="26"/>
      <c r="L24" s="26"/>
      <c r="M24" s="26"/>
      <c r="N24" s="26">
        <f>SUM($K$3:$M$3)</f>
        <v>40</v>
      </c>
      <c r="O24" s="24"/>
      <c r="P24" s="137">
        <f t="shared" si="1"/>
        <v>40</v>
      </c>
      <c r="Q24" s="13" t="s">
        <v>579</v>
      </c>
    </row>
    <row r="25" spans="1:17" s="9" customFormat="1" ht="30" x14ac:dyDescent="0.25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436</v>
      </c>
      <c r="G25" s="45" t="s">
        <v>556</v>
      </c>
      <c r="H25" s="18"/>
      <c r="I25" s="28"/>
      <c r="J25" s="26"/>
      <c r="K25" s="26"/>
      <c r="L25" s="26"/>
      <c r="M25" s="18"/>
      <c r="N25" s="26">
        <f>SUM($I$3:$J$3)</f>
        <v>20</v>
      </c>
      <c r="O25" s="24"/>
      <c r="P25" s="137">
        <f t="shared" si="1"/>
        <v>20</v>
      </c>
      <c r="Q25" s="13" t="s">
        <v>580</v>
      </c>
    </row>
    <row r="26" spans="1:17" s="9" customFormat="1" ht="30" x14ac:dyDescent="0.25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491</v>
      </c>
      <c r="G26" s="45" t="s">
        <v>556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581</v>
      </c>
    </row>
    <row r="27" spans="1:17" s="9" customFormat="1" ht="45" x14ac:dyDescent="0.25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370</v>
      </c>
      <c r="G27" s="45" t="s">
        <v>556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578</v>
      </c>
    </row>
    <row r="28" spans="1:17" s="9" customFormat="1" ht="30" x14ac:dyDescent="0.25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493</v>
      </c>
      <c r="G28" s="45" t="s">
        <v>556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0</v>
      </c>
      <c r="Q28" s="13" t="s">
        <v>577</v>
      </c>
    </row>
    <row r="29" spans="1:17" s="9" customFormat="1" ht="30" x14ac:dyDescent="0.25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556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575</v>
      </c>
    </row>
    <row r="30" spans="1:17" s="9" customFormat="1" ht="30" x14ac:dyDescent="0.25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236</v>
      </c>
      <c r="G30" s="45" t="s">
        <v>556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576</v>
      </c>
    </row>
    <row r="31" spans="1:17" s="9" customFormat="1" ht="30" x14ac:dyDescent="0.25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556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575</v>
      </c>
    </row>
    <row r="32" spans="1:17" s="9" customFormat="1" ht="30" x14ac:dyDescent="0.25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440</v>
      </c>
      <c r="G32" s="45" t="s">
        <v>556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576</v>
      </c>
    </row>
    <row r="33" spans="1:17" s="9" customFormat="1" ht="30" x14ac:dyDescent="0.25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365</v>
      </c>
      <c r="G33" s="45" t="s">
        <v>556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575</v>
      </c>
    </row>
    <row r="34" spans="1:17" s="9" customFormat="1" ht="30" x14ac:dyDescent="0.25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241</v>
      </c>
      <c r="G34" s="45" t="s">
        <v>556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0</v>
      </c>
      <c r="Q34" s="13" t="s">
        <v>577</v>
      </c>
    </row>
    <row r="35" spans="1:17" s="9" customFormat="1" x14ac:dyDescent="0.25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494</v>
      </c>
      <c r="G35" s="45" t="s">
        <v>556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573</v>
      </c>
    </row>
    <row r="36" spans="1:17" s="9" customFormat="1" x14ac:dyDescent="0.25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708</v>
      </c>
      <c r="G36" s="45" t="s">
        <v>556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573</v>
      </c>
    </row>
    <row r="37" spans="1:17" s="9" customFormat="1" x14ac:dyDescent="0.25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442</v>
      </c>
      <c r="G37" s="45" t="s">
        <v>556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573</v>
      </c>
    </row>
    <row r="38" spans="1:17" s="9" customFormat="1" ht="30" x14ac:dyDescent="0.25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369</v>
      </c>
      <c r="G38" s="45" t="s">
        <v>556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553</v>
      </c>
    </row>
    <row r="39" spans="1:17" s="9" customFormat="1" ht="30" x14ac:dyDescent="0.25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539</v>
      </c>
      <c r="G39" s="45" t="s">
        <v>556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575</v>
      </c>
    </row>
    <row r="40" spans="1:17" s="9" customFormat="1" ht="30" x14ac:dyDescent="0.25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540</v>
      </c>
      <c r="G40" s="45" t="s">
        <v>556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576</v>
      </c>
    </row>
    <row r="41" spans="1:17" s="9" customFormat="1" x14ac:dyDescent="0.25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496</v>
      </c>
      <c r="G41" s="45" t="s">
        <v>556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573</v>
      </c>
    </row>
    <row r="42" spans="1:17" s="9" customFormat="1" ht="30" x14ac:dyDescent="0.25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556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575</v>
      </c>
    </row>
    <row r="43" spans="1:17" s="9" customFormat="1" ht="30" x14ac:dyDescent="0.25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374</v>
      </c>
      <c r="G43" s="45" t="s">
        <v>556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553</v>
      </c>
    </row>
    <row r="44" spans="1:17" s="9" customFormat="1" ht="30" x14ac:dyDescent="0.25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444</v>
      </c>
      <c r="G44" s="45" t="s">
        <v>556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582</v>
      </c>
    </row>
    <row r="45" spans="1:17" s="9" customFormat="1" ht="30" x14ac:dyDescent="0.25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556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582</v>
      </c>
    </row>
    <row r="46" spans="1:17" s="9" customFormat="1" ht="30" x14ac:dyDescent="0.25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373</v>
      </c>
      <c r="G46" s="45" t="s">
        <v>556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553</v>
      </c>
    </row>
    <row r="47" spans="1:17" s="9" customFormat="1" ht="30" x14ac:dyDescent="0.25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556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553</v>
      </c>
    </row>
    <row r="48" spans="1:17" s="9" customFormat="1" ht="30" x14ac:dyDescent="0.25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371</v>
      </c>
      <c r="G48" s="45" t="s">
        <v>556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553</v>
      </c>
    </row>
    <row r="49" spans="1:17" s="9" customFormat="1" ht="30" x14ac:dyDescent="0.25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372</v>
      </c>
      <c r="G49" s="45" t="s">
        <v>556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553</v>
      </c>
    </row>
    <row r="50" spans="1:17" s="9" customFormat="1" ht="30" x14ac:dyDescent="0.25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556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0</v>
      </c>
      <c r="Q50" s="13" t="s">
        <v>577</v>
      </c>
    </row>
    <row r="51" spans="1:17" s="9" customFormat="1" ht="30" x14ac:dyDescent="0.25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376</v>
      </c>
      <c r="G51" s="45" t="s">
        <v>556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583</v>
      </c>
    </row>
    <row r="52" spans="1:17" s="9" customFormat="1" ht="30" x14ac:dyDescent="0.25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445</v>
      </c>
      <c r="G52" s="45" t="s">
        <v>556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582</v>
      </c>
    </row>
    <row r="53" spans="1:17" s="9" customFormat="1" ht="30" x14ac:dyDescent="0.25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381</v>
      </c>
      <c r="G53" s="45" t="s">
        <v>556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582</v>
      </c>
    </row>
    <row r="54" spans="1:17" s="9" customFormat="1" ht="30" x14ac:dyDescent="0.25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383</v>
      </c>
      <c r="G54" s="45" t="s">
        <v>556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553</v>
      </c>
    </row>
    <row r="55" spans="1:17" s="9" customFormat="1" ht="30" x14ac:dyDescent="0.25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382</v>
      </c>
      <c r="G55" s="45" t="s">
        <v>556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553</v>
      </c>
    </row>
    <row r="56" spans="1:17" s="9" customFormat="1" ht="30" x14ac:dyDescent="0.25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384</v>
      </c>
      <c r="G56" s="45" t="s">
        <v>556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553</v>
      </c>
    </row>
    <row r="57" spans="1:17" s="9" customFormat="1" ht="30" x14ac:dyDescent="0.25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380</v>
      </c>
      <c r="G57" s="45" t="s">
        <v>556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553</v>
      </c>
    </row>
    <row r="58" spans="1:17" s="9" customFormat="1" ht="30" x14ac:dyDescent="0.25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497</v>
      </c>
      <c r="G58" s="45" t="s">
        <v>556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553</v>
      </c>
    </row>
    <row r="59" spans="1:17" s="9" customFormat="1" ht="30" x14ac:dyDescent="0.25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386</v>
      </c>
      <c r="G59" s="45" t="s">
        <v>556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553</v>
      </c>
    </row>
    <row r="60" spans="1:17" s="9" customFormat="1" ht="30" x14ac:dyDescent="0.25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542</v>
      </c>
      <c r="G60" s="45" t="s">
        <v>556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553</v>
      </c>
    </row>
    <row r="61" spans="1:17" s="9" customFormat="1" ht="30" x14ac:dyDescent="0.25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375</v>
      </c>
      <c r="G61" s="45" t="s">
        <v>556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553</v>
      </c>
    </row>
    <row r="62" spans="1:17" s="9" customFormat="1" ht="30" x14ac:dyDescent="0.25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387</v>
      </c>
      <c r="G62" s="45" t="s">
        <v>556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553</v>
      </c>
    </row>
    <row r="63" spans="1:17" s="9" customFormat="1" ht="30" x14ac:dyDescent="0.25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378</v>
      </c>
      <c r="G63" s="45" t="s">
        <v>556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553</v>
      </c>
    </row>
    <row r="64" spans="1:17" s="9" customFormat="1" ht="30" x14ac:dyDescent="0.25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498</v>
      </c>
      <c r="G64" s="45" t="s">
        <v>556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553</v>
      </c>
    </row>
    <row r="65" spans="1:17" s="9" customFormat="1" ht="30" x14ac:dyDescent="0.25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556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553</v>
      </c>
    </row>
    <row r="66" spans="1:17" s="9" customFormat="1" ht="30" x14ac:dyDescent="0.25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379</v>
      </c>
      <c r="G66" s="45" t="s">
        <v>556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553</v>
      </c>
    </row>
    <row r="67" spans="1:17" s="9" customFormat="1" ht="30" x14ac:dyDescent="0.25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377</v>
      </c>
      <c r="G67" s="45" t="s">
        <v>556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553</v>
      </c>
    </row>
    <row r="68" spans="1:17" s="9" customFormat="1" ht="30" x14ac:dyDescent="0.25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385</v>
      </c>
      <c r="G68" s="45" t="s">
        <v>556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553</v>
      </c>
    </row>
    <row r="69" spans="1:17" s="9" customFormat="1" ht="30" x14ac:dyDescent="0.25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447</v>
      </c>
      <c r="G69" s="45" t="s">
        <v>556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553</v>
      </c>
    </row>
    <row r="70" spans="1:17" s="9" customFormat="1" ht="30" x14ac:dyDescent="0.25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556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256</v>
      </c>
    </row>
    <row r="71" spans="1:17" s="9" customFormat="1" ht="30" x14ac:dyDescent="0.25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388</v>
      </c>
      <c r="G71" s="45" t="s">
        <v>556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585</v>
      </c>
    </row>
    <row r="72" spans="1:17" s="9" customFormat="1" x14ac:dyDescent="0.25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389</v>
      </c>
      <c r="G72" s="45" t="s">
        <v>556</v>
      </c>
      <c r="H72" s="18"/>
      <c r="I72" s="18"/>
      <c r="J72" s="18"/>
      <c r="K72" s="18"/>
      <c r="L72" s="18"/>
      <c r="M72" s="18"/>
      <c r="N72" s="26"/>
      <c r="O72" s="24"/>
      <c r="P72" s="137">
        <f>P3</f>
        <v>60</v>
      </c>
      <c r="Q72" s="13" t="s">
        <v>584</v>
      </c>
    </row>
    <row r="73" spans="1:17" s="9" customFormat="1" ht="30" x14ac:dyDescent="0.25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556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573</v>
      </c>
    </row>
    <row r="74" spans="1:17" s="9" customFormat="1" ht="30" x14ac:dyDescent="0.25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556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573</v>
      </c>
    </row>
    <row r="75" spans="1:17" s="9" customFormat="1" ht="30" x14ac:dyDescent="0.25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556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573</v>
      </c>
    </row>
    <row r="76" spans="1:17" s="9" customFormat="1" ht="30" x14ac:dyDescent="0.25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556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573</v>
      </c>
    </row>
    <row r="77" spans="1:17" s="9" customFormat="1" ht="30" x14ac:dyDescent="0.25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448</v>
      </c>
      <c r="G77" s="45" t="s">
        <v>556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583</v>
      </c>
    </row>
    <row r="78" spans="1:17" s="9" customFormat="1" x14ac:dyDescent="0.25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449</v>
      </c>
      <c r="G78" s="45" t="s">
        <v>556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573</v>
      </c>
    </row>
    <row r="79" spans="1:17" s="9" customFormat="1" x14ac:dyDescent="0.25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450</v>
      </c>
      <c r="G79" s="45" t="s">
        <v>556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573</v>
      </c>
    </row>
    <row r="80" spans="1:17" s="9" customFormat="1" x14ac:dyDescent="0.25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499</v>
      </c>
      <c r="G80" s="45" t="s">
        <v>556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573</v>
      </c>
    </row>
    <row r="81" spans="1:17" s="9" customFormat="1" ht="30" x14ac:dyDescent="0.25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500</v>
      </c>
      <c r="G81" s="45" t="s">
        <v>556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6</v>
      </c>
      <c r="O81" s="24"/>
      <c r="P81" s="137">
        <f>N81</f>
        <v>6</v>
      </c>
      <c r="Q81" s="13" t="s">
        <v>587</v>
      </c>
    </row>
    <row r="82" spans="1:17" s="9" customFormat="1" x14ac:dyDescent="0.25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390</v>
      </c>
      <c r="G82" s="45" t="s">
        <v>556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573</v>
      </c>
    </row>
    <row r="83" spans="1:17" s="9" customFormat="1" x14ac:dyDescent="0.25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391</v>
      </c>
      <c r="G83" s="45" t="s">
        <v>556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269</v>
      </c>
    </row>
    <row r="84" spans="1:17" s="9" customFormat="1" ht="30" x14ac:dyDescent="0.25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453</v>
      </c>
      <c r="G84" s="45" t="s">
        <v>556</v>
      </c>
      <c r="H84" s="5"/>
      <c r="I84" s="5"/>
      <c r="J84" s="5"/>
      <c r="K84" s="5"/>
      <c r="L84" s="5"/>
      <c r="M84" s="20"/>
      <c r="N84" s="26">
        <f>SUM(J3:M3)</f>
        <v>60</v>
      </c>
      <c r="O84" s="24"/>
      <c r="P84" s="137">
        <f>N84</f>
        <v>60</v>
      </c>
      <c r="Q84" s="13" t="s">
        <v>588</v>
      </c>
    </row>
    <row r="85" spans="1:17" s="9" customFormat="1" ht="30" x14ac:dyDescent="0.25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392</v>
      </c>
      <c r="G85" s="45" t="s">
        <v>556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553</v>
      </c>
    </row>
    <row r="86" spans="1:17" s="9" customFormat="1" x14ac:dyDescent="0.25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556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573</v>
      </c>
    </row>
    <row r="87" spans="1:17" s="9" customFormat="1" ht="30" x14ac:dyDescent="0.25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556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596</v>
      </c>
    </row>
    <row r="88" spans="1:17" s="9" customFormat="1" x14ac:dyDescent="0.25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393</v>
      </c>
      <c r="G88" s="45" t="s">
        <v>556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589</v>
      </c>
    </row>
    <row r="89" spans="1:17" s="9" customFormat="1" x14ac:dyDescent="0.25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556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595</v>
      </c>
    </row>
    <row r="90" spans="1:17" s="9" customFormat="1" ht="30" x14ac:dyDescent="0.25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590</v>
      </c>
      <c r="G90" s="45" t="s">
        <v>556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591</v>
      </c>
    </row>
    <row r="91" spans="1:17" s="9" customFormat="1" ht="30" x14ac:dyDescent="0.25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501</v>
      </c>
      <c r="G91" s="45" t="s">
        <v>556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592</v>
      </c>
    </row>
    <row r="92" spans="1:17" s="9" customFormat="1" ht="30" x14ac:dyDescent="0.25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270</v>
      </c>
      <c r="G92" s="45" t="s">
        <v>556</v>
      </c>
      <c r="H92" s="5"/>
      <c r="I92" s="5"/>
      <c r="J92" s="5"/>
      <c r="K92" s="5"/>
      <c r="L92" s="5"/>
      <c r="M92" s="5"/>
      <c r="N92" s="20">
        <f>(J3+K3+L3+M3)*2</f>
        <v>120</v>
      </c>
      <c r="O92" s="24"/>
      <c r="P92" s="137">
        <f>N92</f>
        <v>120</v>
      </c>
      <c r="Q92" s="13" t="s">
        <v>594</v>
      </c>
    </row>
    <row r="93" spans="1:17" s="9" customFormat="1" ht="30" x14ac:dyDescent="0.25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556</v>
      </c>
      <c r="H93" s="5"/>
      <c r="I93" s="5"/>
      <c r="J93" s="5"/>
      <c r="K93" s="5"/>
      <c r="L93" s="5"/>
      <c r="M93" s="5"/>
      <c r="N93" s="20">
        <f>(H3+I3)*2</f>
        <v>0</v>
      </c>
      <c r="O93" s="24"/>
      <c r="P93" s="137">
        <f>N93</f>
        <v>0</v>
      </c>
      <c r="Q93" s="13" t="s">
        <v>593</v>
      </c>
    </row>
    <row r="94" spans="1:17" s="9" customFormat="1" ht="30" x14ac:dyDescent="0.25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556</v>
      </c>
      <c r="H94" s="5"/>
      <c r="I94" s="5"/>
      <c r="J94" s="5"/>
      <c r="K94" s="5"/>
      <c r="L94" s="5"/>
      <c r="M94" s="5"/>
      <c r="N94" s="20">
        <f>SUM(I3:J3)</f>
        <v>20</v>
      </c>
      <c r="O94" s="24">
        <f>N94</f>
        <v>20</v>
      </c>
      <c r="P94" s="137">
        <f>ROUND(O94,0)</f>
        <v>20</v>
      </c>
      <c r="Q94" s="13" t="s">
        <v>602</v>
      </c>
    </row>
    <row r="95" spans="1:17" s="9" customFormat="1" x14ac:dyDescent="0.25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395</v>
      </c>
      <c r="G95" s="45" t="s">
        <v>556</v>
      </c>
      <c r="H95" s="5"/>
      <c r="I95" s="5"/>
      <c r="J95" s="5"/>
      <c r="K95" s="5"/>
      <c r="L95" s="5"/>
      <c r="M95" s="5"/>
      <c r="N95" s="20">
        <f>SUM(J3:M3)</f>
        <v>60</v>
      </c>
      <c r="O95" s="24">
        <f>N95</f>
        <v>60</v>
      </c>
      <c r="P95" s="137">
        <f>ROUND(O95,0)</f>
        <v>60</v>
      </c>
      <c r="Q95" s="13" t="s">
        <v>601</v>
      </c>
    </row>
    <row r="96" spans="1:17" s="9" customFormat="1" x14ac:dyDescent="0.25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556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603</v>
      </c>
    </row>
    <row r="97" spans="1:17" s="9" customFormat="1" x14ac:dyDescent="0.25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556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598</v>
      </c>
    </row>
    <row r="98" spans="1:17" s="9" customFormat="1" x14ac:dyDescent="0.25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556</v>
      </c>
      <c r="H98" s="5"/>
      <c r="I98" s="5"/>
      <c r="J98" s="5"/>
      <c r="K98" s="5"/>
      <c r="L98" s="5"/>
      <c r="M98" s="5"/>
      <c r="N98" s="20">
        <f>'INFORMACION BASE'!E25</f>
        <v>3</v>
      </c>
      <c r="O98" s="24"/>
      <c r="P98" s="137">
        <f t="shared" si="6"/>
        <v>3</v>
      </c>
      <c r="Q98" s="13" t="s">
        <v>597</v>
      </c>
    </row>
    <row r="99" spans="1:17" s="9" customFormat="1" x14ac:dyDescent="0.25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397</v>
      </c>
      <c r="G99" s="45" t="s">
        <v>556</v>
      </c>
      <c r="H99" s="5"/>
      <c r="I99" s="5"/>
      <c r="J99" s="5"/>
      <c r="K99" s="5"/>
      <c r="L99" s="5"/>
      <c r="M99" s="5"/>
      <c r="N99" s="20">
        <f>'INFORMACION BASE'!E25</f>
        <v>3</v>
      </c>
      <c r="O99" s="24"/>
      <c r="P99" s="137">
        <f t="shared" si="6"/>
        <v>3</v>
      </c>
      <c r="Q99" s="13" t="s">
        <v>597</v>
      </c>
    </row>
    <row r="100" spans="1:17" s="9" customFormat="1" x14ac:dyDescent="0.25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396</v>
      </c>
      <c r="G100" s="45" t="s">
        <v>556</v>
      </c>
      <c r="H100" s="5"/>
      <c r="I100" s="5"/>
      <c r="J100" s="5"/>
      <c r="K100" s="5"/>
      <c r="L100" s="5"/>
      <c r="M100" s="5"/>
      <c r="N100" s="20">
        <f>'INFORMACION BASE'!E25</f>
        <v>3</v>
      </c>
      <c r="O100" s="24"/>
      <c r="P100" s="137">
        <f t="shared" si="6"/>
        <v>3</v>
      </c>
      <c r="Q100" s="13" t="s">
        <v>597</v>
      </c>
    </row>
    <row r="101" spans="1:17" s="9" customFormat="1" ht="30" x14ac:dyDescent="0.25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556</v>
      </c>
      <c r="H101" s="5"/>
      <c r="I101" s="5"/>
      <c r="J101" s="5"/>
      <c r="K101" s="5"/>
      <c r="L101" s="5"/>
      <c r="M101" s="5"/>
      <c r="N101" s="20">
        <f>(H3*0.3)+I3</f>
        <v>0</v>
      </c>
      <c r="O101" s="24"/>
      <c r="P101" s="137">
        <f t="shared" si="6"/>
        <v>0</v>
      </c>
      <c r="Q101" s="13" t="s">
        <v>599</v>
      </c>
    </row>
    <row r="102" spans="1:17" s="9" customFormat="1" x14ac:dyDescent="0.25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556</v>
      </c>
      <c r="H102" s="5"/>
      <c r="I102" s="5"/>
      <c r="J102" s="5"/>
      <c r="K102" s="5"/>
      <c r="L102" s="5"/>
      <c r="M102" s="5"/>
      <c r="N102" s="20">
        <f>'INFORMACION BASE'!E25</f>
        <v>3</v>
      </c>
      <c r="O102" s="24"/>
      <c r="P102" s="137">
        <f t="shared" si="6"/>
        <v>3</v>
      </c>
      <c r="Q102" s="13" t="s">
        <v>597</v>
      </c>
    </row>
    <row r="103" spans="1:17" s="9" customFormat="1" x14ac:dyDescent="0.25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394</v>
      </c>
      <c r="G103" s="45" t="s">
        <v>556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600</v>
      </c>
    </row>
    <row r="104" spans="1:17" s="9" customFormat="1" ht="30" x14ac:dyDescent="0.25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455</v>
      </c>
      <c r="G104" s="45" t="s">
        <v>556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605</v>
      </c>
    </row>
    <row r="105" spans="1:17" s="9" customFormat="1" ht="30" x14ac:dyDescent="0.25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556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604</v>
      </c>
    </row>
    <row r="106" spans="1:17" s="9" customFormat="1" ht="30" x14ac:dyDescent="0.25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556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604</v>
      </c>
    </row>
    <row r="107" spans="1:17" s="9" customFormat="1" ht="30" x14ac:dyDescent="0.25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556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604</v>
      </c>
    </row>
    <row r="108" spans="1:17" s="9" customFormat="1" ht="30" x14ac:dyDescent="0.25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399</v>
      </c>
      <c r="G108" s="45" t="s">
        <v>556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607</v>
      </c>
    </row>
    <row r="109" spans="1:17" s="9" customFormat="1" ht="30" x14ac:dyDescent="0.25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556</v>
      </c>
      <c r="H109" s="5"/>
      <c r="I109" s="5"/>
      <c r="J109" s="5"/>
      <c r="K109" s="5"/>
      <c r="L109" s="5"/>
      <c r="M109" s="5"/>
      <c r="N109" s="20">
        <f>SUM(J3:M3)/4+2</f>
        <v>17</v>
      </c>
      <c r="O109" s="24"/>
      <c r="P109" s="137">
        <f>ROUND(N109,0)</f>
        <v>17</v>
      </c>
      <c r="Q109" s="13" t="s">
        <v>608</v>
      </c>
    </row>
    <row r="110" spans="1:17" s="9" customFormat="1" x14ac:dyDescent="0.25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398</v>
      </c>
      <c r="G110" s="45" t="s">
        <v>556</v>
      </c>
      <c r="H110" s="5"/>
      <c r="I110" s="5"/>
      <c r="J110" s="5"/>
      <c r="K110" s="5"/>
      <c r="L110" s="5"/>
      <c r="M110" s="5"/>
      <c r="N110" s="20">
        <f>SUM(H3:I3)*0.5</f>
        <v>0</v>
      </c>
      <c r="O110" s="24"/>
      <c r="P110" s="137">
        <f>ROUND(N110,0)</f>
        <v>0</v>
      </c>
      <c r="Q110" s="13" t="s">
        <v>606</v>
      </c>
    </row>
    <row r="111" spans="1:17" s="9" customFormat="1" ht="30" x14ac:dyDescent="0.25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400</v>
      </c>
      <c r="G111" s="45" t="s">
        <v>556</v>
      </c>
      <c r="H111" s="5"/>
      <c r="I111" s="5"/>
      <c r="J111" s="5"/>
      <c r="K111" s="5"/>
      <c r="L111" s="5"/>
      <c r="M111" s="5"/>
      <c r="N111" s="20">
        <f>SUM(I3:M3)</f>
        <v>60</v>
      </c>
      <c r="O111" s="24"/>
      <c r="P111" s="137">
        <f>N111</f>
        <v>60</v>
      </c>
      <c r="Q111" s="13" t="s">
        <v>609</v>
      </c>
    </row>
    <row r="112" spans="1:17" s="9" customFormat="1" x14ac:dyDescent="0.25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401</v>
      </c>
      <c r="G112" s="45" t="s">
        <v>556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573</v>
      </c>
    </row>
    <row r="113" spans="1:17" s="9" customFormat="1" x14ac:dyDescent="0.25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403</v>
      </c>
      <c r="G113" s="45" t="s">
        <v>556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573</v>
      </c>
    </row>
    <row r="114" spans="1:17" s="9" customFormat="1" x14ac:dyDescent="0.25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402</v>
      </c>
      <c r="G114" s="45" t="s">
        <v>556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573</v>
      </c>
    </row>
    <row r="115" spans="1:17" s="9" customFormat="1" x14ac:dyDescent="0.25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456</v>
      </c>
      <c r="G115" s="45" t="s">
        <v>556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610</v>
      </c>
    </row>
    <row r="116" spans="1:17" s="9" customFormat="1" x14ac:dyDescent="0.25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404</v>
      </c>
      <c r="G116" s="45" t="s">
        <v>556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610</v>
      </c>
    </row>
    <row r="117" spans="1:17" s="9" customFormat="1" ht="30" x14ac:dyDescent="0.25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406</v>
      </c>
      <c r="G117" s="45" t="s">
        <v>556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552</v>
      </c>
    </row>
    <row r="118" spans="1:17" s="9" customFormat="1" x14ac:dyDescent="0.25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279</v>
      </c>
      <c r="G118" s="45" t="s">
        <v>556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573</v>
      </c>
    </row>
    <row r="119" spans="1:17" s="9" customFormat="1" ht="30" x14ac:dyDescent="0.25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534</v>
      </c>
      <c r="G119" s="45" t="s">
        <v>556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552</v>
      </c>
    </row>
    <row r="120" spans="1:17" s="9" customFormat="1" x14ac:dyDescent="0.25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457</v>
      </c>
      <c r="G120" s="45" t="s">
        <v>556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573</v>
      </c>
    </row>
    <row r="121" spans="1:17" s="9" customFormat="1" x14ac:dyDescent="0.25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556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574</v>
      </c>
    </row>
    <row r="122" spans="1:17" s="9" customFormat="1" ht="30" x14ac:dyDescent="0.25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405</v>
      </c>
      <c r="G122" s="45" t="s">
        <v>556</v>
      </c>
      <c r="H122" s="5"/>
      <c r="I122" s="5"/>
      <c r="J122" s="5"/>
      <c r="K122" s="5"/>
      <c r="L122" s="5"/>
      <c r="M122" s="5"/>
      <c r="N122" s="20">
        <f>P3*0.6</f>
        <v>36</v>
      </c>
      <c r="O122" s="24"/>
      <c r="P122" s="137">
        <f>ROUND(N122,0)</f>
        <v>36</v>
      </c>
      <c r="Q122" s="13" t="s">
        <v>611</v>
      </c>
    </row>
    <row r="123" spans="1:17" s="9" customFormat="1" ht="30" x14ac:dyDescent="0.25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407</v>
      </c>
      <c r="G123" s="45" t="s">
        <v>556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3</v>
      </c>
      <c r="O123" s="24"/>
      <c r="P123" s="137">
        <f>N123</f>
        <v>3</v>
      </c>
      <c r="Q123" s="27" t="s">
        <v>612</v>
      </c>
    </row>
    <row r="124" spans="1:17" s="9" customFormat="1" ht="30" x14ac:dyDescent="0.25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408</v>
      </c>
      <c r="G124" s="45" t="s">
        <v>556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573</v>
      </c>
    </row>
    <row r="125" spans="1:17" s="9" customFormat="1" ht="30" x14ac:dyDescent="0.25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306</v>
      </c>
      <c r="G125" s="45" t="s">
        <v>556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576</v>
      </c>
    </row>
    <row r="126" spans="1:17" s="9" customFormat="1" ht="30" x14ac:dyDescent="0.25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307</v>
      </c>
      <c r="G126" s="45" t="s">
        <v>556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575</v>
      </c>
    </row>
    <row r="127" spans="1:17" s="9" customFormat="1" ht="30" x14ac:dyDescent="0.25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536</v>
      </c>
      <c r="G127" s="45" t="s">
        <v>556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573</v>
      </c>
    </row>
    <row r="128" spans="1:17" s="9" customFormat="1" ht="30" x14ac:dyDescent="0.25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556</v>
      </c>
      <c r="H128" s="5"/>
      <c r="I128" s="5"/>
      <c r="J128" s="5"/>
      <c r="K128" s="5"/>
      <c r="L128" s="5"/>
      <c r="M128" s="5"/>
      <c r="N128" s="20">
        <f>'INFORMACION BASE'!E25</f>
        <v>3</v>
      </c>
      <c r="O128" s="24"/>
      <c r="P128" s="137">
        <f>N128</f>
        <v>3</v>
      </c>
      <c r="Q128" s="13" t="s">
        <v>614</v>
      </c>
    </row>
    <row r="129" spans="1:17" s="9" customFormat="1" ht="30" x14ac:dyDescent="0.25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556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573</v>
      </c>
    </row>
    <row r="130" spans="1:17" s="9" customFormat="1" ht="30" x14ac:dyDescent="0.25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556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552</v>
      </c>
    </row>
    <row r="131" spans="1:17" s="9" customFormat="1" ht="30" x14ac:dyDescent="0.25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556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613</v>
      </c>
    </row>
    <row r="132" spans="1:17" s="9" customFormat="1" ht="30" x14ac:dyDescent="0.25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556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553</v>
      </c>
    </row>
    <row r="133" spans="1:17" s="9" customFormat="1" ht="30" x14ac:dyDescent="0.25">
      <c r="A133" s="5">
        <v>130</v>
      </c>
      <c r="B133" s="6">
        <v>654321</v>
      </c>
      <c r="C133" s="30" t="s">
        <v>106</v>
      </c>
      <c r="D133" s="11" t="s">
        <v>511</v>
      </c>
      <c r="E133" s="7" t="s">
        <v>107</v>
      </c>
      <c r="F133" s="34" t="s">
        <v>180</v>
      </c>
      <c r="G133" s="45" t="s">
        <v>556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621</v>
      </c>
    </row>
    <row r="134" spans="1:17" s="9" customFormat="1" ht="30" x14ac:dyDescent="0.25">
      <c r="A134" s="5">
        <v>131</v>
      </c>
      <c r="B134" s="6">
        <v>654321</v>
      </c>
      <c r="C134" s="30" t="s">
        <v>106</v>
      </c>
      <c r="D134" s="11" t="s">
        <v>506</v>
      </c>
      <c r="E134" s="7" t="s">
        <v>107</v>
      </c>
      <c r="F134" s="34" t="s">
        <v>622</v>
      </c>
      <c r="G134" s="45" t="s">
        <v>556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621</v>
      </c>
    </row>
    <row r="135" spans="1:17" s="9" customFormat="1" ht="30" x14ac:dyDescent="0.25">
      <c r="A135" s="5">
        <v>132</v>
      </c>
      <c r="B135" s="6">
        <v>654321</v>
      </c>
      <c r="C135" s="30" t="s">
        <v>106</v>
      </c>
      <c r="D135" s="11" t="s">
        <v>511</v>
      </c>
      <c r="E135" s="7" t="s">
        <v>107</v>
      </c>
      <c r="F135" s="34" t="s">
        <v>460</v>
      </c>
      <c r="G135" s="45" t="s">
        <v>556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623</v>
      </c>
    </row>
    <row r="136" spans="1:17" s="9" customFormat="1" ht="30" x14ac:dyDescent="0.25">
      <c r="A136" s="5">
        <v>133</v>
      </c>
      <c r="B136" s="6">
        <v>654321</v>
      </c>
      <c r="C136" s="30" t="s">
        <v>106</v>
      </c>
      <c r="D136" s="11" t="s">
        <v>511</v>
      </c>
      <c r="E136" s="7" t="s">
        <v>107</v>
      </c>
      <c r="F136" s="34" t="s">
        <v>624</v>
      </c>
      <c r="G136" s="45" t="s">
        <v>556</v>
      </c>
      <c r="H136" s="28"/>
      <c r="I136" s="28"/>
      <c r="J136" s="26"/>
      <c r="K136" s="26"/>
      <c r="L136" s="26"/>
      <c r="M136" s="26"/>
      <c r="N136" s="79">
        <f>'INFORMACION BASE'!E25</f>
        <v>3</v>
      </c>
      <c r="O136" s="24"/>
      <c r="P136" s="137">
        <f t="shared" si="7"/>
        <v>3</v>
      </c>
      <c r="Q136" s="13" t="s">
        <v>615</v>
      </c>
    </row>
    <row r="137" spans="1:17" s="9" customFormat="1" ht="30" x14ac:dyDescent="0.25">
      <c r="A137" s="5">
        <v>134</v>
      </c>
      <c r="B137" s="6">
        <v>654321</v>
      </c>
      <c r="C137" s="30" t="s">
        <v>106</v>
      </c>
      <c r="D137" s="11" t="s">
        <v>511</v>
      </c>
      <c r="E137" s="7" t="s">
        <v>107</v>
      </c>
      <c r="F137" s="34" t="s">
        <v>413</v>
      </c>
      <c r="G137" s="45" t="s">
        <v>556</v>
      </c>
      <c r="H137" s="28"/>
      <c r="I137" s="28"/>
      <c r="J137" s="26"/>
      <c r="K137" s="26"/>
      <c r="L137" s="26"/>
      <c r="M137" s="26"/>
      <c r="N137" s="79">
        <f>SUM('INFORMACION BASE'!E20:E24)</f>
        <v>3</v>
      </c>
      <c r="O137" s="24"/>
      <c r="P137" s="137">
        <v>1</v>
      </c>
      <c r="Q137" s="13" t="s">
        <v>625</v>
      </c>
    </row>
    <row r="138" spans="1:17" s="9" customFormat="1" ht="30" x14ac:dyDescent="0.25">
      <c r="A138" s="5">
        <v>135</v>
      </c>
      <c r="B138" s="6">
        <v>654321</v>
      </c>
      <c r="C138" s="30" t="s">
        <v>106</v>
      </c>
      <c r="D138" s="11" t="s">
        <v>511</v>
      </c>
      <c r="E138" s="7" t="s">
        <v>107</v>
      </c>
      <c r="F138" s="34" t="s">
        <v>462</v>
      </c>
      <c r="G138" s="45" t="s">
        <v>556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618</v>
      </c>
    </row>
    <row r="139" spans="1:17" s="9" customFormat="1" ht="30" x14ac:dyDescent="0.25">
      <c r="A139" s="5">
        <v>136</v>
      </c>
      <c r="B139" s="6">
        <v>654321</v>
      </c>
      <c r="C139" s="30" t="s">
        <v>106</v>
      </c>
      <c r="D139" s="11" t="s">
        <v>511</v>
      </c>
      <c r="E139" s="7" t="s">
        <v>107</v>
      </c>
      <c r="F139" s="34" t="s">
        <v>411</v>
      </c>
      <c r="G139" s="45" t="s">
        <v>556</v>
      </c>
      <c r="H139" s="28"/>
      <c r="I139" s="28"/>
      <c r="J139" s="26"/>
      <c r="K139" s="26"/>
      <c r="L139" s="26"/>
      <c r="M139" s="26"/>
      <c r="N139" s="79">
        <f>'INFORMACION BASE'!E25</f>
        <v>3</v>
      </c>
      <c r="O139" s="24"/>
      <c r="P139" s="137">
        <f>N139</f>
        <v>3</v>
      </c>
      <c r="Q139" s="13" t="s">
        <v>617</v>
      </c>
    </row>
    <row r="140" spans="1:17" s="9" customFormat="1" ht="30" x14ac:dyDescent="0.25">
      <c r="A140" s="5">
        <v>137</v>
      </c>
      <c r="B140" s="6">
        <v>654321</v>
      </c>
      <c r="C140" s="30" t="s">
        <v>106</v>
      </c>
      <c r="D140" s="11" t="s">
        <v>511</v>
      </c>
      <c r="E140" s="7" t="s">
        <v>107</v>
      </c>
      <c r="F140" s="34" t="s">
        <v>626</v>
      </c>
      <c r="G140" s="45" t="s">
        <v>556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618</v>
      </c>
    </row>
    <row r="141" spans="1:17" s="9" customFormat="1" ht="30" x14ac:dyDescent="0.25">
      <c r="A141" s="5">
        <v>138</v>
      </c>
      <c r="B141" s="6">
        <v>654321</v>
      </c>
      <c r="C141" s="30" t="s">
        <v>106</v>
      </c>
      <c r="D141" s="11" t="s">
        <v>511</v>
      </c>
      <c r="E141" s="7" t="s">
        <v>107</v>
      </c>
      <c r="F141" s="34" t="s">
        <v>627</v>
      </c>
      <c r="G141" s="45" t="s">
        <v>556</v>
      </c>
      <c r="H141" s="28"/>
      <c r="I141" s="28"/>
      <c r="J141" s="26"/>
      <c r="K141" s="26"/>
      <c r="L141" s="26"/>
      <c r="M141" s="26"/>
      <c r="N141" s="79">
        <f>SUM('INFORMACION BASE'!E20:E24)</f>
        <v>3</v>
      </c>
      <c r="O141" s="24"/>
      <c r="P141" s="137">
        <f t="shared" ref="P141:P148" si="8">N141</f>
        <v>3</v>
      </c>
      <c r="Q141" s="13" t="s">
        <v>628</v>
      </c>
    </row>
    <row r="142" spans="1:17" s="9" customFormat="1" ht="30" x14ac:dyDescent="0.25">
      <c r="A142" s="5">
        <v>139</v>
      </c>
      <c r="B142" s="6">
        <v>654321</v>
      </c>
      <c r="C142" s="30" t="s">
        <v>106</v>
      </c>
      <c r="D142" s="11" t="s">
        <v>511</v>
      </c>
      <c r="E142" s="7" t="s">
        <v>107</v>
      </c>
      <c r="F142" s="34" t="s">
        <v>629</v>
      </c>
      <c r="G142" s="45" t="s">
        <v>556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630</v>
      </c>
    </row>
    <row r="143" spans="1:17" s="9" customFormat="1" ht="30" x14ac:dyDescent="0.25">
      <c r="A143" s="5">
        <v>140</v>
      </c>
      <c r="B143" s="6">
        <v>654321</v>
      </c>
      <c r="C143" s="30" t="s">
        <v>106</v>
      </c>
      <c r="D143" s="11" t="s">
        <v>507</v>
      </c>
      <c r="E143" s="7" t="s">
        <v>107</v>
      </c>
      <c r="F143" s="34" t="s">
        <v>631</v>
      </c>
      <c r="G143" s="45" t="s">
        <v>556</v>
      </c>
      <c r="H143" s="28"/>
      <c r="I143" s="28"/>
      <c r="J143" s="26"/>
      <c r="K143" s="26"/>
      <c r="L143" s="26"/>
      <c r="M143" s="26"/>
      <c r="N143" s="79">
        <f>SUM('INFORMACION BASE'!E19:E21)</f>
        <v>1</v>
      </c>
      <c r="O143" s="24"/>
      <c r="P143" s="137">
        <f t="shared" si="8"/>
        <v>1</v>
      </c>
      <c r="Q143" s="13" t="s">
        <v>632</v>
      </c>
    </row>
    <row r="144" spans="1:17" s="9" customFormat="1" ht="30" x14ac:dyDescent="0.25">
      <c r="A144" s="5">
        <v>141</v>
      </c>
      <c r="B144" s="6">
        <v>654321</v>
      </c>
      <c r="C144" s="30" t="s">
        <v>106</v>
      </c>
      <c r="D144" s="11" t="s">
        <v>504</v>
      </c>
      <c r="E144" s="7" t="s">
        <v>121</v>
      </c>
      <c r="F144" s="34" t="s">
        <v>633</v>
      </c>
      <c r="G144" s="45" t="s">
        <v>556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621</v>
      </c>
    </row>
    <row r="145" spans="1:17" s="9" customFormat="1" ht="30" x14ac:dyDescent="0.25">
      <c r="A145" s="5">
        <v>142</v>
      </c>
      <c r="B145" s="6">
        <v>654321</v>
      </c>
      <c r="C145" s="30" t="s">
        <v>106</v>
      </c>
      <c r="D145" s="11" t="s">
        <v>511</v>
      </c>
      <c r="E145" s="7" t="s">
        <v>121</v>
      </c>
      <c r="F145" s="34" t="s">
        <v>634</v>
      </c>
      <c r="G145" s="45" t="s">
        <v>556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621</v>
      </c>
    </row>
    <row r="146" spans="1:17" s="9" customFormat="1" ht="30" x14ac:dyDescent="0.25">
      <c r="A146" s="5">
        <v>143</v>
      </c>
      <c r="B146" s="6">
        <v>654321</v>
      </c>
      <c r="C146" s="30" t="s">
        <v>106</v>
      </c>
      <c r="D146" s="11" t="s">
        <v>504</v>
      </c>
      <c r="E146" s="7" t="s">
        <v>126</v>
      </c>
      <c r="F146" s="34" t="s">
        <v>635</v>
      </c>
      <c r="G146" s="45" t="s">
        <v>556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621</v>
      </c>
    </row>
    <row r="147" spans="1:17" s="9" customFormat="1" ht="30" x14ac:dyDescent="0.25">
      <c r="A147" s="5">
        <v>144</v>
      </c>
      <c r="B147" s="6">
        <v>654321</v>
      </c>
      <c r="C147" s="30" t="s">
        <v>106</v>
      </c>
      <c r="D147" s="11" t="s">
        <v>504</v>
      </c>
      <c r="E147" s="7" t="s">
        <v>126</v>
      </c>
      <c r="F147" s="34" t="s">
        <v>636</v>
      </c>
      <c r="G147" s="45" t="s">
        <v>556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553</v>
      </c>
    </row>
    <row r="148" spans="1:17" s="9" customFormat="1" ht="30" x14ac:dyDescent="0.25">
      <c r="A148" s="5">
        <v>145</v>
      </c>
      <c r="B148" s="6">
        <v>654321</v>
      </c>
      <c r="C148" s="30" t="s">
        <v>106</v>
      </c>
      <c r="D148" s="11" t="s">
        <v>511</v>
      </c>
      <c r="E148" s="7" t="s">
        <v>126</v>
      </c>
      <c r="F148" s="34" t="s">
        <v>637</v>
      </c>
      <c r="G148" s="45" t="s">
        <v>556</v>
      </c>
      <c r="H148" s="28"/>
      <c r="I148" s="28"/>
      <c r="J148" s="26"/>
      <c r="K148" s="26"/>
      <c r="L148" s="26"/>
      <c r="M148" s="26"/>
      <c r="N148" s="79">
        <f>'INFORMACION BASE'!E25</f>
        <v>3</v>
      </c>
      <c r="O148" s="24"/>
      <c r="P148" s="137">
        <f t="shared" si="8"/>
        <v>3</v>
      </c>
      <c r="Q148" s="13" t="s">
        <v>638</v>
      </c>
    </row>
    <row r="149" spans="1:17" s="9" customFormat="1" ht="30" x14ac:dyDescent="0.25">
      <c r="A149" s="5">
        <v>146</v>
      </c>
      <c r="B149" s="6">
        <v>654321</v>
      </c>
      <c r="C149" s="30" t="s">
        <v>106</v>
      </c>
      <c r="D149" s="11" t="s">
        <v>504</v>
      </c>
      <c r="E149" s="7" t="s">
        <v>126</v>
      </c>
      <c r="F149" s="34" t="s">
        <v>639</v>
      </c>
      <c r="G149" s="45" t="s">
        <v>556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618</v>
      </c>
    </row>
    <row r="150" spans="1:17" s="9" customFormat="1" ht="30" x14ac:dyDescent="0.25">
      <c r="A150" s="5">
        <v>147</v>
      </c>
      <c r="B150" s="6">
        <v>654321</v>
      </c>
      <c r="C150" s="30" t="s">
        <v>106</v>
      </c>
      <c r="D150" s="11" t="s">
        <v>504</v>
      </c>
      <c r="E150" s="7" t="s">
        <v>126</v>
      </c>
      <c r="F150" s="34" t="s">
        <v>640</v>
      </c>
      <c r="G150" s="45" t="s">
        <v>556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618</v>
      </c>
    </row>
    <row r="151" spans="1:17" s="9" customFormat="1" ht="30" x14ac:dyDescent="0.25">
      <c r="A151" s="5">
        <v>148</v>
      </c>
      <c r="B151" s="6">
        <v>654321</v>
      </c>
      <c r="C151" s="30" t="s">
        <v>106</v>
      </c>
      <c r="D151" s="11" t="s">
        <v>511</v>
      </c>
      <c r="E151" s="7" t="s">
        <v>126</v>
      </c>
      <c r="F151" s="34" t="s">
        <v>138</v>
      </c>
      <c r="G151" s="45" t="s">
        <v>556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630</v>
      </c>
    </row>
    <row r="152" spans="1:17" s="9" customFormat="1" ht="30" x14ac:dyDescent="0.25">
      <c r="A152" s="5">
        <v>149</v>
      </c>
      <c r="B152" s="6">
        <v>654321</v>
      </c>
      <c r="C152" s="30" t="s">
        <v>106</v>
      </c>
      <c r="D152" s="11" t="s">
        <v>511</v>
      </c>
      <c r="E152" s="7" t="s">
        <v>135</v>
      </c>
      <c r="F152" s="34" t="s">
        <v>158</v>
      </c>
      <c r="G152" s="45" t="s">
        <v>556</v>
      </c>
      <c r="H152" s="10"/>
      <c r="I152" s="29"/>
      <c r="J152" s="29"/>
      <c r="K152" s="26"/>
      <c r="L152" s="26"/>
      <c r="M152" s="26"/>
      <c r="N152" s="79">
        <f>SUM('INFORMACION BASE'!E20:E21)*2</f>
        <v>2</v>
      </c>
      <c r="O152" s="24"/>
      <c r="P152" s="137">
        <f t="shared" si="9"/>
        <v>2</v>
      </c>
      <c r="Q152" s="13" t="s">
        <v>641</v>
      </c>
    </row>
    <row r="153" spans="1:17" s="9" customFormat="1" ht="30" x14ac:dyDescent="0.25">
      <c r="A153" s="5">
        <v>150</v>
      </c>
      <c r="B153" s="6">
        <v>654321</v>
      </c>
      <c r="C153" s="30" t="s">
        <v>106</v>
      </c>
      <c r="D153" s="11" t="s">
        <v>511</v>
      </c>
      <c r="E153" s="7" t="s">
        <v>135</v>
      </c>
      <c r="F153" s="34" t="s">
        <v>642</v>
      </c>
      <c r="G153" s="45" t="s">
        <v>556</v>
      </c>
      <c r="H153" s="10"/>
      <c r="I153" s="29"/>
      <c r="J153" s="29"/>
      <c r="K153" s="26"/>
      <c r="L153" s="26"/>
      <c r="M153" s="26"/>
      <c r="N153" s="79">
        <f>SUM('INFORMACION BASE'!E20:E21)</f>
        <v>1</v>
      </c>
      <c r="O153" s="24"/>
      <c r="P153" s="137">
        <f t="shared" si="9"/>
        <v>1</v>
      </c>
      <c r="Q153" s="13" t="s">
        <v>643</v>
      </c>
    </row>
    <row r="154" spans="1:17" s="9" customFormat="1" ht="30" x14ac:dyDescent="0.25">
      <c r="A154" s="5">
        <v>151</v>
      </c>
      <c r="B154" s="6">
        <v>654321</v>
      </c>
      <c r="C154" s="30" t="s">
        <v>106</v>
      </c>
      <c r="D154" s="11" t="s">
        <v>510</v>
      </c>
      <c r="E154" s="7" t="s">
        <v>107</v>
      </c>
      <c r="F154" s="34" t="s">
        <v>153</v>
      </c>
      <c r="G154" s="45" t="s">
        <v>556</v>
      </c>
      <c r="H154" s="19"/>
      <c r="I154" s="19"/>
      <c r="J154" s="20"/>
      <c r="K154" s="20"/>
      <c r="L154" s="20"/>
      <c r="M154" s="20"/>
      <c r="N154" s="79">
        <f>SUM('INFORMACION BASE'!E19:E21)</f>
        <v>1</v>
      </c>
      <c r="O154" s="24"/>
      <c r="P154" s="137">
        <f t="shared" si="9"/>
        <v>1</v>
      </c>
      <c r="Q154" s="13" t="s">
        <v>644</v>
      </c>
    </row>
    <row r="155" spans="1:17" s="9" customFormat="1" ht="30" x14ac:dyDescent="0.25">
      <c r="A155" s="5">
        <v>152</v>
      </c>
      <c r="B155" s="6">
        <v>654321</v>
      </c>
      <c r="C155" s="30" t="s">
        <v>106</v>
      </c>
      <c r="D155" s="11" t="s">
        <v>506</v>
      </c>
      <c r="E155" s="7" t="s">
        <v>107</v>
      </c>
      <c r="F155" s="34" t="s">
        <v>645</v>
      </c>
      <c r="G155" s="45" t="s">
        <v>556</v>
      </c>
      <c r="H155" s="19"/>
      <c r="I155" s="19"/>
      <c r="J155" s="20"/>
      <c r="K155" s="20"/>
      <c r="L155" s="20"/>
      <c r="M155" s="20"/>
      <c r="N155" s="79">
        <f>SUM('INFORMACION BASE'!E19:E21)</f>
        <v>1</v>
      </c>
      <c r="O155" s="24"/>
      <c r="P155" s="137">
        <f t="shared" si="9"/>
        <v>1</v>
      </c>
      <c r="Q155" s="13" t="s">
        <v>644</v>
      </c>
    </row>
    <row r="156" spans="1:17" s="9" customFormat="1" ht="30" x14ac:dyDescent="0.25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556</v>
      </c>
      <c r="H156" s="28"/>
      <c r="I156" s="28"/>
      <c r="J156" s="26"/>
      <c r="K156" s="26"/>
      <c r="L156" s="26"/>
      <c r="M156" s="26"/>
      <c r="N156" s="79">
        <f>SUM('INFORMACION BASE'!E19:E23)</f>
        <v>3</v>
      </c>
      <c r="O156" s="24"/>
      <c r="P156" s="137">
        <f t="shared" si="9"/>
        <v>3</v>
      </c>
      <c r="Q156" s="13" t="s">
        <v>617</v>
      </c>
    </row>
    <row r="157" spans="1:17" s="9" customFormat="1" ht="30" x14ac:dyDescent="0.25">
      <c r="A157" s="5">
        <v>154</v>
      </c>
      <c r="B157" s="6">
        <v>654321</v>
      </c>
      <c r="C157" s="30" t="s">
        <v>106</v>
      </c>
      <c r="D157" s="11" t="s">
        <v>509</v>
      </c>
      <c r="E157" s="7" t="s">
        <v>107</v>
      </c>
      <c r="F157" s="34" t="s">
        <v>646</v>
      </c>
      <c r="G157" s="45" t="s">
        <v>556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553</v>
      </c>
    </row>
    <row r="158" spans="1:17" s="9" customFormat="1" ht="30" x14ac:dyDescent="0.25">
      <c r="A158" s="5">
        <v>155</v>
      </c>
      <c r="B158" s="6">
        <v>654321</v>
      </c>
      <c r="C158" s="30" t="s">
        <v>106</v>
      </c>
      <c r="D158" s="11" t="s">
        <v>510</v>
      </c>
      <c r="E158" s="7" t="s">
        <v>107</v>
      </c>
      <c r="F158" s="34" t="s">
        <v>117</v>
      </c>
      <c r="G158" s="45" t="s">
        <v>556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553</v>
      </c>
    </row>
    <row r="159" spans="1:17" s="9" customFormat="1" ht="30" x14ac:dyDescent="0.25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556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647</v>
      </c>
    </row>
    <row r="160" spans="1:17" s="9" customFormat="1" ht="30" x14ac:dyDescent="0.25">
      <c r="A160" s="5">
        <v>157</v>
      </c>
      <c r="B160" s="6">
        <v>654321</v>
      </c>
      <c r="C160" s="30" t="s">
        <v>106</v>
      </c>
      <c r="D160" s="11" t="s">
        <v>509</v>
      </c>
      <c r="E160" s="7" t="s">
        <v>107</v>
      </c>
      <c r="F160" s="34" t="s">
        <v>114</v>
      </c>
      <c r="G160" s="45" t="s">
        <v>556</v>
      </c>
      <c r="H160" s="19"/>
      <c r="I160" s="19"/>
      <c r="J160" s="20"/>
      <c r="K160" s="20"/>
      <c r="L160" s="20"/>
      <c r="M160" s="20"/>
      <c r="N160" s="79">
        <f>IF($N$1&lt;=70,1,0)</f>
        <v>0</v>
      </c>
      <c r="O160" s="24"/>
      <c r="P160" s="137">
        <f t="shared" ref="P160:P171" si="10">N160</f>
        <v>0</v>
      </c>
      <c r="Q160" s="13" t="s">
        <v>648</v>
      </c>
    </row>
    <row r="161" spans="1:17" s="9" customFormat="1" ht="30" x14ac:dyDescent="0.25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556</v>
      </c>
      <c r="H161" s="19"/>
      <c r="I161" s="19"/>
      <c r="J161" s="20"/>
      <c r="K161" s="20"/>
      <c r="L161" s="20"/>
      <c r="M161" s="20"/>
      <c r="N161" s="79">
        <f>IF($N$1&gt;=70,1,0)</f>
        <v>1</v>
      </c>
      <c r="O161" s="24"/>
      <c r="P161" s="137">
        <f t="shared" si="10"/>
        <v>1</v>
      </c>
      <c r="Q161" s="13" t="s">
        <v>619</v>
      </c>
    </row>
    <row r="162" spans="1:17" s="9" customFormat="1" ht="30" x14ac:dyDescent="0.25">
      <c r="A162" s="5">
        <v>159</v>
      </c>
      <c r="B162" s="6">
        <v>654321</v>
      </c>
      <c r="C162" s="30" t="s">
        <v>106</v>
      </c>
      <c r="D162" s="11" t="s">
        <v>510</v>
      </c>
      <c r="E162" s="7" t="s">
        <v>107</v>
      </c>
      <c r="F162" s="34" t="s">
        <v>649</v>
      </c>
      <c r="G162" s="45" t="s">
        <v>556</v>
      </c>
      <c r="H162" s="19"/>
      <c r="I162" s="19"/>
      <c r="J162" s="20"/>
      <c r="K162" s="20"/>
      <c r="L162" s="20"/>
      <c r="M162" s="20"/>
      <c r="N162" s="79">
        <f>IF($N$1&gt;=70,1,0)</f>
        <v>1</v>
      </c>
      <c r="O162" s="24"/>
      <c r="P162" s="137">
        <f t="shared" si="10"/>
        <v>1</v>
      </c>
      <c r="Q162" s="13" t="s">
        <v>650</v>
      </c>
    </row>
    <row r="163" spans="1:17" s="9" customFormat="1" ht="30" x14ac:dyDescent="0.25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653</v>
      </c>
      <c r="G163" s="45" t="s">
        <v>556</v>
      </c>
      <c r="H163" s="28"/>
      <c r="I163" s="28"/>
      <c r="J163" s="26"/>
      <c r="K163" s="26"/>
      <c r="L163" s="26"/>
      <c r="M163" s="26"/>
      <c r="N163" s="79">
        <f>SUM('INFORMACION BASE'!E19:E23)</f>
        <v>3</v>
      </c>
      <c r="O163" s="24"/>
      <c r="P163" s="137">
        <f t="shared" si="10"/>
        <v>3</v>
      </c>
      <c r="Q163" s="13" t="s">
        <v>615</v>
      </c>
    </row>
    <row r="164" spans="1:17" s="9" customFormat="1" ht="30" x14ac:dyDescent="0.25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466</v>
      </c>
      <c r="G164" s="45" t="s">
        <v>556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553</v>
      </c>
    </row>
    <row r="165" spans="1:17" s="9" customFormat="1" ht="30" x14ac:dyDescent="0.25">
      <c r="A165" s="5">
        <v>162</v>
      </c>
      <c r="B165" s="6">
        <v>654321</v>
      </c>
      <c r="C165" s="30" t="s">
        <v>106</v>
      </c>
      <c r="D165" s="11" t="s">
        <v>510</v>
      </c>
      <c r="E165" s="7" t="s">
        <v>107</v>
      </c>
      <c r="F165" s="34" t="s">
        <v>654</v>
      </c>
      <c r="G165" s="45" t="s">
        <v>556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553</v>
      </c>
    </row>
    <row r="166" spans="1:17" s="9" customFormat="1" ht="30" x14ac:dyDescent="0.25">
      <c r="A166" s="5">
        <v>163</v>
      </c>
      <c r="B166" s="6">
        <v>654321</v>
      </c>
      <c r="C166" s="30" t="s">
        <v>106</v>
      </c>
      <c r="D166" s="11" t="s">
        <v>515</v>
      </c>
      <c r="E166" s="7" t="s">
        <v>121</v>
      </c>
      <c r="F166" s="34" t="s">
        <v>655</v>
      </c>
      <c r="G166" s="45" t="s">
        <v>556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553</v>
      </c>
    </row>
    <row r="167" spans="1:17" s="9" customFormat="1" ht="30" x14ac:dyDescent="0.25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656</v>
      </c>
      <c r="G167" s="45" t="s">
        <v>556</v>
      </c>
      <c r="H167" s="19"/>
      <c r="I167" s="19"/>
      <c r="J167" s="20"/>
      <c r="K167" s="20"/>
      <c r="L167" s="20"/>
      <c r="M167" s="20"/>
      <c r="N167" s="79">
        <f>SUM('INFORMACION BASE'!E20:E21)*2</f>
        <v>2</v>
      </c>
      <c r="O167" s="24"/>
      <c r="P167" s="137">
        <f t="shared" si="10"/>
        <v>2</v>
      </c>
      <c r="Q167" s="13" t="s">
        <v>641</v>
      </c>
    </row>
    <row r="168" spans="1:17" s="9" customFormat="1" ht="30" x14ac:dyDescent="0.25">
      <c r="A168" s="5">
        <v>165</v>
      </c>
      <c r="B168" s="6">
        <v>654321</v>
      </c>
      <c r="C168" s="30" t="s">
        <v>106</v>
      </c>
      <c r="D168" s="11" t="s">
        <v>519</v>
      </c>
      <c r="E168" s="7" t="s">
        <v>121</v>
      </c>
      <c r="F168" s="34" t="s">
        <v>657</v>
      </c>
      <c r="G168" s="45" t="s">
        <v>556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658</v>
      </c>
    </row>
    <row r="169" spans="1:17" s="9" customFormat="1" ht="30" x14ac:dyDescent="0.25">
      <c r="A169" s="5">
        <v>166</v>
      </c>
      <c r="B169" s="6">
        <v>654321</v>
      </c>
      <c r="C169" s="30" t="s">
        <v>106</v>
      </c>
      <c r="D169" s="11" t="s">
        <v>520</v>
      </c>
      <c r="E169" s="7" t="s">
        <v>121</v>
      </c>
      <c r="F169" s="34" t="s">
        <v>659</v>
      </c>
      <c r="G169" s="45" t="s">
        <v>556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658</v>
      </c>
    </row>
    <row r="170" spans="1:17" s="9" customFormat="1" ht="30" x14ac:dyDescent="0.25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556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605</v>
      </c>
    </row>
    <row r="171" spans="1:17" s="9" customFormat="1" ht="30" x14ac:dyDescent="0.25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556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605</v>
      </c>
    </row>
    <row r="172" spans="1:17" s="9" customFormat="1" ht="30" x14ac:dyDescent="0.25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556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616</v>
      </c>
    </row>
    <row r="173" spans="1:17" s="9" customFormat="1" ht="30" x14ac:dyDescent="0.25">
      <c r="A173" s="5">
        <v>170</v>
      </c>
      <c r="B173" s="6">
        <v>654321</v>
      </c>
      <c r="C173" s="30" t="s">
        <v>106</v>
      </c>
      <c r="D173" s="11" t="s">
        <v>519</v>
      </c>
      <c r="E173" s="7" t="s">
        <v>126</v>
      </c>
      <c r="F173" s="34" t="s">
        <v>141</v>
      </c>
      <c r="G173" s="45" t="s">
        <v>556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660</v>
      </c>
    </row>
    <row r="174" spans="1:17" s="9" customFormat="1" ht="30" x14ac:dyDescent="0.25">
      <c r="A174" s="5">
        <v>171</v>
      </c>
      <c r="B174" s="6">
        <v>654321</v>
      </c>
      <c r="C174" s="30" t="s">
        <v>106</v>
      </c>
      <c r="D174" s="11" t="s">
        <v>509</v>
      </c>
      <c r="E174" s="7" t="s">
        <v>126</v>
      </c>
      <c r="F174" s="34" t="s">
        <v>661</v>
      </c>
      <c r="G174" s="45" t="s">
        <v>556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3</v>
      </c>
      <c r="Q174" s="13" t="s">
        <v>615</v>
      </c>
    </row>
    <row r="175" spans="1:17" s="9" customFormat="1" ht="30" x14ac:dyDescent="0.25">
      <c r="A175" s="5">
        <v>172</v>
      </c>
      <c r="B175" s="6">
        <v>654321</v>
      </c>
      <c r="C175" s="30" t="s">
        <v>106</v>
      </c>
      <c r="D175" s="11" t="s">
        <v>512</v>
      </c>
      <c r="E175" s="7" t="s">
        <v>107</v>
      </c>
      <c r="F175" s="34" t="s">
        <v>164</v>
      </c>
      <c r="G175" s="45" t="s">
        <v>556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620</v>
      </c>
    </row>
    <row r="176" spans="1:17" s="9" customFormat="1" ht="30" x14ac:dyDescent="0.25">
      <c r="A176" s="5">
        <v>173</v>
      </c>
      <c r="B176" s="6">
        <v>654321</v>
      </c>
      <c r="C176" s="30" t="s">
        <v>106</v>
      </c>
      <c r="D176" s="11" t="s">
        <v>513</v>
      </c>
      <c r="E176" s="7" t="s">
        <v>107</v>
      </c>
      <c r="F176" s="34" t="s">
        <v>165</v>
      </c>
      <c r="G176" s="45" t="s">
        <v>556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620</v>
      </c>
    </row>
    <row r="177" spans="1:17" s="9" customFormat="1" ht="30" x14ac:dyDescent="0.25">
      <c r="A177" s="5">
        <v>174</v>
      </c>
      <c r="B177" s="6">
        <v>654321</v>
      </c>
      <c r="C177" s="30" t="s">
        <v>106</v>
      </c>
      <c r="D177" s="11" t="s">
        <v>512</v>
      </c>
      <c r="E177" s="7" t="s">
        <v>107</v>
      </c>
      <c r="F177" s="34" t="s">
        <v>166</v>
      </c>
      <c r="G177" s="45" t="s">
        <v>556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620</v>
      </c>
    </row>
    <row r="178" spans="1:17" s="9" customFormat="1" ht="30" x14ac:dyDescent="0.25">
      <c r="A178" s="5">
        <v>175</v>
      </c>
      <c r="B178" s="6">
        <v>654321</v>
      </c>
      <c r="C178" s="30" t="s">
        <v>106</v>
      </c>
      <c r="D178" s="11" t="s">
        <v>512</v>
      </c>
      <c r="E178" s="7" t="s">
        <v>121</v>
      </c>
      <c r="F178" s="34" t="s">
        <v>184</v>
      </c>
      <c r="G178" s="45" t="s">
        <v>556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620</v>
      </c>
    </row>
    <row r="179" spans="1:17" s="9" customFormat="1" ht="30" x14ac:dyDescent="0.25">
      <c r="A179" s="5">
        <v>176</v>
      </c>
      <c r="B179" s="6">
        <v>654321</v>
      </c>
      <c r="C179" s="30" t="s">
        <v>106</v>
      </c>
      <c r="D179" s="11" t="s">
        <v>512</v>
      </c>
      <c r="E179" s="7" t="s">
        <v>121</v>
      </c>
      <c r="F179" s="34" t="s">
        <v>167</v>
      </c>
      <c r="G179" s="45" t="s">
        <v>556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620</v>
      </c>
    </row>
    <row r="180" spans="1:17" s="9" customFormat="1" ht="30" x14ac:dyDescent="0.25">
      <c r="A180" s="5">
        <v>177</v>
      </c>
      <c r="B180" s="6">
        <v>654321</v>
      </c>
      <c r="C180" s="30" t="s">
        <v>106</v>
      </c>
      <c r="D180" s="11" t="s">
        <v>504</v>
      </c>
      <c r="E180" s="7" t="s">
        <v>155</v>
      </c>
      <c r="F180" s="34" t="s">
        <v>662</v>
      </c>
      <c r="G180" s="45" t="s">
        <v>556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6</v>
      </c>
      <c r="Q180" s="13" t="s">
        <v>663</v>
      </c>
    </row>
    <row r="181" spans="1:17" s="9" customFormat="1" ht="30" x14ac:dyDescent="0.25">
      <c r="A181" s="5">
        <v>178</v>
      </c>
      <c r="B181" s="6">
        <v>654321</v>
      </c>
      <c r="C181" s="30" t="s">
        <v>106</v>
      </c>
      <c r="D181" s="11" t="s">
        <v>525</v>
      </c>
      <c r="E181" s="7" t="s">
        <v>155</v>
      </c>
      <c r="F181" s="34" t="s">
        <v>470</v>
      </c>
      <c r="G181" s="45" t="s">
        <v>556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620</v>
      </c>
    </row>
    <row r="182" spans="1:17" s="9" customFormat="1" ht="30" x14ac:dyDescent="0.25">
      <c r="A182" s="5">
        <v>179</v>
      </c>
      <c r="B182" s="6">
        <v>654321</v>
      </c>
      <c r="C182" s="30" t="s">
        <v>106</v>
      </c>
      <c r="D182" s="11" t="s">
        <v>525</v>
      </c>
      <c r="E182" s="7" t="s">
        <v>155</v>
      </c>
      <c r="F182" s="34" t="s">
        <v>143</v>
      </c>
      <c r="G182" s="45" t="s">
        <v>556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0</v>
      </c>
      <c r="Q182" s="13" t="s">
        <v>664</v>
      </c>
    </row>
    <row r="183" spans="1:17" s="9" customFormat="1" ht="30" x14ac:dyDescent="0.25">
      <c r="A183" s="5">
        <v>180</v>
      </c>
      <c r="B183" s="6">
        <v>654321</v>
      </c>
      <c r="C183" s="30" t="s">
        <v>106</v>
      </c>
      <c r="D183" s="11" t="s">
        <v>504</v>
      </c>
      <c r="E183" s="7" t="s">
        <v>107</v>
      </c>
      <c r="F183" s="34" t="s">
        <v>185</v>
      </c>
      <c r="G183" s="45" t="s">
        <v>556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620</v>
      </c>
    </row>
    <row r="184" spans="1:17" s="9" customFormat="1" ht="30" x14ac:dyDescent="0.25">
      <c r="A184" s="5">
        <v>181</v>
      </c>
      <c r="B184" s="6">
        <v>654321</v>
      </c>
      <c r="C184" s="30" t="s">
        <v>106</v>
      </c>
      <c r="D184" s="11" t="s">
        <v>504</v>
      </c>
      <c r="E184" s="7" t="s">
        <v>107</v>
      </c>
      <c r="F184" s="93" t="s">
        <v>122</v>
      </c>
      <c r="G184" s="45" t="s">
        <v>556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620</v>
      </c>
    </row>
    <row r="185" spans="1:17" s="9" customFormat="1" ht="30" x14ac:dyDescent="0.25">
      <c r="A185" s="5">
        <v>182</v>
      </c>
      <c r="B185" s="6">
        <v>654321</v>
      </c>
      <c r="C185" s="30" t="s">
        <v>106</v>
      </c>
      <c r="D185" s="11" t="s">
        <v>504</v>
      </c>
      <c r="E185" s="7" t="s">
        <v>107</v>
      </c>
      <c r="F185" s="34" t="s">
        <v>154</v>
      </c>
      <c r="G185" s="45" t="s">
        <v>556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1</v>
      </c>
      <c r="Q185" s="13" t="s">
        <v>643</v>
      </c>
    </row>
    <row r="186" spans="1:17" s="9" customFormat="1" ht="30" x14ac:dyDescent="0.25">
      <c r="A186" s="5">
        <v>183</v>
      </c>
      <c r="B186" s="6">
        <v>654321</v>
      </c>
      <c r="C186" s="30" t="s">
        <v>106</v>
      </c>
      <c r="D186" s="11" t="s">
        <v>504</v>
      </c>
      <c r="E186" s="7" t="s">
        <v>107</v>
      </c>
      <c r="F186" s="34" t="s">
        <v>471</v>
      </c>
      <c r="G186" s="45" t="s">
        <v>556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620</v>
      </c>
    </row>
    <row r="187" spans="1:17" s="9" customFormat="1" ht="30" x14ac:dyDescent="0.25">
      <c r="A187" s="5">
        <v>184</v>
      </c>
      <c r="B187" s="6">
        <v>654321</v>
      </c>
      <c r="C187" s="30" t="s">
        <v>106</v>
      </c>
      <c r="D187" s="11" t="s">
        <v>504</v>
      </c>
      <c r="E187" s="7" t="s">
        <v>107</v>
      </c>
      <c r="F187" s="34" t="s">
        <v>665</v>
      </c>
      <c r="G187" s="45" t="s">
        <v>556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0</v>
      </c>
      <c r="Q187" s="13" t="s">
        <v>666</v>
      </c>
    </row>
    <row r="188" spans="1:17" s="9" customFormat="1" ht="30" x14ac:dyDescent="0.25">
      <c r="A188" s="5">
        <v>185</v>
      </c>
      <c r="B188" s="6">
        <v>654321</v>
      </c>
      <c r="C188" s="30" t="s">
        <v>106</v>
      </c>
      <c r="D188" s="11" t="s">
        <v>504</v>
      </c>
      <c r="E188" s="7" t="s">
        <v>107</v>
      </c>
      <c r="F188" s="34" t="s">
        <v>472</v>
      </c>
      <c r="G188" s="45" t="s">
        <v>556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620</v>
      </c>
    </row>
    <row r="189" spans="1:17" s="9" customFormat="1" ht="30" x14ac:dyDescent="0.25">
      <c r="A189" s="5">
        <v>186</v>
      </c>
      <c r="B189" s="6">
        <v>654321</v>
      </c>
      <c r="C189" s="30" t="s">
        <v>106</v>
      </c>
      <c r="D189" s="11" t="s">
        <v>512</v>
      </c>
      <c r="E189" s="7" t="s">
        <v>107</v>
      </c>
      <c r="F189" s="34" t="s">
        <v>145</v>
      </c>
      <c r="G189" s="45" t="s">
        <v>556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0</v>
      </c>
      <c r="Q189" s="13" t="s">
        <v>666</v>
      </c>
    </row>
    <row r="190" spans="1:17" s="9" customFormat="1" ht="30" x14ac:dyDescent="0.25">
      <c r="A190" s="5">
        <v>187</v>
      </c>
      <c r="B190" s="6">
        <v>654321</v>
      </c>
      <c r="C190" s="30" t="s">
        <v>106</v>
      </c>
      <c r="D190" s="11" t="s">
        <v>511</v>
      </c>
      <c r="E190" s="7" t="s">
        <v>107</v>
      </c>
      <c r="F190" s="34" t="s">
        <v>183</v>
      </c>
      <c r="G190" s="45" t="s">
        <v>556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620</v>
      </c>
    </row>
    <row r="191" spans="1:17" s="9" customFormat="1" ht="30" x14ac:dyDescent="0.25">
      <c r="A191" s="5">
        <v>188</v>
      </c>
      <c r="B191" s="6">
        <v>654321</v>
      </c>
      <c r="C191" s="30" t="s">
        <v>106</v>
      </c>
      <c r="D191" s="11" t="s">
        <v>511</v>
      </c>
      <c r="E191" s="7" t="s">
        <v>107</v>
      </c>
      <c r="F191" s="34" t="s">
        <v>667</v>
      </c>
      <c r="G191" s="45" t="s">
        <v>556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620</v>
      </c>
    </row>
    <row r="192" spans="1:17" s="9" customFormat="1" ht="30" x14ac:dyDescent="0.25">
      <c r="A192" s="5">
        <v>189</v>
      </c>
      <c r="B192" s="6">
        <v>654321</v>
      </c>
      <c r="C192" s="30" t="s">
        <v>106</v>
      </c>
      <c r="D192" s="11" t="s">
        <v>511</v>
      </c>
      <c r="E192" s="7" t="s">
        <v>107</v>
      </c>
      <c r="F192" s="34" t="s">
        <v>668</v>
      </c>
      <c r="G192" s="45" t="s">
        <v>556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669</v>
      </c>
    </row>
    <row r="193" spans="1:17" s="9" customFormat="1" ht="30" x14ac:dyDescent="0.25">
      <c r="A193" s="5">
        <v>190</v>
      </c>
      <c r="B193" s="6">
        <v>654321</v>
      </c>
      <c r="C193" s="30" t="s">
        <v>106</v>
      </c>
      <c r="D193" s="11" t="s">
        <v>504</v>
      </c>
      <c r="E193" s="7" t="s">
        <v>107</v>
      </c>
      <c r="F193" s="34" t="s">
        <v>474</v>
      </c>
      <c r="G193" s="45" t="s">
        <v>556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620</v>
      </c>
    </row>
    <row r="194" spans="1:17" s="9" customFormat="1" ht="30" x14ac:dyDescent="0.25">
      <c r="A194" s="5">
        <v>191</v>
      </c>
      <c r="B194" s="6">
        <v>654321</v>
      </c>
      <c r="C194" s="30" t="s">
        <v>106</v>
      </c>
      <c r="D194" s="11" t="s">
        <v>504</v>
      </c>
      <c r="E194" s="7" t="s">
        <v>121</v>
      </c>
      <c r="F194" s="34" t="s">
        <v>146</v>
      </c>
      <c r="G194" s="45" t="s">
        <v>556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0</v>
      </c>
      <c r="Q194" s="13" t="s">
        <v>664</v>
      </c>
    </row>
    <row r="195" spans="1:17" s="9" customFormat="1" ht="30" x14ac:dyDescent="0.25">
      <c r="A195" s="5">
        <v>192</v>
      </c>
      <c r="B195" s="6">
        <v>654321</v>
      </c>
      <c r="C195" s="30" t="s">
        <v>106</v>
      </c>
      <c r="D195" s="11" t="s">
        <v>504</v>
      </c>
      <c r="E195" s="7" t="s">
        <v>121</v>
      </c>
      <c r="F195" s="34" t="s">
        <v>670</v>
      </c>
      <c r="G195" s="45" t="s">
        <v>556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620</v>
      </c>
    </row>
    <row r="196" spans="1:17" s="9" customFormat="1" ht="30" x14ac:dyDescent="0.25">
      <c r="A196" s="5">
        <v>193</v>
      </c>
      <c r="B196" s="6">
        <v>654321</v>
      </c>
      <c r="C196" s="30" t="s">
        <v>106</v>
      </c>
      <c r="D196" s="11" t="s">
        <v>504</v>
      </c>
      <c r="E196" s="7" t="s">
        <v>121</v>
      </c>
      <c r="F196" s="34" t="s">
        <v>476</v>
      </c>
      <c r="G196" s="45" t="s">
        <v>556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620</v>
      </c>
    </row>
    <row r="197" spans="1:17" s="9" customFormat="1" ht="30" x14ac:dyDescent="0.25">
      <c r="A197" s="5">
        <v>194</v>
      </c>
      <c r="B197" s="6">
        <v>654321</v>
      </c>
      <c r="C197" s="30" t="s">
        <v>106</v>
      </c>
      <c r="D197" s="11" t="s">
        <v>504</v>
      </c>
      <c r="E197" s="7" t="s">
        <v>121</v>
      </c>
      <c r="F197" s="34" t="s">
        <v>477</v>
      </c>
      <c r="G197" s="45" t="s">
        <v>556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0</v>
      </c>
      <c r="Q197" s="13" t="s">
        <v>664</v>
      </c>
    </row>
    <row r="198" spans="1:17" s="9" customFormat="1" ht="30" x14ac:dyDescent="0.25">
      <c r="A198" s="5">
        <v>195</v>
      </c>
      <c r="B198" s="6">
        <v>654321</v>
      </c>
      <c r="C198" s="30" t="s">
        <v>106</v>
      </c>
      <c r="D198" s="11" t="s">
        <v>512</v>
      </c>
      <c r="E198" s="7" t="s">
        <v>155</v>
      </c>
      <c r="F198" s="34" t="s">
        <v>186</v>
      </c>
      <c r="G198" s="45" t="s">
        <v>556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620</v>
      </c>
    </row>
    <row r="199" spans="1:17" s="9" customFormat="1" ht="30" x14ac:dyDescent="0.25">
      <c r="A199" s="5">
        <v>196</v>
      </c>
      <c r="B199" s="6">
        <v>654321</v>
      </c>
      <c r="C199" s="30" t="s">
        <v>106</v>
      </c>
      <c r="D199" s="11" t="s">
        <v>512</v>
      </c>
      <c r="E199" s="7" t="s">
        <v>155</v>
      </c>
      <c r="F199" s="34" t="s">
        <v>671</v>
      </c>
      <c r="G199" s="45" t="s">
        <v>556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620</v>
      </c>
    </row>
    <row r="200" spans="1:17" s="9" customFormat="1" ht="30" x14ac:dyDescent="0.25">
      <c r="A200" s="5">
        <v>197</v>
      </c>
      <c r="B200" s="6">
        <v>654321</v>
      </c>
      <c r="C200" s="30" t="s">
        <v>106</v>
      </c>
      <c r="D200" s="11" t="s">
        <v>526</v>
      </c>
      <c r="E200" s="7" t="s">
        <v>155</v>
      </c>
      <c r="F200" s="34" t="s">
        <v>181</v>
      </c>
      <c r="G200" s="45" t="s">
        <v>556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620</v>
      </c>
    </row>
    <row r="201" spans="1:17" s="9" customFormat="1" ht="30" x14ac:dyDescent="0.25">
      <c r="A201" s="5">
        <v>198</v>
      </c>
      <c r="B201" s="6">
        <v>654321</v>
      </c>
      <c r="C201" s="30" t="s">
        <v>106</v>
      </c>
      <c r="D201" s="11" t="s">
        <v>504</v>
      </c>
      <c r="E201" s="7" t="s">
        <v>155</v>
      </c>
      <c r="F201" s="34" t="s">
        <v>672</v>
      </c>
      <c r="G201" s="45" t="s">
        <v>556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0</v>
      </c>
      <c r="Q201" s="13" t="s">
        <v>664</v>
      </c>
    </row>
    <row r="202" spans="1:17" s="9" customFormat="1" ht="30" x14ac:dyDescent="0.25">
      <c r="A202" s="5">
        <v>199</v>
      </c>
      <c r="B202" s="6">
        <v>654321</v>
      </c>
      <c r="C202" s="30" t="s">
        <v>106</v>
      </c>
      <c r="D202" s="11" t="s">
        <v>504</v>
      </c>
      <c r="E202" s="7" t="s">
        <v>155</v>
      </c>
      <c r="F202" s="34" t="s">
        <v>673</v>
      </c>
      <c r="G202" s="45" t="s">
        <v>556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0</v>
      </c>
      <c r="Q202" s="13" t="s">
        <v>664</v>
      </c>
    </row>
    <row r="203" spans="1:17" s="9" customFormat="1" ht="30" x14ac:dyDescent="0.25">
      <c r="A203" s="5">
        <v>200</v>
      </c>
      <c r="B203" s="6">
        <v>654321</v>
      </c>
      <c r="C203" s="30" t="s">
        <v>106</v>
      </c>
      <c r="D203" s="11" t="s">
        <v>504</v>
      </c>
      <c r="E203" s="7" t="s">
        <v>126</v>
      </c>
      <c r="F203" s="34" t="s">
        <v>674</v>
      </c>
      <c r="G203" s="45" t="s">
        <v>556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620</v>
      </c>
    </row>
    <row r="204" spans="1:17" s="9" customFormat="1" ht="30" x14ac:dyDescent="0.25">
      <c r="A204" s="5">
        <v>201</v>
      </c>
      <c r="B204" s="6">
        <v>654321</v>
      </c>
      <c r="C204" s="30" t="s">
        <v>106</v>
      </c>
      <c r="D204" s="11" t="s">
        <v>504</v>
      </c>
      <c r="E204" s="7" t="s">
        <v>126</v>
      </c>
      <c r="F204" s="34" t="s">
        <v>675</v>
      </c>
      <c r="G204" s="45" t="s">
        <v>556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658</v>
      </c>
    </row>
    <row r="205" spans="1:17" s="9" customFormat="1" ht="30" x14ac:dyDescent="0.25">
      <c r="A205" s="5">
        <v>202</v>
      </c>
      <c r="B205" s="6">
        <v>654321</v>
      </c>
      <c r="C205" s="30" t="s">
        <v>106</v>
      </c>
      <c r="D205" s="11" t="s">
        <v>516</v>
      </c>
      <c r="E205" s="7" t="s">
        <v>126</v>
      </c>
      <c r="F205" s="34" t="s">
        <v>676</v>
      </c>
      <c r="G205" s="45" t="s">
        <v>556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620</v>
      </c>
    </row>
    <row r="206" spans="1:17" s="9" customFormat="1" ht="30" x14ac:dyDescent="0.25">
      <c r="A206" s="5">
        <v>203</v>
      </c>
      <c r="B206" s="6">
        <v>654321</v>
      </c>
      <c r="C206" s="30" t="s">
        <v>106</v>
      </c>
      <c r="D206" s="11" t="s">
        <v>504</v>
      </c>
      <c r="E206" s="7" t="s">
        <v>126</v>
      </c>
      <c r="F206" s="34" t="s">
        <v>677</v>
      </c>
      <c r="G206" s="45" t="s">
        <v>556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621</v>
      </c>
    </row>
    <row r="207" spans="1:17" s="9" customFormat="1" ht="30" x14ac:dyDescent="0.25">
      <c r="A207" s="5">
        <v>204</v>
      </c>
      <c r="B207" s="6">
        <v>654321</v>
      </c>
      <c r="C207" s="30" t="s">
        <v>106</v>
      </c>
      <c r="D207" s="11" t="s">
        <v>504</v>
      </c>
      <c r="E207" s="7" t="s">
        <v>126</v>
      </c>
      <c r="F207" s="34" t="s">
        <v>163</v>
      </c>
      <c r="G207" s="45" t="s">
        <v>556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621</v>
      </c>
    </row>
    <row r="208" spans="1:17" s="9" customFormat="1" ht="30" x14ac:dyDescent="0.25">
      <c r="A208" s="5">
        <v>205</v>
      </c>
      <c r="B208" s="6">
        <v>654321</v>
      </c>
      <c r="C208" s="30" t="s">
        <v>106</v>
      </c>
      <c r="D208" s="11" t="s">
        <v>504</v>
      </c>
      <c r="E208" s="7" t="s">
        <v>126</v>
      </c>
      <c r="F208" s="34" t="s">
        <v>412</v>
      </c>
      <c r="G208" s="45" t="s">
        <v>556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0</v>
      </c>
      <c r="Q208" s="13" t="s">
        <v>678</v>
      </c>
    </row>
    <row r="209" spans="1:17" s="9" customFormat="1" ht="30" x14ac:dyDescent="0.25">
      <c r="A209" s="5">
        <v>206</v>
      </c>
      <c r="B209" s="6">
        <v>654321</v>
      </c>
      <c r="C209" s="30" t="s">
        <v>106</v>
      </c>
      <c r="D209" s="11" t="s">
        <v>504</v>
      </c>
      <c r="E209" s="7" t="s">
        <v>126</v>
      </c>
      <c r="F209" s="34" t="s">
        <v>679</v>
      </c>
      <c r="G209" s="45" t="s">
        <v>556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621</v>
      </c>
    </row>
    <row r="210" spans="1:17" s="9" customFormat="1" ht="30" x14ac:dyDescent="0.25">
      <c r="A210" s="5">
        <v>207</v>
      </c>
      <c r="B210" s="6">
        <v>654321</v>
      </c>
      <c r="C210" s="30" t="s">
        <v>106</v>
      </c>
      <c r="D210" s="11" t="s">
        <v>504</v>
      </c>
      <c r="E210" s="7" t="s">
        <v>126</v>
      </c>
      <c r="F210" s="34" t="s">
        <v>546</v>
      </c>
      <c r="G210" s="45" t="s">
        <v>556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680</v>
      </c>
    </row>
    <row r="211" spans="1:17" s="9" customFormat="1" ht="30" x14ac:dyDescent="0.25">
      <c r="A211" s="5">
        <v>208</v>
      </c>
      <c r="B211" s="6">
        <v>654321</v>
      </c>
      <c r="C211" s="30" t="s">
        <v>106</v>
      </c>
      <c r="D211" s="11" t="s">
        <v>504</v>
      </c>
      <c r="E211" s="7" t="s">
        <v>126</v>
      </c>
      <c r="F211" s="34" t="s">
        <v>173</v>
      </c>
      <c r="G211" s="45" t="s">
        <v>556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621</v>
      </c>
    </row>
    <row r="212" spans="1:17" s="9" customFormat="1" ht="30" x14ac:dyDescent="0.25">
      <c r="A212" s="5">
        <v>209</v>
      </c>
      <c r="B212" s="6">
        <v>654321</v>
      </c>
      <c r="C212" s="30" t="s">
        <v>106</v>
      </c>
      <c r="D212" s="11" t="s">
        <v>504</v>
      </c>
      <c r="E212" s="7" t="s">
        <v>126</v>
      </c>
      <c r="F212" s="34" t="s">
        <v>149</v>
      </c>
      <c r="G212" s="45" t="s">
        <v>556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1</v>
      </c>
      <c r="Q212" s="13" t="s">
        <v>643</v>
      </c>
    </row>
    <row r="213" spans="1:17" s="9" customFormat="1" ht="30" x14ac:dyDescent="0.25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681</v>
      </c>
      <c r="G213" s="45" t="s">
        <v>556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621</v>
      </c>
    </row>
    <row r="214" spans="1:17" s="9" customFormat="1" ht="30" x14ac:dyDescent="0.25">
      <c r="A214" s="5">
        <v>211</v>
      </c>
      <c r="B214" s="6">
        <v>654321</v>
      </c>
      <c r="C214" s="30" t="s">
        <v>106</v>
      </c>
      <c r="D214" s="11" t="s">
        <v>504</v>
      </c>
      <c r="E214" s="7" t="s">
        <v>126</v>
      </c>
      <c r="F214" s="34" t="s">
        <v>176</v>
      </c>
      <c r="G214" s="45" t="s">
        <v>556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621</v>
      </c>
    </row>
    <row r="215" spans="1:17" s="9" customFormat="1" ht="30" x14ac:dyDescent="0.25">
      <c r="A215" s="5">
        <v>212</v>
      </c>
      <c r="B215" s="6">
        <v>654321</v>
      </c>
      <c r="C215" s="30" t="s">
        <v>106</v>
      </c>
      <c r="D215" s="11" t="s">
        <v>504</v>
      </c>
      <c r="E215" s="7" t="s">
        <v>126</v>
      </c>
      <c r="F215" s="34" t="s">
        <v>169</v>
      </c>
      <c r="G215" s="45" t="s">
        <v>556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621</v>
      </c>
    </row>
    <row r="216" spans="1:17" s="9" customFormat="1" ht="30" x14ac:dyDescent="0.25">
      <c r="A216" s="5">
        <v>213</v>
      </c>
      <c r="B216" s="6">
        <v>654321</v>
      </c>
      <c r="C216" s="30" t="s">
        <v>106</v>
      </c>
      <c r="D216" s="11" t="s">
        <v>504</v>
      </c>
      <c r="E216" s="7" t="s">
        <v>126</v>
      </c>
      <c r="F216" s="34" t="s">
        <v>174</v>
      </c>
      <c r="G216" s="45" t="s">
        <v>556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621</v>
      </c>
    </row>
    <row r="217" spans="1:17" s="9" customFormat="1" ht="30" x14ac:dyDescent="0.25">
      <c r="A217" s="5">
        <v>214</v>
      </c>
      <c r="B217" s="6">
        <v>654321</v>
      </c>
      <c r="C217" s="30" t="s">
        <v>106</v>
      </c>
      <c r="D217" s="11" t="s">
        <v>504</v>
      </c>
      <c r="E217" s="7" t="s">
        <v>107</v>
      </c>
      <c r="F217" s="34" t="s">
        <v>545</v>
      </c>
      <c r="G217" s="45" t="s">
        <v>556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621</v>
      </c>
    </row>
    <row r="218" spans="1:17" s="9" customFormat="1" ht="30" x14ac:dyDescent="0.25">
      <c r="A218" s="5">
        <v>215</v>
      </c>
      <c r="B218" s="6">
        <v>654321</v>
      </c>
      <c r="C218" s="30" t="s">
        <v>106</v>
      </c>
      <c r="D218" s="11" t="s">
        <v>507</v>
      </c>
      <c r="E218" s="7" t="s">
        <v>107</v>
      </c>
      <c r="F218" s="34" t="s">
        <v>682</v>
      </c>
      <c r="G218" s="45" t="s">
        <v>556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621</v>
      </c>
    </row>
    <row r="219" spans="1:17" s="9" customFormat="1" ht="30" x14ac:dyDescent="0.25">
      <c r="A219" s="5">
        <v>216</v>
      </c>
      <c r="B219" s="6">
        <v>654321</v>
      </c>
      <c r="C219" s="30" t="s">
        <v>106</v>
      </c>
      <c r="D219" s="11" t="s">
        <v>504</v>
      </c>
      <c r="E219" s="7" t="s">
        <v>126</v>
      </c>
      <c r="F219" s="34" t="s">
        <v>170</v>
      </c>
      <c r="G219" s="45" t="s">
        <v>556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621</v>
      </c>
    </row>
    <row r="220" spans="1:17" s="9" customFormat="1" ht="30" x14ac:dyDescent="0.25">
      <c r="A220" s="5">
        <v>217</v>
      </c>
      <c r="B220" s="6">
        <v>654321</v>
      </c>
      <c r="C220" s="30" t="s">
        <v>106</v>
      </c>
      <c r="D220" s="11" t="s">
        <v>504</v>
      </c>
      <c r="E220" s="7" t="s">
        <v>107</v>
      </c>
      <c r="F220" s="34" t="s">
        <v>187</v>
      </c>
      <c r="G220" s="45" t="s">
        <v>556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621</v>
      </c>
    </row>
    <row r="221" spans="1:17" s="9" customFormat="1" ht="30" x14ac:dyDescent="0.25">
      <c r="A221" s="5">
        <v>218</v>
      </c>
      <c r="B221" s="6">
        <v>654321</v>
      </c>
      <c r="C221" s="30" t="s">
        <v>106</v>
      </c>
      <c r="D221" s="11" t="s">
        <v>504</v>
      </c>
      <c r="E221" s="7" t="s">
        <v>121</v>
      </c>
      <c r="F221" s="34" t="s">
        <v>683</v>
      </c>
      <c r="G221" s="45" t="s">
        <v>556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621</v>
      </c>
    </row>
    <row r="222" spans="1:17" s="9" customFormat="1" ht="30" x14ac:dyDescent="0.25">
      <c r="A222" s="5">
        <v>219</v>
      </c>
      <c r="B222" s="6">
        <v>654321</v>
      </c>
      <c r="C222" s="30" t="s">
        <v>106</v>
      </c>
      <c r="D222" s="11" t="s">
        <v>516</v>
      </c>
      <c r="E222" s="7" t="s">
        <v>121</v>
      </c>
      <c r="F222" s="34" t="s">
        <v>150</v>
      </c>
      <c r="G222" s="45" t="s">
        <v>556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5</v>
      </c>
      <c r="Q222" s="13" t="s">
        <v>684</v>
      </c>
    </row>
    <row r="223" spans="1:17" s="9" customFormat="1" ht="30" x14ac:dyDescent="0.25">
      <c r="A223" s="5">
        <v>220</v>
      </c>
      <c r="B223" s="6">
        <v>654321</v>
      </c>
      <c r="C223" s="30" t="s">
        <v>106</v>
      </c>
      <c r="D223" s="11" t="s">
        <v>504</v>
      </c>
      <c r="E223" s="7" t="s">
        <v>121</v>
      </c>
      <c r="F223" s="34" t="s">
        <v>685</v>
      </c>
      <c r="G223" s="45" t="s">
        <v>556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686</v>
      </c>
    </row>
    <row r="224" spans="1:17" s="9" customFormat="1" ht="30" x14ac:dyDescent="0.25">
      <c r="A224" s="5">
        <v>221</v>
      </c>
      <c r="B224" s="6">
        <v>654321</v>
      </c>
      <c r="C224" s="30" t="s">
        <v>106</v>
      </c>
      <c r="D224" s="11" t="s">
        <v>504</v>
      </c>
      <c r="E224" s="7" t="s">
        <v>121</v>
      </c>
      <c r="F224" s="34" t="s">
        <v>687</v>
      </c>
      <c r="G224" s="45" t="s">
        <v>556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621</v>
      </c>
    </row>
    <row r="225" spans="1:17" s="9" customFormat="1" ht="30" x14ac:dyDescent="0.25">
      <c r="A225" s="5">
        <v>222</v>
      </c>
      <c r="B225" s="6">
        <v>654321</v>
      </c>
      <c r="C225" s="30" t="s">
        <v>106</v>
      </c>
      <c r="D225" s="11" t="s">
        <v>504</v>
      </c>
      <c r="E225" s="7" t="s">
        <v>121</v>
      </c>
      <c r="F225" s="34" t="s">
        <v>688</v>
      </c>
      <c r="G225" s="45" t="s">
        <v>556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689</v>
      </c>
    </row>
    <row r="226" spans="1:17" s="9" customFormat="1" ht="30" x14ac:dyDescent="0.25">
      <c r="A226" s="5">
        <v>223</v>
      </c>
      <c r="B226" s="6">
        <v>654321</v>
      </c>
      <c r="C226" s="30" t="s">
        <v>106</v>
      </c>
      <c r="D226" s="11" t="s">
        <v>504</v>
      </c>
      <c r="E226" s="7" t="s">
        <v>121</v>
      </c>
      <c r="F226" s="34" t="s">
        <v>171</v>
      </c>
      <c r="G226" s="45" t="s">
        <v>556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621</v>
      </c>
    </row>
    <row r="227" spans="1:17" s="9" customFormat="1" ht="30" x14ac:dyDescent="0.25">
      <c r="A227" s="5">
        <v>224</v>
      </c>
      <c r="B227" s="6">
        <v>654321</v>
      </c>
      <c r="C227" s="30" t="s">
        <v>106</v>
      </c>
      <c r="D227" s="11" t="s">
        <v>504</v>
      </c>
      <c r="E227" s="7" t="s">
        <v>121</v>
      </c>
      <c r="F227" s="34" t="s">
        <v>690</v>
      </c>
      <c r="G227" s="45" t="s">
        <v>556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553</v>
      </c>
    </row>
    <row r="228" spans="1:17" s="9" customFormat="1" ht="30" x14ac:dyDescent="0.25">
      <c r="A228" s="5">
        <v>225</v>
      </c>
      <c r="B228" s="6">
        <v>654321</v>
      </c>
      <c r="C228" s="30" t="s">
        <v>106</v>
      </c>
      <c r="D228" s="11" t="s">
        <v>504</v>
      </c>
      <c r="E228" s="7" t="s">
        <v>121</v>
      </c>
      <c r="F228" s="34" t="s">
        <v>691</v>
      </c>
      <c r="G228" s="45" t="s">
        <v>556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553</v>
      </c>
    </row>
    <row r="229" spans="1:17" s="9" customFormat="1" ht="30" x14ac:dyDescent="0.25">
      <c r="A229" s="5">
        <v>226</v>
      </c>
      <c r="B229" s="6">
        <v>654321</v>
      </c>
      <c r="C229" s="30" t="s">
        <v>106</v>
      </c>
      <c r="D229" s="11" t="s">
        <v>504</v>
      </c>
      <c r="E229" s="7" t="s">
        <v>155</v>
      </c>
      <c r="F229" s="34" t="s">
        <v>131</v>
      </c>
      <c r="G229" s="45" t="s">
        <v>556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553</v>
      </c>
    </row>
    <row r="230" spans="1:17" s="9" customFormat="1" ht="30" x14ac:dyDescent="0.25">
      <c r="A230" s="5">
        <v>227</v>
      </c>
      <c r="B230" s="6">
        <v>654321</v>
      </c>
      <c r="C230" s="30" t="s">
        <v>106</v>
      </c>
      <c r="D230" s="11" t="s">
        <v>504</v>
      </c>
      <c r="E230" s="7" t="s">
        <v>155</v>
      </c>
      <c r="F230" s="34" t="s">
        <v>692</v>
      </c>
      <c r="G230" s="45" t="s">
        <v>556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553</v>
      </c>
    </row>
    <row r="231" spans="1:17" s="9" customFormat="1" ht="30" x14ac:dyDescent="0.25">
      <c r="A231" s="5">
        <v>228</v>
      </c>
      <c r="B231" s="6">
        <v>654321</v>
      </c>
      <c r="C231" s="30" t="s">
        <v>106</v>
      </c>
      <c r="D231" s="11" t="s">
        <v>504</v>
      </c>
      <c r="E231" s="7" t="s">
        <v>155</v>
      </c>
      <c r="F231" s="34" t="s">
        <v>693</v>
      </c>
      <c r="G231" s="45" t="s">
        <v>556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553</v>
      </c>
    </row>
    <row r="232" spans="1:17" s="9" customFormat="1" ht="30" x14ac:dyDescent="0.25">
      <c r="A232" s="5">
        <v>229</v>
      </c>
      <c r="B232" s="6">
        <v>654321</v>
      </c>
      <c r="C232" s="30" t="s">
        <v>106</v>
      </c>
      <c r="D232" s="11" t="s">
        <v>504</v>
      </c>
      <c r="E232" s="7" t="s">
        <v>126</v>
      </c>
      <c r="F232" s="34" t="s">
        <v>134</v>
      </c>
      <c r="G232" s="45" t="s">
        <v>556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553</v>
      </c>
    </row>
    <row r="233" spans="1:17" s="9" customFormat="1" ht="30" x14ac:dyDescent="0.25">
      <c r="A233" s="5">
        <v>230</v>
      </c>
      <c r="B233" s="6">
        <v>654321</v>
      </c>
      <c r="C233" s="30" t="s">
        <v>106</v>
      </c>
      <c r="D233" s="11" t="s">
        <v>504</v>
      </c>
      <c r="E233" s="7" t="s">
        <v>126</v>
      </c>
      <c r="F233" s="34" t="s">
        <v>694</v>
      </c>
      <c r="G233" s="45" t="s">
        <v>556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616</v>
      </c>
    </row>
    <row r="234" spans="1:17" ht="30" x14ac:dyDescent="0.25">
      <c r="A234" s="5">
        <v>231</v>
      </c>
      <c r="B234" s="6">
        <v>654321</v>
      </c>
      <c r="C234" s="30" t="s">
        <v>106</v>
      </c>
      <c r="D234" s="11" t="s">
        <v>504</v>
      </c>
      <c r="E234" s="7" t="s">
        <v>532</v>
      </c>
      <c r="F234" s="90" t="s">
        <v>695</v>
      </c>
      <c r="G234" s="45" t="s">
        <v>556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616</v>
      </c>
    </row>
    <row r="235" spans="1:17" ht="30" x14ac:dyDescent="0.25">
      <c r="A235" s="5">
        <v>232</v>
      </c>
      <c r="B235" s="6">
        <v>654321</v>
      </c>
      <c r="C235" s="30" t="s">
        <v>106</v>
      </c>
      <c r="D235" s="11" t="s">
        <v>504</v>
      </c>
      <c r="E235" s="7" t="s">
        <v>532</v>
      </c>
      <c r="F235" s="89" t="s">
        <v>696</v>
      </c>
      <c r="G235" s="45" t="s">
        <v>556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616</v>
      </c>
    </row>
    <row r="236" spans="1:17" ht="30" x14ac:dyDescent="0.25">
      <c r="A236" s="5">
        <v>233</v>
      </c>
      <c r="B236" s="6">
        <v>654321</v>
      </c>
      <c r="C236" s="30" t="s">
        <v>106</v>
      </c>
      <c r="D236" s="11" t="s">
        <v>504</v>
      </c>
      <c r="E236" s="7" t="s">
        <v>532</v>
      </c>
      <c r="F236" s="89" t="s">
        <v>697</v>
      </c>
      <c r="G236" s="45" t="s">
        <v>556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698</v>
      </c>
    </row>
    <row r="237" spans="1:17" ht="30" x14ac:dyDescent="0.25">
      <c r="A237" s="5">
        <v>234</v>
      </c>
      <c r="B237" s="6">
        <v>654321</v>
      </c>
      <c r="C237" s="30" t="s">
        <v>106</v>
      </c>
      <c r="D237" s="11" t="s">
        <v>504</v>
      </c>
      <c r="E237" s="7" t="s">
        <v>532</v>
      </c>
      <c r="F237" s="89" t="s">
        <v>699</v>
      </c>
      <c r="G237" s="45" t="s">
        <v>556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698</v>
      </c>
    </row>
    <row r="238" spans="1:17" ht="30" x14ac:dyDescent="0.25">
      <c r="A238" s="5">
        <v>235</v>
      </c>
      <c r="B238" s="6">
        <v>654321</v>
      </c>
      <c r="C238" s="30" t="s">
        <v>106</v>
      </c>
      <c r="D238" s="11" t="s">
        <v>504</v>
      </c>
      <c r="E238" s="7" t="s">
        <v>532</v>
      </c>
      <c r="F238" s="89" t="s">
        <v>700</v>
      </c>
      <c r="G238" s="45" t="s">
        <v>556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698</v>
      </c>
    </row>
    <row r="239" spans="1:17" ht="30" x14ac:dyDescent="0.25">
      <c r="A239" s="5">
        <v>236</v>
      </c>
      <c r="B239" s="6">
        <v>654321</v>
      </c>
      <c r="C239" s="30" t="s">
        <v>106</v>
      </c>
      <c r="D239" s="11" t="s">
        <v>504</v>
      </c>
      <c r="E239" s="7" t="s">
        <v>532</v>
      </c>
      <c r="F239" s="89" t="s">
        <v>701</v>
      </c>
      <c r="G239" s="45" t="s">
        <v>556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689</v>
      </c>
    </row>
    <row r="240" spans="1:17" ht="30" x14ac:dyDescent="0.25">
      <c r="A240" s="5">
        <v>237</v>
      </c>
      <c r="B240" s="6">
        <v>654321</v>
      </c>
      <c r="C240" s="30" t="s">
        <v>106</v>
      </c>
      <c r="D240" s="11" t="s">
        <v>504</v>
      </c>
      <c r="E240" s="7" t="s">
        <v>532</v>
      </c>
      <c r="F240" s="89" t="s">
        <v>702</v>
      </c>
      <c r="G240" s="45" t="s">
        <v>556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689</v>
      </c>
    </row>
    <row r="241" spans="1:17" ht="30" x14ac:dyDescent="0.25">
      <c r="A241" s="5">
        <v>238</v>
      </c>
      <c r="B241" s="6">
        <v>654321</v>
      </c>
      <c r="C241" s="30" t="s">
        <v>106</v>
      </c>
      <c r="D241" s="11" t="s">
        <v>504</v>
      </c>
      <c r="E241" s="7" t="s">
        <v>532</v>
      </c>
      <c r="F241" s="89" t="s">
        <v>703</v>
      </c>
      <c r="G241" s="45" t="s">
        <v>556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689</v>
      </c>
    </row>
    <row r="242" spans="1:17" ht="30" x14ac:dyDescent="0.25">
      <c r="A242" s="5">
        <v>239</v>
      </c>
      <c r="B242" s="6">
        <v>654321</v>
      </c>
      <c r="C242" s="30" t="s">
        <v>106</v>
      </c>
      <c r="D242" s="11" t="s">
        <v>504</v>
      </c>
      <c r="E242" s="7" t="s">
        <v>532</v>
      </c>
      <c r="F242" s="89" t="s">
        <v>704</v>
      </c>
      <c r="G242" s="45" t="s">
        <v>556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689</v>
      </c>
    </row>
    <row r="243" spans="1:17" ht="30" x14ac:dyDescent="0.25">
      <c r="A243" s="5">
        <v>240</v>
      </c>
      <c r="B243" s="6">
        <v>654321</v>
      </c>
      <c r="C243" s="30" t="s">
        <v>106</v>
      </c>
      <c r="D243" s="11" t="s">
        <v>504</v>
      </c>
      <c r="E243" s="7" t="s">
        <v>532</v>
      </c>
      <c r="F243" s="89" t="s">
        <v>705</v>
      </c>
      <c r="G243" s="45" t="s">
        <v>556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689</v>
      </c>
    </row>
    <row r="244" spans="1:17" ht="30" x14ac:dyDescent="0.25">
      <c r="A244" s="5">
        <v>241</v>
      </c>
      <c r="B244" s="6">
        <v>654321</v>
      </c>
      <c r="C244" s="30" t="s">
        <v>106</v>
      </c>
      <c r="D244" s="11" t="s">
        <v>504</v>
      </c>
      <c r="E244" s="7" t="s">
        <v>532</v>
      </c>
      <c r="F244" s="89" t="s">
        <v>706</v>
      </c>
      <c r="G244" s="45" t="s">
        <v>556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689</v>
      </c>
    </row>
    <row r="245" spans="1:17" s="9" customFormat="1" ht="60" x14ac:dyDescent="0.25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709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710</v>
      </c>
    </row>
    <row r="246" spans="1:17" s="9" customFormat="1" ht="45" x14ac:dyDescent="0.25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369</v>
      </c>
      <c r="G246" s="87" t="s">
        <v>709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711</v>
      </c>
    </row>
    <row r="247" spans="1:17" s="9" customFormat="1" ht="30" x14ac:dyDescent="0.25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420</v>
      </c>
      <c r="G247" s="46" t="s">
        <v>557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552</v>
      </c>
    </row>
    <row r="248" spans="1:17" s="9" customFormat="1" ht="30" x14ac:dyDescent="0.25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557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552</v>
      </c>
    </row>
    <row r="249" spans="1:17" s="9" customFormat="1" ht="30" x14ac:dyDescent="0.25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549</v>
      </c>
      <c r="G249" s="46" t="s">
        <v>557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553</v>
      </c>
    </row>
    <row r="250" spans="1:17" s="9" customFormat="1" ht="30" x14ac:dyDescent="0.25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489</v>
      </c>
      <c r="G250" s="46" t="s">
        <v>557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553</v>
      </c>
    </row>
    <row r="251" spans="1:17" s="9" customFormat="1" ht="30" x14ac:dyDescent="0.25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554</v>
      </c>
      <c r="G251" s="46" t="s">
        <v>557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553</v>
      </c>
    </row>
    <row r="252" spans="1:17" s="9" customFormat="1" ht="30" x14ac:dyDescent="0.25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367</v>
      </c>
      <c r="G252" s="46" t="s">
        <v>557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237</v>
      </c>
    </row>
    <row r="253" spans="1:17" s="9" customFormat="1" ht="30" x14ac:dyDescent="0.25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439</v>
      </c>
      <c r="G253" s="46" t="s">
        <v>557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0" x14ac:dyDescent="0.25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368</v>
      </c>
      <c r="G254" s="46" t="s">
        <v>557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0" x14ac:dyDescent="0.25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366</v>
      </c>
      <c r="G255" s="46" t="s">
        <v>557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235</v>
      </c>
    </row>
    <row r="256" spans="1:17" s="9" customFormat="1" ht="30" x14ac:dyDescent="0.25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557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537</v>
      </c>
    </row>
    <row r="257" spans="1:17" s="9" customFormat="1" ht="30" x14ac:dyDescent="0.25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236</v>
      </c>
      <c r="G257" s="46" t="s">
        <v>557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538</v>
      </c>
    </row>
    <row r="258" spans="1:17" s="9" customFormat="1" ht="30" x14ac:dyDescent="0.25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557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537</v>
      </c>
    </row>
    <row r="259" spans="1:17" s="9" customFormat="1" ht="30" x14ac:dyDescent="0.25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365</v>
      </c>
      <c r="G259" s="46" t="s">
        <v>557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537</v>
      </c>
    </row>
    <row r="260" spans="1:17" s="9" customFormat="1" ht="30" x14ac:dyDescent="0.25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440</v>
      </c>
      <c r="G260" s="46" t="s">
        <v>557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240</v>
      </c>
    </row>
    <row r="261" spans="1:17" s="9" customFormat="1" ht="30" x14ac:dyDescent="0.25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494</v>
      </c>
      <c r="G261" s="46" t="s">
        <v>557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240</v>
      </c>
    </row>
    <row r="262" spans="1:17" s="9" customFormat="1" ht="30" x14ac:dyDescent="0.25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241</v>
      </c>
      <c r="G262" s="46" t="s">
        <v>557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0</v>
      </c>
      <c r="P262" s="137">
        <f t="shared" si="13"/>
        <v>0</v>
      </c>
      <c r="Q262" s="13" t="s">
        <v>238</v>
      </c>
    </row>
    <row r="263" spans="1:17" s="9" customFormat="1" ht="30" x14ac:dyDescent="0.25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369</v>
      </c>
      <c r="G263" s="46" t="s">
        <v>557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242</v>
      </c>
    </row>
    <row r="264" spans="1:17" s="9" customFormat="1" ht="30" x14ac:dyDescent="0.25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557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243</v>
      </c>
    </row>
    <row r="265" spans="1:17" s="9" customFormat="1" ht="30" x14ac:dyDescent="0.25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442</v>
      </c>
      <c r="G265" s="46" t="s">
        <v>557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243</v>
      </c>
    </row>
    <row r="266" spans="1:17" s="9" customFormat="1" ht="30" x14ac:dyDescent="0.25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496</v>
      </c>
      <c r="G266" s="46" t="s">
        <v>557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243</v>
      </c>
    </row>
    <row r="267" spans="1:17" s="9" customFormat="1" ht="30" x14ac:dyDescent="0.25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540</v>
      </c>
      <c r="G267" s="46" t="s">
        <v>557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243</v>
      </c>
    </row>
    <row r="268" spans="1:17" s="9" customFormat="1" ht="30" x14ac:dyDescent="0.25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539</v>
      </c>
      <c r="G268" s="46" t="s">
        <v>557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244</v>
      </c>
    </row>
    <row r="269" spans="1:17" s="9" customFormat="1" ht="30" x14ac:dyDescent="0.25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557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246</v>
      </c>
    </row>
    <row r="270" spans="1:17" s="9" customFormat="1" ht="30" x14ac:dyDescent="0.25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493</v>
      </c>
      <c r="G270" s="46" t="s">
        <v>557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0</v>
      </c>
      <c r="P270" s="137">
        <f t="shared" si="13"/>
        <v>0</v>
      </c>
      <c r="Q270" s="13" t="s">
        <v>238</v>
      </c>
    </row>
    <row r="271" spans="1:17" s="9" customFormat="1" ht="30" x14ac:dyDescent="0.25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557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541</v>
      </c>
    </row>
    <row r="272" spans="1:17" s="9" customFormat="1" ht="30" x14ac:dyDescent="0.25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557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245</v>
      </c>
    </row>
    <row r="273" spans="1:17" s="9" customFormat="1" ht="30" x14ac:dyDescent="0.25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557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245</v>
      </c>
    </row>
    <row r="274" spans="1:17" s="9" customFormat="1" ht="30" x14ac:dyDescent="0.25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557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245</v>
      </c>
    </row>
    <row r="275" spans="1:17" s="9" customFormat="1" ht="30" x14ac:dyDescent="0.25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557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245</v>
      </c>
    </row>
    <row r="276" spans="1:17" s="9" customFormat="1" ht="30" x14ac:dyDescent="0.25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557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245</v>
      </c>
    </row>
    <row r="277" spans="1:17" s="9" customFormat="1" ht="30" x14ac:dyDescent="0.25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557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0</v>
      </c>
      <c r="P277" s="137">
        <f t="shared" si="13"/>
        <v>0</v>
      </c>
      <c r="Q277" s="13" t="s">
        <v>238</v>
      </c>
    </row>
    <row r="278" spans="1:17" s="9" customFormat="1" ht="30" x14ac:dyDescent="0.25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432</v>
      </c>
      <c r="G278" s="46" t="s">
        <v>557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247</v>
      </c>
    </row>
    <row r="279" spans="1:17" s="9" customFormat="1" ht="30" x14ac:dyDescent="0.25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438</v>
      </c>
      <c r="G279" s="46" t="s">
        <v>557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245</v>
      </c>
    </row>
    <row r="280" spans="1:17" s="9" customFormat="1" ht="30" x14ac:dyDescent="0.25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434</v>
      </c>
      <c r="G280" s="46" t="s">
        <v>557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247</v>
      </c>
    </row>
    <row r="281" spans="1:17" s="9" customFormat="1" ht="30" x14ac:dyDescent="0.25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431</v>
      </c>
      <c r="G281" s="46" t="s">
        <v>557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247</v>
      </c>
    </row>
    <row r="282" spans="1:17" s="9" customFormat="1" ht="30" x14ac:dyDescent="0.25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370</v>
      </c>
      <c r="G282" s="46" t="s">
        <v>557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250</v>
      </c>
    </row>
    <row r="283" spans="1:17" s="9" customFormat="1" ht="30" x14ac:dyDescent="0.25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490</v>
      </c>
      <c r="G283" s="46" t="s">
        <v>557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248</v>
      </c>
    </row>
    <row r="284" spans="1:17" s="9" customFormat="1" ht="30" x14ac:dyDescent="0.25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436</v>
      </c>
      <c r="G284" s="46" t="s">
        <v>557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0" x14ac:dyDescent="0.25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491</v>
      </c>
      <c r="G285" s="46" t="s">
        <v>557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249</v>
      </c>
    </row>
    <row r="286" spans="1:17" s="9" customFormat="1" ht="30" x14ac:dyDescent="0.25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371</v>
      </c>
      <c r="G286" s="46" t="s">
        <v>557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259</v>
      </c>
    </row>
    <row r="287" spans="1:17" s="9" customFormat="1" ht="30" x14ac:dyDescent="0.25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372</v>
      </c>
      <c r="G287" s="46" t="s">
        <v>557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260</v>
      </c>
    </row>
    <row r="288" spans="1:17" s="9" customFormat="1" ht="30" x14ac:dyDescent="0.25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557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259</v>
      </c>
    </row>
    <row r="289" spans="1:17" s="9" customFormat="1" ht="30" x14ac:dyDescent="0.25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373</v>
      </c>
      <c r="G289" s="46" t="s">
        <v>557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251</v>
      </c>
    </row>
    <row r="290" spans="1:17" s="9" customFormat="1" ht="30" x14ac:dyDescent="0.25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444</v>
      </c>
      <c r="G290" s="46" t="s">
        <v>557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252</v>
      </c>
    </row>
    <row r="291" spans="1:17" s="9" customFormat="1" ht="30" x14ac:dyDescent="0.25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374</v>
      </c>
      <c r="G291" s="46" t="s">
        <v>557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253</v>
      </c>
    </row>
    <row r="292" spans="1:17" s="9" customFormat="1" ht="30" x14ac:dyDescent="0.25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557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261</v>
      </c>
    </row>
    <row r="293" spans="1:17" s="9" customFormat="1" ht="30" x14ac:dyDescent="0.25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375</v>
      </c>
      <c r="G293" s="46" t="s">
        <v>557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262</v>
      </c>
    </row>
    <row r="294" spans="1:17" s="9" customFormat="1" ht="30" x14ac:dyDescent="0.25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376</v>
      </c>
      <c r="G294" s="46" t="s">
        <v>557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254</v>
      </c>
    </row>
    <row r="295" spans="1:17" s="9" customFormat="1" ht="30" x14ac:dyDescent="0.25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542</v>
      </c>
      <c r="G295" s="46" t="s">
        <v>557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261</v>
      </c>
    </row>
    <row r="296" spans="1:17" s="9" customFormat="1" ht="30" x14ac:dyDescent="0.25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445</v>
      </c>
      <c r="G296" s="46" t="s">
        <v>557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263</v>
      </c>
    </row>
    <row r="297" spans="1:17" s="9" customFormat="1" ht="30" x14ac:dyDescent="0.25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377</v>
      </c>
      <c r="G297" s="46" t="s">
        <v>557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264</v>
      </c>
    </row>
    <row r="298" spans="1:17" s="9" customFormat="1" ht="30" x14ac:dyDescent="0.25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378</v>
      </c>
      <c r="G298" s="46" t="s">
        <v>557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265</v>
      </c>
    </row>
    <row r="299" spans="1:17" s="9" customFormat="1" ht="30" x14ac:dyDescent="0.25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447</v>
      </c>
      <c r="G299" s="46" t="s">
        <v>557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264</v>
      </c>
    </row>
    <row r="300" spans="1:17" s="9" customFormat="1" ht="30" x14ac:dyDescent="0.25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379</v>
      </c>
      <c r="G300" s="46" t="s">
        <v>557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264</v>
      </c>
    </row>
    <row r="301" spans="1:17" s="9" customFormat="1" ht="30" x14ac:dyDescent="0.25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380</v>
      </c>
      <c r="G301" s="46" t="s">
        <v>557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255</v>
      </c>
    </row>
    <row r="302" spans="1:17" s="9" customFormat="1" ht="30" x14ac:dyDescent="0.25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497</v>
      </c>
      <c r="G302" s="46" t="s">
        <v>557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255</v>
      </c>
    </row>
    <row r="303" spans="1:17" s="9" customFormat="1" ht="30" x14ac:dyDescent="0.25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381</v>
      </c>
      <c r="G303" s="46" t="s">
        <v>557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265</v>
      </c>
    </row>
    <row r="304" spans="1:17" s="9" customFormat="1" ht="30" x14ac:dyDescent="0.25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382</v>
      </c>
      <c r="G304" s="46" t="s">
        <v>557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265</v>
      </c>
    </row>
    <row r="305" spans="1:17" s="9" customFormat="1" ht="30" x14ac:dyDescent="0.25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383</v>
      </c>
      <c r="G305" s="46" t="s">
        <v>557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265</v>
      </c>
    </row>
    <row r="306" spans="1:17" s="9" customFormat="1" ht="30" x14ac:dyDescent="0.25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384</v>
      </c>
      <c r="G306" s="46" t="s">
        <v>557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264</v>
      </c>
    </row>
    <row r="307" spans="1:17" s="9" customFormat="1" ht="30" x14ac:dyDescent="0.25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385</v>
      </c>
      <c r="G307" s="46" t="s">
        <v>557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264</v>
      </c>
    </row>
    <row r="308" spans="1:17" s="9" customFormat="1" ht="30" x14ac:dyDescent="0.25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386</v>
      </c>
      <c r="G308" s="46" t="s">
        <v>557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264</v>
      </c>
    </row>
    <row r="309" spans="1:17" s="9" customFormat="1" ht="30" x14ac:dyDescent="0.25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498</v>
      </c>
      <c r="G309" s="46" t="s">
        <v>557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266</v>
      </c>
    </row>
    <row r="310" spans="1:17" s="9" customFormat="1" ht="30" x14ac:dyDescent="0.25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387</v>
      </c>
      <c r="G310" s="46" t="s">
        <v>557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256</v>
      </c>
    </row>
    <row r="311" spans="1:17" s="9" customFormat="1" ht="30" x14ac:dyDescent="0.25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557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247</v>
      </c>
    </row>
    <row r="312" spans="1:17" s="9" customFormat="1" ht="30" x14ac:dyDescent="0.25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557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0</v>
      </c>
      <c r="P312" s="137">
        <f t="shared" si="14"/>
        <v>0</v>
      </c>
      <c r="Q312" s="13" t="s">
        <v>238</v>
      </c>
    </row>
    <row r="313" spans="1:17" s="9" customFormat="1" ht="30" x14ac:dyDescent="0.25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557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256</v>
      </c>
    </row>
    <row r="314" spans="1:17" s="9" customFormat="1" ht="30" x14ac:dyDescent="0.25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389</v>
      </c>
      <c r="G314" s="46" t="s">
        <v>557</v>
      </c>
      <c r="H314" s="18"/>
      <c r="I314" s="18"/>
      <c r="J314" s="18"/>
      <c r="K314" s="18"/>
      <c r="L314" s="18"/>
      <c r="M314" s="18"/>
      <c r="N314" s="26">
        <f>$P$3</f>
        <v>60</v>
      </c>
      <c r="O314" s="24">
        <f>N314</f>
        <v>60</v>
      </c>
      <c r="P314" s="137">
        <f t="shared" si="14"/>
        <v>60</v>
      </c>
      <c r="Q314" s="13" t="s">
        <v>257</v>
      </c>
    </row>
    <row r="315" spans="1:17" s="9" customFormat="1" ht="30" x14ac:dyDescent="0.25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388</v>
      </c>
      <c r="G315" s="46" t="s">
        <v>557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258</v>
      </c>
    </row>
    <row r="316" spans="1:17" s="9" customFormat="1" ht="30" x14ac:dyDescent="0.25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557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256</v>
      </c>
    </row>
    <row r="317" spans="1:17" s="9" customFormat="1" ht="30" x14ac:dyDescent="0.25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557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0</v>
      </c>
      <c r="P317" s="137">
        <f t="shared" si="14"/>
        <v>0</v>
      </c>
      <c r="Q317" s="13" t="s">
        <v>256</v>
      </c>
    </row>
    <row r="318" spans="1:17" s="9" customFormat="1" ht="30" x14ac:dyDescent="0.25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557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0</v>
      </c>
      <c r="P318" s="137">
        <f t="shared" si="14"/>
        <v>0</v>
      </c>
      <c r="Q318" s="13" t="s">
        <v>256</v>
      </c>
    </row>
    <row r="319" spans="1:17" s="9" customFormat="1" ht="30" x14ac:dyDescent="0.25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557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256</v>
      </c>
    </row>
    <row r="320" spans="1:17" s="9" customFormat="1" ht="30" x14ac:dyDescent="0.25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449</v>
      </c>
      <c r="G320" s="46" t="s">
        <v>557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267</v>
      </c>
    </row>
    <row r="321" spans="1:17" s="9" customFormat="1" ht="30" x14ac:dyDescent="0.25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448</v>
      </c>
      <c r="G321" s="46" t="s">
        <v>557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0" x14ac:dyDescent="0.25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499</v>
      </c>
      <c r="G322" s="46" t="s">
        <v>557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267</v>
      </c>
    </row>
    <row r="323" spans="1:17" s="9" customFormat="1" ht="30" x14ac:dyDescent="0.25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450</v>
      </c>
      <c r="G323" s="46" t="s">
        <v>557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267</v>
      </c>
    </row>
    <row r="324" spans="1:17" s="9" customFormat="1" ht="30" x14ac:dyDescent="0.25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500</v>
      </c>
      <c r="G324" s="46" t="s">
        <v>557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268</v>
      </c>
    </row>
    <row r="325" spans="1:17" s="9" customFormat="1" ht="30" x14ac:dyDescent="0.25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390</v>
      </c>
      <c r="G325" s="46" t="s">
        <v>557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256</v>
      </c>
    </row>
    <row r="326" spans="1:17" s="9" customFormat="1" ht="30" x14ac:dyDescent="0.25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391</v>
      </c>
      <c r="G326" s="46" t="s">
        <v>557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269</v>
      </c>
    </row>
    <row r="327" spans="1:17" s="9" customFormat="1" ht="30" x14ac:dyDescent="0.25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453</v>
      </c>
      <c r="G327" s="46" t="s">
        <v>557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269</v>
      </c>
    </row>
    <row r="328" spans="1:17" s="9" customFormat="1" ht="30" x14ac:dyDescent="0.25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392</v>
      </c>
      <c r="G328" s="46" t="s">
        <v>557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272</v>
      </c>
    </row>
    <row r="329" spans="1:17" s="9" customFormat="1" ht="30" x14ac:dyDescent="0.25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393</v>
      </c>
      <c r="G329" s="46" t="s">
        <v>557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275</v>
      </c>
    </row>
    <row r="330" spans="1:17" s="9" customFormat="1" ht="30" x14ac:dyDescent="0.25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421</v>
      </c>
      <c r="G330" s="46" t="s">
        <v>557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422</v>
      </c>
    </row>
    <row r="331" spans="1:17" s="9" customFormat="1" ht="30" x14ac:dyDescent="0.25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501</v>
      </c>
      <c r="G331" s="46" t="s">
        <v>557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423</v>
      </c>
    </row>
    <row r="332" spans="1:17" s="9" customFormat="1" ht="30" x14ac:dyDescent="0.25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557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276</v>
      </c>
    </row>
    <row r="333" spans="1:17" s="9" customFormat="1" ht="45" x14ac:dyDescent="0.25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270</v>
      </c>
      <c r="G333" s="46" t="s">
        <v>557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277</v>
      </c>
    </row>
    <row r="334" spans="1:17" s="9" customFormat="1" ht="30" x14ac:dyDescent="0.25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557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269</v>
      </c>
    </row>
    <row r="335" spans="1:17" s="9" customFormat="1" ht="30" x14ac:dyDescent="0.25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557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287</v>
      </c>
    </row>
    <row r="336" spans="1:17" s="9" customFormat="1" ht="30" x14ac:dyDescent="0.25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557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0</v>
      </c>
      <c r="P336" s="137">
        <f t="shared" si="16"/>
        <v>0</v>
      </c>
      <c r="Q336" s="13" t="s">
        <v>273</v>
      </c>
    </row>
    <row r="337" spans="1:17" s="9" customFormat="1" ht="30" x14ac:dyDescent="0.25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557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0" x14ac:dyDescent="0.25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557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269</v>
      </c>
    </row>
    <row r="339" spans="1:17" s="9" customFormat="1" ht="30" x14ac:dyDescent="0.25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557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280</v>
      </c>
    </row>
    <row r="340" spans="1:17" s="9" customFormat="1" ht="30" x14ac:dyDescent="0.25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557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271</v>
      </c>
    </row>
    <row r="341" spans="1:17" s="9" customFormat="1" ht="30" x14ac:dyDescent="0.25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394</v>
      </c>
      <c r="G341" s="46" t="s">
        <v>557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282</v>
      </c>
    </row>
    <row r="342" spans="1:17" s="9" customFormat="1" ht="30" x14ac:dyDescent="0.25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395</v>
      </c>
      <c r="G342" s="46" t="s">
        <v>557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281</v>
      </c>
    </row>
    <row r="343" spans="1:17" s="9" customFormat="1" ht="30" x14ac:dyDescent="0.25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396</v>
      </c>
      <c r="G343" s="46" t="s">
        <v>557</v>
      </c>
      <c r="H343" s="5"/>
      <c r="I343" s="5"/>
      <c r="J343" s="5"/>
      <c r="K343" s="5"/>
      <c r="L343" s="5"/>
      <c r="M343" s="5"/>
      <c r="N343" s="20">
        <f>'INFORMACION BASE'!$E$25+3</f>
        <v>6</v>
      </c>
      <c r="O343" s="24">
        <f t="shared" si="17"/>
        <v>6</v>
      </c>
      <c r="P343" s="137">
        <f t="shared" si="16"/>
        <v>6</v>
      </c>
      <c r="Q343" s="13" t="s">
        <v>283</v>
      </c>
    </row>
    <row r="344" spans="1:17" s="9" customFormat="1" ht="30" x14ac:dyDescent="0.25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397</v>
      </c>
      <c r="G344" s="46" t="s">
        <v>557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284</v>
      </c>
    </row>
    <row r="345" spans="1:17" s="9" customFormat="1" ht="30" x14ac:dyDescent="0.25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557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285</v>
      </c>
    </row>
    <row r="346" spans="1:17" s="9" customFormat="1" ht="30" x14ac:dyDescent="0.25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557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286</v>
      </c>
    </row>
    <row r="347" spans="1:17" s="9" customFormat="1" ht="30" x14ac:dyDescent="0.25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557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267</v>
      </c>
    </row>
    <row r="348" spans="1:17" s="9" customFormat="1" ht="30" x14ac:dyDescent="0.25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557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288</v>
      </c>
    </row>
    <row r="349" spans="1:17" s="9" customFormat="1" ht="30" x14ac:dyDescent="0.25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455</v>
      </c>
      <c r="G349" s="46" t="s">
        <v>557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289</v>
      </c>
    </row>
    <row r="350" spans="1:17" s="9" customFormat="1" ht="30" x14ac:dyDescent="0.25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557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290</v>
      </c>
    </row>
    <row r="351" spans="1:17" s="9" customFormat="1" ht="30" x14ac:dyDescent="0.25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398</v>
      </c>
      <c r="G351" s="46" t="s">
        <v>557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291</v>
      </c>
    </row>
    <row r="352" spans="1:17" s="9" customFormat="1" ht="30" x14ac:dyDescent="0.25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399</v>
      </c>
      <c r="G352" s="46" t="s">
        <v>557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267</v>
      </c>
    </row>
    <row r="353" spans="1:17" s="9" customFormat="1" ht="30" x14ac:dyDescent="0.25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557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292</v>
      </c>
    </row>
    <row r="354" spans="1:17" s="9" customFormat="1" ht="30" x14ac:dyDescent="0.25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400</v>
      </c>
      <c r="G354" s="46" t="s">
        <v>557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293</v>
      </c>
    </row>
    <row r="355" spans="1:17" s="9" customFormat="1" ht="30" x14ac:dyDescent="0.25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401</v>
      </c>
      <c r="G355" s="46" t="s">
        <v>557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256</v>
      </c>
    </row>
    <row r="356" spans="1:17" s="9" customFormat="1" ht="30" x14ac:dyDescent="0.25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402</v>
      </c>
      <c r="G356" s="46" t="s">
        <v>557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256</v>
      </c>
    </row>
    <row r="357" spans="1:17" s="9" customFormat="1" ht="30" x14ac:dyDescent="0.25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403</v>
      </c>
      <c r="G357" s="46" t="s">
        <v>557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256</v>
      </c>
    </row>
    <row r="358" spans="1:17" s="9" customFormat="1" ht="30" x14ac:dyDescent="0.25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404</v>
      </c>
      <c r="G358" s="46" t="s">
        <v>557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294</v>
      </c>
    </row>
    <row r="359" spans="1:17" s="9" customFormat="1" ht="30" x14ac:dyDescent="0.25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405</v>
      </c>
      <c r="G359" s="46" t="s">
        <v>557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298</v>
      </c>
    </row>
    <row r="360" spans="1:17" s="9" customFormat="1" ht="30" x14ac:dyDescent="0.25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456</v>
      </c>
      <c r="G360" s="46" t="s">
        <v>557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294</v>
      </c>
    </row>
    <row r="361" spans="1:17" s="9" customFormat="1" ht="30" x14ac:dyDescent="0.25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534</v>
      </c>
      <c r="G361" s="46" t="s">
        <v>557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290</v>
      </c>
    </row>
    <row r="362" spans="1:17" s="9" customFormat="1" ht="30" x14ac:dyDescent="0.25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406</v>
      </c>
      <c r="G362" s="46" t="s">
        <v>557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299</v>
      </c>
    </row>
    <row r="363" spans="1:17" s="9" customFormat="1" ht="30" x14ac:dyDescent="0.25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279</v>
      </c>
      <c r="G363" s="46" t="s">
        <v>557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300</v>
      </c>
    </row>
    <row r="364" spans="1:17" s="9" customFormat="1" ht="30" x14ac:dyDescent="0.25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457</v>
      </c>
      <c r="G364" s="46" t="s">
        <v>557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300</v>
      </c>
    </row>
    <row r="365" spans="1:17" s="9" customFormat="1" ht="30" x14ac:dyDescent="0.25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557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301</v>
      </c>
    </row>
    <row r="366" spans="1:17" s="9" customFormat="1" ht="30" x14ac:dyDescent="0.25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407</v>
      </c>
      <c r="G366" s="46" t="s">
        <v>557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303</v>
      </c>
    </row>
    <row r="367" spans="1:17" s="9" customFormat="1" ht="30" x14ac:dyDescent="0.25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408</v>
      </c>
      <c r="G367" s="46" t="s">
        <v>557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256</v>
      </c>
    </row>
    <row r="368" spans="1:17" s="9" customFormat="1" ht="30" x14ac:dyDescent="0.25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306</v>
      </c>
      <c r="G368" s="46" t="s">
        <v>557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304</v>
      </c>
    </row>
    <row r="369" spans="1:17" s="9" customFormat="1" ht="30" x14ac:dyDescent="0.25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307</v>
      </c>
      <c r="G369" s="46" t="s">
        <v>557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305</v>
      </c>
    </row>
    <row r="370" spans="1:17" s="9" customFormat="1" ht="30" x14ac:dyDescent="0.25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536</v>
      </c>
      <c r="G370" s="46" t="s">
        <v>557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256</v>
      </c>
    </row>
    <row r="371" spans="1:17" s="9" customFormat="1" ht="30" x14ac:dyDescent="0.25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557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308</v>
      </c>
    </row>
    <row r="372" spans="1:17" s="9" customFormat="1" ht="30" x14ac:dyDescent="0.25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557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309</v>
      </c>
    </row>
    <row r="373" spans="1:17" s="9" customFormat="1" ht="30" x14ac:dyDescent="0.25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557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309</v>
      </c>
    </row>
    <row r="374" spans="1:17" s="9" customFormat="1" ht="30" x14ac:dyDescent="0.25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557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310</v>
      </c>
    </row>
    <row r="375" spans="1:17" s="9" customFormat="1" ht="30" x14ac:dyDescent="0.25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557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256</v>
      </c>
    </row>
    <row r="376" spans="1:17" s="9" customFormat="1" ht="30" x14ac:dyDescent="0.25">
      <c r="A376" s="5">
        <v>132</v>
      </c>
      <c r="B376" s="6">
        <v>654321</v>
      </c>
      <c r="C376" s="30" t="s">
        <v>106</v>
      </c>
      <c r="D376" s="11" t="s">
        <v>511</v>
      </c>
      <c r="E376" s="7" t="s">
        <v>107</v>
      </c>
      <c r="F376" s="34" t="s">
        <v>467</v>
      </c>
      <c r="G376" s="46" t="s">
        <v>557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0" x14ac:dyDescent="0.25">
      <c r="A377" s="5">
        <v>133</v>
      </c>
      <c r="B377" s="6">
        <v>654321</v>
      </c>
      <c r="C377" s="30" t="s">
        <v>106</v>
      </c>
      <c r="D377" s="11" t="s">
        <v>506</v>
      </c>
      <c r="E377" s="7" t="s">
        <v>107</v>
      </c>
      <c r="F377" s="34" t="s">
        <v>505</v>
      </c>
      <c r="G377" s="46" t="s">
        <v>557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0" x14ac:dyDescent="0.25">
      <c r="A378" s="5">
        <v>134</v>
      </c>
      <c r="B378" s="6">
        <v>654321</v>
      </c>
      <c r="C378" s="30" t="s">
        <v>106</v>
      </c>
      <c r="D378" s="11" t="s">
        <v>511</v>
      </c>
      <c r="E378" s="7" t="s">
        <v>107</v>
      </c>
      <c r="F378" s="34" t="s">
        <v>110</v>
      </c>
      <c r="G378" s="46" t="s">
        <v>557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0" x14ac:dyDescent="0.25">
      <c r="A379" s="5">
        <v>135</v>
      </c>
      <c r="B379" s="6">
        <v>654321</v>
      </c>
      <c r="C379" s="30" t="s">
        <v>106</v>
      </c>
      <c r="D379" s="11" t="s">
        <v>511</v>
      </c>
      <c r="E379" s="7" t="s">
        <v>107</v>
      </c>
      <c r="F379" s="34" t="s">
        <v>111</v>
      </c>
      <c r="G379" s="46" t="s">
        <v>557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0" x14ac:dyDescent="0.25">
      <c r="A380" s="5">
        <v>136</v>
      </c>
      <c r="B380" s="6">
        <v>654321</v>
      </c>
      <c r="C380" s="30" t="s">
        <v>106</v>
      </c>
      <c r="D380" s="11" t="s">
        <v>511</v>
      </c>
      <c r="E380" s="7" t="s">
        <v>107</v>
      </c>
      <c r="F380" s="34" t="s">
        <v>543</v>
      </c>
      <c r="G380" s="46" t="s">
        <v>557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0" x14ac:dyDescent="0.25">
      <c r="A381" s="5">
        <v>137</v>
      </c>
      <c r="B381" s="6">
        <v>654321</v>
      </c>
      <c r="C381" s="30" t="s">
        <v>106</v>
      </c>
      <c r="D381" s="11" t="s">
        <v>511</v>
      </c>
      <c r="E381" s="7" t="s">
        <v>107</v>
      </c>
      <c r="F381" s="34" t="s">
        <v>544</v>
      </c>
      <c r="G381" s="46" t="s">
        <v>557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0" x14ac:dyDescent="0.25">
      <c r="A382" s="5">
        <v>138</v>
      </c>
      <c r="B382" s="6">
        <v>654321</v>
      </c>
      <c r="C382" s="30" t="s">
        <v>106</v>
      </c>
      <c r="D382" s="11" t="s">
        <v>511</v>
      </c>
      <c r="E382" s="7" t="s">
        <v>107</v>
      </c>
      <c r="F382" s="34" t="s">
        <v>114</v>
      </c>
      <c r="G382" s="46" t="s">
        <v>557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0" x14ac:dyDescent="0.25">
      <c r="A383" s="5">
        <v>139</v>
      </c>
      <c r="B383" s="6">
        <v>654321</v>
      </c>
      <c r="C383" s="30" t="s">
        <v>106</v>
      </c>
      <c r="D383" s="11" t="s">
        <v>511</v>
      </c>
      <c r="E383" s="7" t="s">
        <v>107</v>
      </c>
      <c r="F383" s="34" t="s">
        <v>116</v>
      </c>
      <c r="G383" s="46" t="s">
        <v>557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311</v>
      </c>
    </row>
    <row r="384" spans="1:17" s="9" customFormat="1" ht="30" x14ac:dyDescent="0.25">
      <c r="A384" s="5">
        <v>140</v>
      </c>
      <c r="B384" s="6">
        <v>654321</v>
      </c>
      <c r="C384" s="30" t="s">
        <v>106</v>
      </c>
      <c r="D384" s="11" t="s">
        <v>511</v>
      </c>
      <c r="E384" s="7" t="s">
        <v>107</v>
      </c>
      <c r="F384" s="34" t="s">
        <v>117</v>
      </c>
      <c r="G384" s="46" t="s">
        <v>557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0" x14ac:dyDescent="0.25">
      <c r="A385" s="5">
        <v>141</v>
      </c>
      <c r="B385" s="6">
        <v>654321</v>
      </c>
      <c r="C385" s="30" t="s">
        <v>106</v>
      </c>
      <c r="D385" s="11" t="s">
        <v>511</v>
      </c>
      <c r="E385" s="7" t="s">
        <v>107</v>
      </c>
      <c r="F385" s="34" t="s">
        <v>119</v>
      </c>
      <c r="G385" s="46" t="s">
        <v>557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0" x14ac:dyDescent="0.25">
      <c r="A386" s="5">
        <v>142</v>
      </c>
      <c r="B386" s="6">
        <v>654321</v>
      </c>
      <c r="C386" s="30" t="s">
        <v>106</v>
      </c>
      <c r="D386" s="11" t="s">
        <v>507</v>
      </c>
      <c r="E386" s="7" t="s">
        <v>107</v>
      </c>
      <c r="F386" s="34" t="s">
        <v>120</v>
      </c>
      <c r="G386" s="46" t="s">
        <v>557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0" x14ac:dyDescent="0.25">
      <c r="A387" s="5">
        <v>143</v>
      </c>
      <c r="B387" s="6">
        <v>654321</v>
      </c>
      <c r="C387" s="30" t="s">
        <v>106</v>
      </c>
      <c r="D387" s="11" t="s">
        <v>504</v>
      </c>
      <c r="E387" s="7" t="s">
        <v>121</v>
      </c>
      <c r="F387" s="34" t="s">
        <v>122</v>
      </c>
      <c r="G387" s="46" t="s">
        <v>557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0" x14ac:dyDescent="0.25">
      <c r="A388" s="5">
        <v>144</v>
      </c>
      <c r="B388" s="6">
        <v>654321</v>
      </c>
      <c r="C388" s="30" t="s">
        <v>106</v>
      </c>
      <c r="D388" s="11" t="s">
        <v>511</v>
      </c>
      <c r="E388" s="7" t="s">
        <v>121</v>
      </c>
      <c r="F388" s="34" t="s">
        <v>124</v>
      </c>
      <c r="G388" s="46" t="s">
        <v>557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0" x14ac:dyDescent="0.25">
      <c r="A389" s="5">
        <v>145</v>
      </c>
      <c r="B389" s="6">
        <v>654321</v>
      </c>
      <c r="C389" s="30" t="s">
        <v>106</v>
      </c>
      <c r="D389" s="11" t="s">
        <v>504</v>
      </c>
      <c r="E389" s="7" t="s">
        <v>126</v>
      </c>
      <c r="F389" s="34" t="s">
        <v>127</v>
      </c>
      <c r="G389" s="46" t="s">
        <v>557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0" x14ac:dyDescent="0.25">
      <c r="A390" s="5">
        <v>146</v>
      </c>
      <c r="B390" s="6">
        <v>654321</v>
      </c>
      <c r="C390" s="30" t="s">
        <v>106</v>
      </c>
      <c r="D390" s="11" t="s">
        <v>504</v>
      </c>
      <c r="E390" s="7" t="s">
        <v>126</v>
      </c>
      <c r="F390" s="34" t="s">
        <v>129</v>
      </c>
      <c r="G390" s="46" t="s">
        <v>557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0" x14ac:dyDescent="0.25">
      <c r="A391" s="5">
        <v>147</v>
      </c>
      <c r="B391" s="6">
        <v>654321</v>
      </c>
      <c r="C391" s="30" t="s">
        <v>106</v>
      </c>
      <c r="D391" s="11" t="s">
        <v>511</v>
      </c>
      <c r="E391" s="7" t="s">
        <v>126</v>
      </c>
      <c r="F391" s="34" t="s">
        <v>131</v>
      </c>
      <c r="G391" s="46" t="s">
        <v>557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0" x14ac:dyDescent="0.25">
      <c r="A392" s="5">
        <v>148</v>
      </c>
      <c r="B392" s="6">
        <v>654321</v>
      </c>
      <c r="C392" s="30" t="s">
        <v>106</v>
      </c>
      <c r="D392" s="11" t="s">
        <v>504</v>
      </c>
      <c r="E392" s="7" t="s">
        <v>126</v>
      </c>
      <c r="F392" s="34" t="s">
        <v>132</v>
      </c>
      <c r="G392" s="46" t="s">
        <v>557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0" x14ac:dyDescent="0.25">
      <c r="A393" s="5">
        <v>149</v>
      </c>
      <c r="B393" s="6">
        <v>654321</v>
      </c>
      <c r="C393" s="30" t="s">
        <v>106</v>
      </c>
      <c r="D393" s="11" t="s">
        <v>504</v>
      </c>
      <c r="E393" s="7" t="s">
        <v>126</v>
      </c>
      <c r="F393" s="34" t="s">
        <v>133</v>
      </c>
      <c r="G393" s="46" t="s">
        <v>557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0" x14ac:dyDescent="0.25">
      <c r="A394" s="5">
        <v>150</v>
      </c>
      <c r="B394" s="6">
        <v>654321</v>
      </c>
      <c r="C394" s="30" t="s">
        <v>106</v>
      </c>
      <c r="D394" s="11" t="s">
        <v>511</v>
      </c>
      <c r="E394" s="7" t="s">
        <v>126</v>
      </c>
      <c r="F394" s="34" t="s">
        <v>134</v>
      </c>
      <c r="G394" s="46" t="s">
        <v>557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0" x14ac:dyDescent="0.25">
      <c r="A395" s="5">
        <v>151</v>
      </c>
      <c r="B395" s="6">
        <v>654321</v>
      </c>
      <c r="C395" s="30" t="s">
        <v>106</v>
      </c>
      <c r="D395" s="11" t="s">
        <v>511</v>
      </c>
      <c r="E395" s="7" t="s">
        <v>135</v>
      </c>
      <c r="F395" s="34" t="s">
        <v>530</v>
      </c>
      <c r="G395" s="46" t="s">
        <v>557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0" x14ac:dyDescent="0.25">
      <c r="A396" s="5">
        <v>152</v>
      </c>
      <c r="B396" s="6">
        <v>654321</v>
      </c>
      <c r="C396" s="30" t="s">
        <v>106</v>
      </c>
      <c r="D396" s="11" t="s">
        <v>511</v>
      </c>
      <c r="E396" s="7" t="s">
        <v>135</v>
      </c>
      <c r="F396" s="34" t="s">
        <v>531</v>
      </c>
      <c r="G396" s="46" t="s">
        <v>557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0" x14ac:dyDescent="0.25">
      <c r="A397" s="5">
        <v>154</v>
      </c>
      <c r="B397" s="6">
        <v>654321</v>
      </c>
      <c r="C397" s="30" t="s">
        <v>106</v>
      </c>
      <c r="D397" s="11" t="s">
        <v>510</v>
      </c>
      <c r="E397" s="7" t="s">
        <v>107</v>
      </c>
      <c r="F397" s="34" t="s">
        <v>503</v>
      </c>
      <c r="G397" s="46" t="s">
        <v>557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312</v>
      </c>
    </row>
    <row r="398" spans="1:17" s="9" customFormat="1" ht="30" x14ac:dyDescent="0.25">
      <c r="A398" s="5">
        <v>155</v>
      </c>
      <c r="B398" s="6">
        <v>654321</v>
      </c>
      <c r="C398" s="30" t="s">
        <v>106</v>
      </c>
      <c r="D398" s="11" t="s">
        <v>506</v>
      </c>
      <c r="E398" s="7" t="s">
        <v>107</v>
      </c>
      <c r="F398" s="34" t="s">
        <v>411</v>
      </c>
      <c r="G398" s="46" t="s">
        <v>557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282</v>
      </c>
    </row>
    <row r="399" spans="1:17" s="9" customFormat="1" ht="30" x14ac:dyDescent="0.25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557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315</v>
      </c>
    </row>
    <row r="400" spans="1:17" s="9" customFormat="1" ht="30" x14ac:dyDescent="0.25">
      <c r="A400" s="5">
        <v>157</v>
      </c>
      <c r="B400" s="6">
        <v>654321</v>
      </c>
      <c r="C400" s="30" t="s">
        <v>106</v>
      </c>
      <c r="D400" s="11" t="s">
        <v>509</v>
      </c>
      <c r="E400" s="7" t="s">
        <v>107</v>
      </c>
      <c r="F400" s="34" t="s">
        <v>508</v>
      </c>
      <c r="G400" s="46" t="s">
        <v>557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313</v>
      </c>
    </row>
    <row r="401" spans="1:17" s="9" customFormat="1" ht="30" x14ac:dyDescent="0.25">
      <c r="A401" s="5">
        <v>158</v>
      </c>
      <c r="B401" s="6">
        <v>654321</v>
      </c>
      <c r="C401" s="30" t="s">
        <v>106</v>
      </c>
      <c r="D401" s="11" t="s">
        <v>510</v>
      </c>
      <c r="E401" s="7" t="s">
        <v>107</v>
      </c>
      <c r="F401" s="34" t="s">
        <v>140</v>
      </c>
      <c r="G401" s="46" t="s">
        <v>557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314</v>
      </c>
    </row>
    <row r="402" spans="1:17" s="9" customFormat="1" ht="30" x14ac:dyDescent="0.25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557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316</v>
      </c>
    </row>
    <row r="403" spans="1:17" s="9" customFormat="1" ht="30" x14ac:dyDescent="0.25">
      <c r="A403" s="5">
        <v>160</v>
      </c>
      <c r="B403" s="6">
        <v>654321</v>
      </c>
      <c r="C403" s="30" t="s">
        <v>106</v>
      </c>
      <c r="D403" s="11" t="s">
        <v>509</v>
      </c>
      <c r="E403" s="7" t="s">
        <v>107</v>
      </c>
      <c r="F403" s="34" t="s">
        <v>139</v>
      </c>
      <c r="G403" s="46" t="s">
        <v>557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321</v>
      </c>
    </row>
    <row r="404" spans="1:17" s="9" customFormat="1" ht="30" x14ac:dyDescent="0.25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557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317</v>
      </c>
    </row>
    <row r="405" spans="1:17" s="9" customFormat="1" ht="30" x14ac:dyDescent="0.25">
      <c r="A405" s="5">
        <v>162</v>
      </c>
      <c r="B405" s="6">
        <v>654321</v>
      </c>
      <c r="C405" s="30" t="s">
        <v>106</v>
      </c>
      <c r="D405" s="11" t="s">
        <v>510</v>
      </c>
      <c r="E405" s="7" t="s">
        <v>107</v>
      </c>
      <c r="F405" s="34" t="s">
        <v>468</v>
      </c>
      <c r="G405" s="46" t="s">
        <v>557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318</v>
      </c>
    </row>
    <row r="406" spans="1:17" s="9" customFormat="1" ht="30" x14ac:dyDescent="0.25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409</v>
      </c>
      <c r="G406" s="46" t="s">
        <v>557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320</v>
      </c>
    </row>
    <row r="407" spans="1:17" s="9" customFormat="1" ht="30" x14ac:dyDescent="0.25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410</v>
      </c>
      <c r="G407" s="46" t="s">
        <v>557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320</v>
      </c>
    </row>
    <row r="408" spans="1:17" s="9" customFormat="1" ht="30" x14ac:dyDescent="0.25">
      <c r="A408" s="5">
        <v>165</v>
      </c>
      <c r="B408" s="6">
        <v>654321</v>
      </c>
      <c r="C408" s="30" t="s">
        <v>106</v>
      </c>
      <c r="D408" s="11" t="s">
        <v>510</v>
      </c>
      <c r="E408" s="7" t="s">
        <v>107</v>
      </c>
      <c r="F408" s="34" t="s">
        <v>141</v>
      </c>
      <c r="G408" s="46" t="s">
        <v>557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314</v>
      </c>
    </row>
    <row r="409" spans="1:17" s="9" customFormat="1" ht="30" x14ac:dyDescent="0.25">
      <c r="A409" s="5">
        <v>166</v>
      </c>
      <c r="B409" s="6">
        <v>654321</v>
      </c>
      <c r="C409" s="30" t="s">
        <v>106</v>
      </c>
      <c r="D409" s="11" t="s">
        <v>515</v>
      </c>
      <c r="E409" s="7" t="s">
        <v>121</v>
      </c>
      <c r="F409" s="34" t="s">
        <v>470</v>
      </c>
      <c r="G409" s="46" t="s">
        <v>557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331</v>
      </c>
    </row>
    <row r="410" spans="1:17" s="9" customFormat="1" ht="30" x14ac:dyDescent="0.25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557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331</v>
      </c>
    </row>
    <row r="411" spans="1:17" s="9" customFormat="1" ht="30" x14ac:dyDescent="0.25">
      <c r="A411" s="5">
        <v>168</v>
      </c>
      <c r="B411" s="6">
        <v>654321</v>
      </c>
      <c r="C411" s="30" t="s">
        <v>106</v>
      </c>
      <c r="D411" s="11" t="s">
        <v>519</v>
      </c>
      <c r="E411" s="7" t="s">
        <v>121</v>
      </c>
      <c r="F411" s="34" t="s">
        <v>145</v>
      </c>
      <c r="G411" s="46" t="s">
        <v>557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331</v>
      </c>
    </row>
    <row r="412" spans="1:17" s="9" customFormat="1" ht="30" x14ac:dyDescent="0.25">
      <c r="A412" s="5">
        <v>169</v>
      </c>
      <c r="B412" s="6">
        <v>654321</v>
      </c>
      <c r="C412" s="30" t="s">
        <v>106</v>
      </c>
      <c r="D412" s="11" t="s">
        <v>520</v>
      </c>
      <c r="E412" s="7" t="s">
        <v>121</v>
      </c>
      <c r="F412" s="34" t="s">
        <v>148</v>
      </c>
      <c r="G412" s="46" t="s">
        <v>557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332</v>
      </c>
    </row>
    <row r="413" spans="1:17" s="9" customFormat="1" ht="30" x14ac:dyDescent="0.25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473</v>
      </c>
      <c r="G413" s="46" t="s">
        <v>557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331</v>
      </c>
    </row>
    <row r="414" spans="1:17" s="9" customFormat="1" ht="30" x14ac:dyDescent="0.25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557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331</v>
      </c>
    </row>
    <row r="415" spans="1:17" s="9" customFormat="1" ht="30" x14ac:dyDescent="0.25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557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331</v>
      </c>
    </row>
    <row r="416" spans="1:17" s="9" customFormat="1" ht="30" x14ac:dyDescent="0.25">
      <c r="A416" s="5">
        <v>173</v>
      </c>
      <c r="B416" s="6">
        <v>654321</v>
      </c>
      <c r="C416" s="30" t="s">
        <v>106</v>
      </c>
      <c r="D416" s="11" t="s">
        <v>519</v>
      </c>
      <c r="E416" s="7" t="s">
        <v>126</v>
      </c>
      <c r="F416" s="34" t="s">
        <v>149</v>
      </c>
      <c r="G416" s="46" t="s">
        <v>557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339</v>
      </c>
    </row>
    <row r="417" spans="1:17" s="9" customFormat="1" ht="30" x14ac:dyDescent="0.25">
      <c r="A417" s="5">
        <v>174</v>
      </c>
      <c r="B417" s="6">
        <v>654321</v>
      </c>
      <c r="C417" s="30" t="s">
        <v>106</v>
      </c>
      <c r="D417" s="11" t="s">
        <v>509</v>
      </c>
      <c r="E417" s="7" t="s">
        <v>126</v>
      </c>
      <c r="F417" s="34" t="s">
        <v>150</v>
      </c>
      <c r="G417" s="46" t="s">
        <v>557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339</v>
      </c>
    </row>
    <row r="418" spans="1:17" s="9" customFormat="1" ht="30" x14ac:dyDescent="0.25">
      <c r="A418" s="5">
        <v>175</v>
      </c>
      <c r="B418" s="6">
        <v>654321</v>
      </c>
      <c r="C418" s="30" t="s">
        <v>106</v>
      </c>
      <c r="D418" s="11" t="s">
        <v>512</v>
      </c>
      <c r="E418" s="7" t="s">
        <v>107</v>
      </c>
      <c r="F418" s="34" t="s">
        <v>152</v>
      </c>
      <c r="G418" s="46" t="s">
        <v>557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322</v>
      </c>
    </row>
    <row r="419" spans="1:17" s="9" customFormat="1" ht="30" x14ac:dyDescent="0.25">
      <c r="A419" s="5">
        <v>176</v>
      </c>
      <c r="B419" s="6">
        <v>654321</v>
      </c>
      <c r="C419" s="30" t="s">
        <v>106</v>
      </c>
      <c r="D419" s="11" t="s">
        <v>513</v>
      </c>
      <c r="E419" s="7" t="s">
        <v>107</v>
      </c>
      <c r="F419" s="34" t="s">
        <v>153</v>
      </c>
      <c r="G419" s="46" t="s">
        <v>557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322</v>
      </c>
    </row>
    <row r="420" spans="1:17" s="9" customFormat="1" ht="30" x14ac:dyDescent="0.25">
      <c r="A420" s="5">
        <v>177</v>
      </c>
      <c r="B420" s="6">
        <v>654321</v>
      </c>
      <c r="C420" s="30" t="s">
        <v>106</v>
      </c>
      <c r="D420" s="11" t="s">
        <v>512</v>
      </c>
      <c r="E420" s="7" t="s">
        <v>107</v>
      </c>
      <c r="F420" s="34" t="s">
        <v>151</v>
      </c>
      <c r="G420" s="46" t="s">
        <v>557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324</v>
      </c>
    </row>
    <row r="421" spans="1:17" s="9" customFormat="1" ht="30" x14ac:dyDescent="0.25">
      <c r="A421" s="5">
        <v>178</v>
      </c>
      <c r="B421" s="6">
        <v>654321</v>
      </c>
      <c r="C421" s="30" t="s">
        <v>106</v>
      </c>
      <c r="D421" s="11" t="s">
        <v>512</v>
      </c>
      <c r="E421" s="7" t="s">
        <v>121</v>
      </c>
      <c r="F421" s="34" t="s">
        <v>143</v>
      </c>
      <c r="G421" s="46" t="s">
        <v>557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333</v>
      </c>
    </row>
    <row r="422" spans="1:17" s="9" customFormat="1" ht="30" x14ac:dyDescent="0.25">
      <c r="A422" s="5">
        <v>179</v>
      </c>
      <c r="B422" s="6">
        <v>654321</v>
      </c>
      <c r="C422" s="30" t="s">
        <v>106</v>
      </c>
      <c r="D422" s="11" t="s">
        <v>512</v>
      </c>
      <c r="E422" s="7" t="s">
        <v>121</v>
      </c>
      <c r="F422" s="34" t="s">
        <v>154</v>
      </c>
      <c r="G422" s="46" t="s">
        <v>557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334</v>
      </c>
    </row>
    <row r="423" spans="1:17" s="9" customFormat="1" ht="30" x14ac:dyDescent="0.25">
      <c r="A423" s="5">
        <v>180</v>
      </c>
      <c r="B423" s="6">
        <v>654321</v>
      </c>
      <c r="C423" s="30" t="s">
        <v>106</v>
      </c>
      <c r="D423" s="11" t="s">
        <v>504</v>
      </c>
      <c r="E423" s="7" t="s">
        <v>155</v>
      </c>
      <c r="F423" s="34" t="s">
        <v>524</v>
      </c>
      <c r="G423" s="46" t="s">
        <v>557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348</v>
      </c>
    </row>
    <row r="424" spans="1:17" s="9" customFormat="1" ht="30" x14ac:dyDescent="0.25">
      <c r="A424" s="5">
        <v>181</v>
      </c>
      <c r="B424" s="6">
        <v>654321</v>
      </c>
      <c r="C424" s="30" t="s">
        <v>106</v>
      </c>
      <c r="D424" s="11" t="s">
        <v>525</v>
      </c>
      <c r="E424" s="7" t="s">
        <v>155</v>
      </c>
      <c r="F424" s="34" t="s">
        <v>156</v>
      </c>
      <c r="G424" s="46" t="s">
        <v>557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349</v>
      </c>
    </row>
    <row r="425" spans="1:17" s="9" customFormat="1" ht="30" x14ac:dyDescent="0.25">
      <c r="A425" s="5">
        <v>182</v>
      </c>
      <c r="B425" s="6">
        <v>654321</v>
      </c>
      <c r="C425" s="30" t="s">
        <v>106</v>
      </c>
      <c r="D425" s="11" t="s">
        <v>525</v>
      </c>
      <c r="E425" s="7" t="s">
        <v>155</v>
      </c>
      <c r="F425" s="34" t="s">
        <v>412</v>
      </c>
      <c r="G425" s="46" t="s">
        <v>557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347</v>
      </c>
    </row>
    <row r="426" spans="1:17" s="9" customFormat="1" ht="30" x14ac:dyDescent="0.25">
      <c r="A426" s="5">
        <v>183</v>
      </c>
      <c r="B426" s="6">
        <v>654321</v>
      </c>
      <c r="C426" s="30" t="s">
        <v>106</v>
      </c>
      <c r="D426" s="11" t="s">
        <v>504</v>
      </c>
      <c r="E426" s="7" t="s">
        <v>107</v>
      </c>
      <c r="F426" s="34" t="s">
        <v>502</v>
      </c>
      <c r="G426" s="46" t="s">
        <v>557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325</v>
      </c>
    </row>
    <row r="427" spans="1:17" s="9" customFormat="1" ht="30" x14ac:dyDescent="0.25">
      <c r="A427" s="5">
        <v>184</v>
      </c>
      <c r="B427" s="6">
        <v>654321</v>
      </c>
      <c r="C427" s="30" t="s">
        <v>106</v>
      </c>
      <c r="D427" s="11" t="s">
        <v>504</v>
      </c>
      <c r="E427" s="7" t="s">
        <v>107</v>
      </c>
      <c r="F427" s="92" t="s">
        <v>460</v>
      </c>
      <c r="G427" s="46" t="s">
        <v>557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323</v>
      </c>
    </row>
    <row r="428" spans="1:17" s="9" customFormat="1" ht="30" x14ac:dyDescent="0.25">
      <c r="A428" s="5">
        <v>185</v>
      </c>
      <c r="B428" s="6">
        <v>654321</v>
      </c>
      <c r="C428" s="30" t="s">
        <v>106</v>
      </c>
      <c r="D428" s="11" t="s">
        <v>504</v>
      </c>
      <c r="E428" s="7" t="s">
        <v>107</v>
      </c>
      <c r="F428" s="34" t="s">
        <v>413</v>
      </c>
      <c r="G428" s="46" t="s">
        <v>557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326</v>
      </c>
    </row>
    <row r="429" spans="1:17" s="9" customFormat="1" ht="30" x14ac:dyDescent="0.25">
      <c r="A429" s="5">
        <v>186</v>
      </c>
      <c r="B429" s="6">
        <v>654321</v>
      </c>
      <c r="C429" s="30" t="s">
        <v>106</v>
      </c>
      <c r="D429" s="11" t="s">
        <v>504</v>
      </c>
      <c r="E429" s="7" t="s">
        <v>107</v>
      </c>
      <c r="F429" s="34" t="s">
        <v>161</v>
      </c>
      <c r="G429" s="46" t="s">
        <v>557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327</v>
      </c>
    </row>
    <row r="430" spans="1:17" s="9" customFormat="1" ht="30" x14ac:dyDescent="0.25">
      <c r="A430" s="5">
        <v>187</v>
      </c>
      <c r="B430" s="6">
        <v>654321</v>
      </c>
      <c r="C430" s="30" t="s">
        <v>106</v>
      </c>
      <c r="D430" s="11" t="s">
        <v>504</v>
      </c>
      <c r="E430" s="7" t="s">
        <v>107</v>
      </c>
      <c r="F430" s="34" t="s">
        <v>160</v>
      </c>
      <c r="G430" s="46" t="s">
        <v>557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327</v>
      </c>
    </row>
    <row r="431" spans="1:17" s="9" customFormat="1" ht="30" x14ac:dyDescent="0.25">
      <c r="A431" s="5">
        <v>188</v>
      </c>
      <c r="B431" s="6">
        <v>654321</v>
      </c>
      <c r="C431" s="30" t="s">
        <v>106</v>
      </c>
      <c r="D431" s="11" t="s">
        <v>504</v>
      </c>
      <c r="E431" s="7" t="s">
        <v>107</v>
      </c>
      <c r="F431" s="34" t="s">
        <v>465</v>
      </c>
      <c r="G431" s="46" t="s">
        <v>557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328</v>
      </c>
    </row>
    <row r="432" spans="1:17" s="9" customFormat="1" ht="30" x14ac:dyDescent="0.25">
      <c r="A432" s="5">
        <v>189</v>
      </c>
      <c r="B432" s="6">
        <v>654321</v>
      </c>
      <c r="C432" s="30" t="s">
        <v>106</v>
      </c>
      <c r="D432" s="11" t="s">
        <v>512</v>
      </c>
      <c r="E432" s="7" t="s">
        <v>107</v>
      </c>
      <c r="F432" s="34" t="s">
        <v>158</v>
      </c>
      <c r="G432" s="46" t="s">
        <v>557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323</v>
      </c>
    </row>
    <row r="433" spans="1:17" s="9" customFormat="1" ht="30" x14ac:dyDescent="0.25">
      <c r="A433" s="5">
        <v>190</v>
      </c>
      <c r="B433" s="6">
        <v>654321</v>
      </c>
      <c r="C433" s="30" t="s">
        <v>106</v>
      </c>
      <c r="D433" s="11" t="s">
        <v>511</v>
      </c>
      <c r="E433" s="7" t="s">
        <v>107</v>
      </c>
      <c r="F433" s="34" t="s">
        <v>466</v>
      </c>
      <c r="G433" s="46" t="s">
        <v>557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319</v>
      </c>
    </row>
    <row r="434" spans="1:17" s="9" customFormat="1" ht="30" x14ac:dyDescent="0.25">
      <c r="A434" s="5">
        <v>191</v>
      </c>
      <c r="B434" s="6">
        <v>654321</v>
      </c>
      <c r="C434" s="30" t="s">
        <v>106</v>
      </c>
      <c r="D434" s="11" t="s">
        <v>511</v>
      </c>
      <c r="E434" s="7" t="s">
        <v>107</v>
      </c>
      <c r="F434" s="34" t="s">
        <v>469</v>
      </c>
      <c r="G434" s="46" t="s">
        <v>557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319</v>
      </c>
    </row>
    <row r="435" spans="1:17" s="9" customFormat="1" ht="30" x14ac:dyDescent="0.25">
      <c r="A435" s="5">
        <v>192</v>
      </c>
      <c r="B435" s="6">
        <v>654321</v>
      </c>
      <c r="C435" s="30" t="s">
        <v>106</v>
      </c>
      <c r="D435" s="11" t="s">
        <v>511</v>
      </c>
      <c r="E435" s="7" t="s">
        <v>107</v>
      </c>
      <c r="F435" s="34" t="s">
        <v>118</v>
      </c>
      <c r="G435" s="46" t="s">
        <v>557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0" x14ac:dyDescent="0.25">
      <c r="A436" s="5">
        <v>193</v>
      </c>
      <c r="B436" s="6">
        <v>654321</v>
      </c>
      <c r="C436" s="30" t="s">
        <v>106</v>
      </c>
      <c r="D436" s="11" t="s">
        <v>504</v>
      </c>
      <c r="E436" s="7" t="s">
        <v>107</v>
      </c>
      <c r="F436" s="34" t="s">
        <v>159</v>
      </c>
      <c r="G436" s="46" t="s">
        <v>557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329</v>
      </c>
    </row>
    <row r="437" spans="1:17" s="9" customFormat="1" ht="30" x14ac:dyDescent="0.25">
      <c r="A437" s="5">
        <v>194</v>
      </c>
      <c r="B437" s="6">
        <v>654321</v>
      </c>
      <c r="C437" s="30" t="s">
        <v>106</v>
      </c>
      <c r="D437" s="11" t="s">
        <v>504</v>
      </c>
      <c r="E437" s="7" t="s">
        <v>121</v>
      </c>
      <c r="F437" s="34" t="s">
        <v>164</v>
      </c>
      <c r="G437" s="46" t="s">
        <v>557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335</v>
      </c>
    </row>
    <row r="438" spans="1:17" s="9" customFormat="1" ht="30" x14ac:dyDescent="0.25">
      <c r="A438" s="5">
        <v>195</v>
      </c>
      <c r="B438" s="6">
        <v>654321</v>
      </c>
      <c r="C438" s="30" t="s">
        <v>106</v>
      </c>
      <c r="D438" s="11" t="s">
        <v>504</v>
      </c>
      <c r="E438" s="7" t="s">
        <v>121</v>
      </c>
      <c r="F438" s="34" t="s">
        <v>165</v>
      </c>
      <c r="G438" s="46" t="s">
        <v>557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335</v>
      </c>
    </row>
    <row r="439" spans="1:17" s="9" customFormat="1" ht="30" x14ac:dyDescent="0.25">
      <c r="A439" s="5">
        <v>196</v>
      </c>
      <c r="B439" s="6">
        <v>654321</v>
      </c>
      <c r="C439" s="30" t="s">
        <v>106</v>
      </c>
      <c r="D439" s="11" t="s">
        <v>504</v>
      </c>
      <c r="E439" s="7" t="s">
        <v>121</v>
      </c>
      <c r="F439" s="34" t="s">
        <v>166</v>
      </c>
      <c r="G439" s="46" t="s">
        <v>557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336</v>
      </c>
    </row>
    <row r="440" spans="1:17" s="9" customFormat="1" ht="30" x14ac:dyDescent="0.25">
      <c r="A440" s="5">
        <v>197</v>
      </c>
      <c r="B440" s="6">
        <v>654321</v>
      </c>
      <c r="C440" s="30" t="s">
        <v>106</v>
      </c>
      <c r="D440" s="11" t="s">
        <v>504</v>
      </c>
      <c r="E440" s="7" t="s">
        <v>121</v>
      </c>
      <c r="F440" s="34" t="s">
        <v>167</v>
      </c>
      <c r="G440" s="46" t="s">
        <v>557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335</v>
      </c>
    </row>
    <row r="441" spans="1:17" s="9" customFormat="1" ht="30" x14ac:dyDescent="0.25">
      <c r="A441" s="5">
        <v>198</v>
      </c>
      <c r="B441" s="6">
        <v>654321</v>
      </c>
      <c r="C441" s="30" t="s">
        <v>106</v>
      </c>
      <c r="D441" s="11" t="s">
        <v>512</v>
      </c>
      <c r="E441" s="7" t="s">
        <v>155</v>
      </c>
      <c r="F441" s="34" t="s">
        <v>168</v>
      </c>
      <c r="G441" s="46" t="s">
        <v>557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351</v>
      </c>
    </row>
    <row r="442" spans="1:17" s="9" customFormat="1" ht="30" x14ac:dyDescent="0.25">
      <c r="A442" s="5">
        <v>199</v>
      </c>
      <c r="B442" s="6">
        <v>654321</v>
      </c>
      <c r="C442" s="30" t="s">
        <v>106</v>
      </c>
      <c r="D442" s="11" t="s">
        <v>512</v>
      </c>
      <c r="E442" s="7" t="s">
        <v>155</v>
      </c>
      <c r="F442" s="34" t="s">
        <v>479</v>
      </c>
      <c r="G442" s="46" t="s">
        <v>557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350</v>
      </c>
    </row>
    <row r="443" spans="1:17" s="9" customFormat="1" ht="30" x14ac:dyDescent="0.25">
      <c r="A443" s="5">
        <v>200</v>
      </c>
      <c r="B443" s="6">
        <v>654321</v>
      </c>
      <c r="C443" s="30" t="s">
        <v>106</v>
      </c>
      <c r="D443" s="11" t="s">
        <v>526</v>
      </c>
      <c r="E443" s="7" t="s">
        <v>155</v>
      </c>
      <c r="F443" s="34" t="s">
        <v>414</v>
      </c>
      <c r="G443" s="46" t="s">
        <v>557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350</v>
      </c>
    </row>
    <row r="444" spans="1:17" s="9" customFormat="1" ht="30" x14ac:dyDescent="0.25">
      <c r="A444" s="5">
        <v>201</v>
      </c>
      <c r="B444" s="6">
        <v>654321</v>
      </c>
      <c r="C444" s="30" t="s">
        <v>106</v>
      </c>
      <c r="D444" s="11" t="s">
        <v>504</v>
      </c>
      <c r="E444" s="7" t="s">
        <v>155</v>
      </c>
      <c r="F444" s="34" t="s">
        <v>162</v>
      </c>
      <c r="G444" s="46" t="s">
        <v>557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351</v>
      </c>
    </row>
    <row r="445" spans="1:17" s="9" customFormat="1" ht="30" x14ac:dyDescent="0.25">
      <c r="A445" s="5">
        <v>202</v>
      </c>
      <c r="B445" s="6">
        <v>654321</v>
      </c>
      <c r="C445" s="30" t="s">
        <v>106</v>
      </c>
      <c r="D445" s="11" t="s">
        <v>504</v>
      </c>
      <c r="E445" s="7" t="s">
        <v>155</v>
      </c>
      <c r="F445" s="34" t="s">
        <v>163</v>
      </c>
      <c r="G445" s="46" t="s">
        <v>557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351</v>
      </c>
    </row>
    <row r="446" spans="1:17" s="9" customFormat="1" ht="30" x14ac:dyDescent="0.25">
      <c r="A446" s="5">
        <v>203</v>
      </c>
      <c r="B446" s="6">
        <v>654321</v>
      </c>
      <c r="C446" s="30" t="s">
        <v>106</v>
      </c>
      <c r="D446" s="11" t="s">
        <v>504</v>
      </c>
      <c r="E446" s="7" t="s">
        <v>126</v>
      </c>
      <c r="F446" s="34" t="s">
        <v>527</v>
      </c>
      <c r="G446" s="46" t="s">
        <v>557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341</v>
      </c>
    </row>
    <row r="447" spans="1:17" s="9" customFormat="1" ht="30" x14ac:dyDescent="0.25">
      <c r="A447" s="5">
        <v>204</v>
      </c>
      <c r="B447" s="6">
        <v>654321</v>
      </c>
      <c r="C447" s="30" t="s">
        <v>106</v>
      </c>
      <c r="D447" s="11" t="s">
        <v>504</v>
      </c>
      <c r="E447" s="7" t="s">
        <v>126</v>
      </c>
      <c r="F447" s="34" t="s">
        <v>173</v>
      </c>
      <c r="G447" s="46" t="s">
        <v>557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342</v>
      </c>
    </row>
    <row r="448" spans="1:17" s="9" customFormat="1" ht="30" x14ac:dyDescent="0.25">
      <c r="A448" s="5">
        <v>205</v>
      </c>
      <c r="B448" s="6">
        <v>654321</v>
      </c>
      <c r="C448" s="30" t="s">
        <v>106</v>
      </c>
      <c r="D448" s="11" t="s">
        <v>516</v>
      </c>
      <c r="E448" s="7" t="s">
        <v>126</v>
      </c>
      <c r="F448" s="34" t="s">
        <v>175</v>
      </c>
      <c r="G448" s="46" t="s">
        <v>557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340</v>
      </c>
    </row>
    <row r="449" spans="1:17" s="9" customFormat="1" ht="30" x14ac:dyDescent="0.25">
      <c r="A449" s="5">
        <v>206</v>
      </c>
      <c r="B449" s="6">
        <v>654321</v>
      </c>
      <c r="C449" s="30" t="s">
        <v>106</v>
      </c>
      <c r="D449" s="11" t="s">
        <v>504</v>
      </c>
      <c r="E449" s="7" t="s">
        <v>126</v>
      </c>
      <c r="F449" s="34" t="s">
        <v>176</v>
      </c>
      <c r="G449" s="46" t="s">
        <v>557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340</v>
      </c>
    </row>
    <row r="450" spans="1:17" s="9" customFormat="1" ht="30" x14ac:dyDescent="0.25">
      <c r="A450" s="5">
        <v>207</v>
      </c>
      <c r="B450" s="6">
        <v>654321</v>
      </c>
      <c r="C450" s="30" t="s">
        <v>106</v>
      </c>
      <c r="D450" s="11" t="s">
        <v>504</v>
      </c>
      <c r="E450" s="7" t="s">
        <v>126</v>
      </c>
      <c r="F450" s="34" t="s">
        <v>529</v>
      </c>
      <c r="G450" s="46" t="s">
        <v>557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341</v>
      </c>
    </row>
    <row r="451" spans="1:17" s="9" customFormat="1" ht="30" x14ac:dyDescent="0.25">
      <c r="A451" s="5">
        <v>208</v>
      </c>
      <c r="B451" s="6">
        <v>654321</v>
      </c>
      <c r="C451" s="30" t="s">
        <v>106</v>
      </c>
      <c r="D451" s="11" t="s">
        <v>504</v>
      </c>
      <c r="E451" s="7" t="s">
        <v>126</v>
      </c>
      <c r="F451" s="34" t="s">
        <v>169</v>
      </c>
      <c r="G451" s="46" t="s">
        <v>557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343</v>
      </c>
    </row>
    <row r="452" spans="1:17" s="9" customFormat="1" ht="30" x14ac:dyDescent="0.25">
      <c r="A452" s="5">
        <v>209</v>
      </c>
      <c r="B452" s="6">
        <v>654321</v>
      </c>
      <c r="C452" s="30" t="s">
        <v>106</v>
      </c>
      <c r="D452" s="11" t="s">
        <v>504</v>
      </c>
      <c r="E452" s="7" t="s">
        <v>126</v>
      </c>
      <c r="F452" s="34" t="s">
        <v>174</v>
      </c>
      <c r="G452" s="46" t="s">
        <v>557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343</v>
      </c>
    </row>
    <row r="453" spans="1:17" s="9" customFormat="1" ht="30" x14ac:dyDescent="0.25">
      <c r="A453" s="5">
        <v>210</v>
      </c>
      <c r="B453" s="6">
        <v>654321</v>
      </c>
      <c r="C453" s="30" t="s">
        <v>106</v>
      </c>
      <c r="D453" s="11" t="s">
        <v>504</v>
      </c>
      <c r="E453" s="7" t="s">
        <v>126</v>
      </c>
      <c r="F453" s="34" t="s">
        <v>545</v>
      </c>
      <c r="G453" s="46" t="s">
        <v>557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342</v>
      </c>
    </row>
    <row r="454" spans="1:17" s="9" customFormat="1" ht="30" x14ac:dyDescent="0.25">
      <c r="A454" s="5">
        <v>211</v>
      </c>
      <c r="B454" s="6">
        <v>654321</v>
      </c>
      <c r="C454" s="30" t="s">
        <v>106</v>
      </c>
      <c r="D454" s="11" t="s">
        <v>504</v>
      </c>
      <c r="E454" s="7" t="s">
        <v>126</v>
      </c>
      <c r="F454" s="34" t="s">
        <v>177</v>
      </c>
      <c r="G454" s="46" t="s">
        <v>557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343</v>
      </c>
    </row>
    <row r="455" spans="1:17" s="9" customFormat="1" ht="30" x14ac:dyDescent="0.25">
      <c r="A455" s="5">
        <v>212</v>
      </c>
      <c r="B455" s="6">
        <v>654321</v>
      </c>
      <c r="C455" s="30" t="s">
        <v>106</v>
      </c>
      <c r="D455" s="11" t="s">
        <v>504</v>
      </c>
      <c r="E455" s="7" t="s">
        <v>126</v>
      </c>
      <c r="F455" s="34" t="s">
        <v>170</v>
      </c>
      <c r="G455" s="46" t="s">
        <v>557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342</v>
      </c>
    </row>
    <row r="456" spans="1:17" s="9" customFormat="1" ht="30" x14ac:dyDescent="0.25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547</v>
      </c>
      <c r="G456" s="46" t="s">
        <v>557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342</v>
      </c>
    </row>
    <row r="457" spans="1:17" s="9" customFormat="1" ht="30" x14ac:dyDescent="0.25">
      <c r="A457" s="5">
        <v>214</v>
      </c>
      <c r="B457" s="6">
        <v>654321</v>
      </c>
      <c r="C457" s="30" t="s">
        <v>106</v>
      </c>
      <c r="D457" s="11" t="s">
        <v>504</v>
      </c>
      <c r="E457" s="7" t="s">
        <v>126</v>
      </c>
      <c r="F457" s="34" t="s">
        <v>172</v>
      </c>
      <c r="G457" s="46" t="s">
        <v>557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340</v>
      </c>
    </row>
    <row r="458" spans="1:17" s="9" customFormat="1" ht="30" x14ac:dyDescent="0.25">
      <c r="A458" s="5">
        <v>215</v>
      </c>
      <c r="B458" s="6">
        <v>654321</v>
      </c>
      <c r="C458" s="30" t="s">
        <v>106</v>
      </c>
      <c r="D458" s="11" t="s">
        <v>504</v>
      </c>
      <c r="E458" s="7" t="s">
        <v>126</v>
      </c>
      <c r="F458" s="34" t="s">
        <v>178</v>
      </c>
      <c r="G458" s="46" t="s">
        <v>557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342</v>
      </c>
    </row>
    <row r="459" spans="1:17" s="9" customFormat="1" ht="30" x14ac:dyDescent="0.25">
      <c r="A459" s="5">
        <v>216</v>
      </c>
      <c r="B459" s="6">
        <v>654321</v>
      </c>
      <c r="C459" s="30" t="s">
        <v>106</v>
      </c>
      <c r="D459" s="11" t="s">
        <v>504</v>
      </c>
      <c r="E459" s="7" t="s">
        <v>126</v>
      </c>
      <c r="F459" s="34" t="s">
        <v>171</v>
      </c>
      <c r="G459" s="46" t="s">
        <v>557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342</v>
      </c>
    </row>
    <row r="460" spans="1:17" s="9" customFormat="1" ht="30" x14ac:dyDescent="0.25">
      <c r="A460" s="5">
        <v>217</v>
      </c>
      <c r="B460" s="6">
        <v>654321</v>
      </c>
      <c r="C460" s="30" t="s">
        <v>106</v>
      </c>
      <c r="D460" s="11" t="s">
        <v>504</v>
      </c>
      <c r="E460" s="7" t="s">
        <v>107</v>
      </c>
      <c r="F460" s="34" t="s">
        <v>180</v>
      </c>
      <c r="G460" s="46" t="s">
        <v>557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30" x14ac:dyDescent="0.25">
      <c r="A461" s="5">
        <v>218</v>
      </c>
      <c r="B461" s="6">
        <v>654321</v>
      </c>
      <c r="C461" s="30" t="s">
        <v>106</v>
      </c>
      <c r="D461" s="11" t="s">
        <v>507</v>
      </c>
      <c r="E461" s="7" t="s">
        <v>107</v>
      </c>
      <c r="F461" s="34" t="s">
        <v>463</v>
      </c>
      <c r="G461" s="46" t="s">
        <v>557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30" x14ac:dyDescent="0.25">
      <c r="A462" s="5">
        <v>219</v>
      </c>
      <c r="B462" s="6">
        <v>654321</v>
      </c>
      <c r="C462" s="30" t="s">
        <v>106</v>
      </c>
      <c r="D462" s="11" t="s">
        <v>504</v>
      </c>
      <c r="E462" s="7" t="s">
        <v>126</v>
      </c>
      <c r="F462" s="34" t="s">
        <v>182</v>
      </c>
      <c r="G462" s="46" t="s">
        <v>557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345</v>
      </c>
    </row>
    <row r="463" spans="1:17" s="9" customFormat="1" ht="30" x14ac:dyDescent="0.25">
      <c r="A463" s="5">
        <v>220</v>
      </c>
      <c r="B463" s="6">
        <v>654321</v>
      </c>
      <c r="C463" s="30" t="s">
        <v>106</v>
      </c>
      <c r="D463" s="11" t="s">
        <v>504</v>
      </c>
      <c r="E463" s="7" t="s">
        <v>107</v>
      </c>
      <c r="F463" s="34" t="s">
        <v>179</v>
      </c>
      <c r="G463" s="46" t="s">
        <v>557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330</v>
      </c>
    </row>
    <row r="464" spans="1:17" s="9" customFormat="1" ht="30" x14ac:dyDescent="0.25">
      <c r="A464" s="5">
        <v>221</v>
      </c>
      <c r="B464" s="6">
        <v>654321</v>
      </c>
      <c r="C464" s="30" t="s">
        <v>106</v>
      </c>
      <c r="D464" s="11" t="s">
        <v>504</v>
      </c>
      <c r="E464" s="7" t="s">
        <v>121</v>
      </c>
      <c r="F464" s="34" t="s">
        <v>184</v>
      </c>
      <c r="G464" s="46" t="s">
        <v>557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337</v>
      </c>
    </row>
    <row r="465" spans="1:17" s="9" customFormat="1" ht="30" x14ac:dyDescent="0.25">
      <c r="A465" s="5">
        <v>222</v>
      </c>
      <c r="B465" s="6">
        <v>654321</v>
      </c>
      <c r="C465" s="30" t="s">
        <v>106</v>
      </c>
      <c r="D465" s="11" t="s">
        <v>516</v>
      </c>
      <c r="E465" s="7" t="s">
        <v>121</v>
      </c>
      <c r="F465" s="34" t="s">
        <v>185</v>
      </c>
      <c r="G465" s="46" t="s">
        <v>557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338</v>
      </c>
    </row>
    <row r="466" spans="1:17" s="9" customFormat="1" ht="30" x14ac:dyDescent="0.25">
      <c r="A466" s="5">
        <v>223</v>
      </c>
      <c r="B466" s="6">
        <v>654321</v>
      </c>
      <c r="C466" s="30" t="s">
        <v>106</v>
      </c>
      <c r="D466" s="11" t="s">
        <v>504</v>
      </c>
      <c r="E466" s="7" t="s">
        <v>121</v>
      </c>
      <c r="F466" s="34" t="s">
        <v>517</v>
      </c>
      <c r="G466" s="46" t="s">
        <v>557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338</v>
      </c>
    </row>
    <row r="467" spans="1:17" s="9" customFormat="1" ht="30" x14ac:dyDescent="0.25">
      <c r="A467" s="5">
        <v>224</v>
      </c>
      <c r="B467" s="6">
        <v>654321</v>
      </c>
      <c r="C467" s="30" t="s">
        <v>106</v>
      </c>
      <c r="D467" s="11" t="s">
        <v>504</v>
      </c>
      <c r="E467" s="7" t="s">
        <v>121</v>
      </c>
      <c r="F467" s="34" t="s">
        <v>518</v>
      </c>
      <c r="G467" s="46" t="s">
        <v>557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338</v>
      </c>
    </row>
    <row r="468" spans="1:17" s="9" customFormat="1" ht="30" x14ac:dyDescent="0.25">
      <c r="A468" s="5">
        <v>225</v>
      </c>
      <c r="B468" s="6">
        <v>654321</v>
      </c>
      <c r="C468" s="30" t="s">
        <v>106</v>
      </c>
      <c r="D468" s="11" t="s">
        <v>504</v>
      </c>
      <c r="E468" s="7" t="s">
        <v>121</v>
      </c>
      <c r="F468" s="34" t="s">
        <v>183</v>
      </c>
      <c r="G468" s="46" t="s">
        <v>557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338</v>
      </c>
    </row>
    <row r="469" spans="1:17" s="9" customFormat="1" ht="30" x14ac:dyDescent="0.25">
      <c r="A469" s="5">
        <v>226</v>
      </c>
      <c r="B469" s="6">
        <v>654321</v>
      </c>
      <c r="C469" s="30" t="s">
        <v>106</v>
      </c>
      <c r="D469" s="11" t="s">
        <v>504</v>
      </c>
      <c r="E469" s="7" t="s">
        <v>121</v>
      </c>
      <c r="F469" s="34" t="s">
        <v>521</v>
      </c>
      <c r="G469" s="46" t="s">
        <v>557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338</v>
      </c>
    </row>
    <row r="470" spans="1:17" s="9" customFormat="1" ht="30" x14ac:dyDescent="0.25">
      <c r="A470" s="5">
        <v>227</v>
      </c>
      <c r="B470" s="6">
        <v>654321</v>
      </c>
      <c r="C470" s="30" t="s">
        <v>106</v>
      </c>
      <c r="D470" s="11" t="s">
        <v>504</v>
      </c>
      <c r="E470" s="7" t="s">
        <v>121</v>
      </c>
      <c r="F470" s="34" t="s">
        <v>522</v>
      </c>
      <c r="G470" s="46" t="s">
        <v>557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338</v>
      </c>
    </row>
    <row r="471" spans="1:17" s="9" customFormat="1" ht="30" x14ac:dyDescent="0.25">
      <c r="A471" s="5">
        <v>228</v>
      </c>
      <c r="B471" s="6">
        <v>654321</v>
      </c>
      <c r="C471" s="30" t="s">
        <v>106</v>
      </c>
      <c r="D471" s="11" t="s">
        <v>504</v>
      </c>
      <c r="E471" s="7" t="s">
        <v>121</v>
      </c>
      <c r="F471" s="34" t="s">
        <v>523</v>
      </c>
      <c r="G471" s="46" t="s">
        <v>557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338</v>
      </c>
    </row>
    <row r="472" spans="1:17" s="9" customFormat="1" ht="30" x14ac:dyDescent="0.25">
      <c r="A472" s="5">
        <v>229</v>
      </c>
      <c r="B472" s="6">
        <v>654321</v>
      </c>
      <c r="C472" s="30" t="s">
        <v>106</v>
      </c>
      <c r="D472" s="11" t="s">
        <v>504</v>
      </c>
      <c r="E472" s="7" t="s">
        <v>155</v>
      </c>
      <c r="F472" s="34" t="s">
        <v>186</v>
      </c>
      <c r="G472" s="46" t="s">
        <v>557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352</v>
      </c>
    </row>
    <row r="473" spans="1:17" s="9" customFormat="1" ht="30" x14ac:dyDescent="0.25">
      <c r="A473" s="5">
        <v>230</v>
      </c>
      <c r="B473" s="6">
        <v>654321</v>
      </c>
      <c r="C473" s="30" t="s">
        <v>106</v>
      </c>
      <c r="D473" s="11" t="s">
        <v>504</v>
      </c>
      <c r="E473" s="7" t="s">
        <v>155</v>
      </c>
      <c r="F473" s="34" t="s">
        <v>181</v>
      </c>
      <c r="G473" s="46" t="s">
        <v>557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352</v>
      </c>
    </row>
    <row r="474" spans="1:17" s="9" customFormat="1" ht="30" x14ac:dyDescent="0.25">
      <c r="A474" s="5">
        <v>231</v>
      </c>
      <c r="B474" s="6">
        <v>654321</v>
      </c>
      <c r="C474" s="30" t="s">
        <v>106</v>
      </c>
      <c r="D474" s="11" t="s">
        <v>504</v>
      </c>
      <c r="E474" s="7" t="s">
        <v>155</v>
      </c>
      <c r="F474" s="34" t="s">
        <v>480</v>
      </c>
      <c r="G474" s="46" t="s">
        <v>557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353</v>
      </c>
    </row>
    <row r="475" spans="1:17" s="9" customFormat="1" ht="30" x14ac:dyDescent="0.25">
      <c r="A475" s="5">
        <v>232</v>
      </c>
      <c r="B475" s="6">
        <v>654321</v>
      </c>
      <c r="C475" s="30" t="s">
        <v>106</v>
      </c>
      <c r="D475" s="11" t="s">
        <v>504</v>
      </c>
      <c r="E475" s="7" t="s">
        <v>126</v>
      </c>
      <c r="F475" s="34" t="s">
        <v>546</v>
      </c>
      <c r="G475" s="46" t="s">
        <v>557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346</v>
      </c>
    </row>
    <row r="476" spans="1:17" s="9" customFormat="1" ht="30" x14ac:dyDescent="0.25">
      <c r="A476" s="5">
        <v>233</v>
      </c>
      <c r="B476" s="6">
        <v>654321</v>
      </c>
      <c r="C476" s="30" t="s">
        <v>106</v>
      </c>
      <c r="D476" s="11" t="s">
        <v>504</v>
      </c>
      <c r="E476" s="7" t="s">
        <v>126</v>
      </c>
      <c r="F476" s="34" t="s">
        <v>187</v>
      </c>
      <c r="G476" s="46" t="s">
        <v>557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344</v>
      </c>
    </row>
    <row r="477" spans="1:17" ht="30" x14ac:dyDescent="0.25">
      <c r="A477" s="5">
        <v>234</v>
      </c>
      <c r="B477" s="6">
        <v>654321</v>
      </c>
      <c r="C477" s="30" t="s">
        <v>106</v>
      </c>
      <c r="D477" s="11" t="s">
        <v>504</v>
      </c>
      <c r="E477" s="7" t="s">
        <v>532</v>
      </c>
      <c r="F477" s="90" t="s">
        <v>548</v>
      </c>
      <c r="G477" s="46" t="s">
        <v>557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0" x14ac:dyDescent="0.25">
      <c r="A478" s="5">
        <v>235</v>
      </c>
      <c r="B478" s="6">
        <v>654321</v>
      </c>
      <c r="C478" s="30" t="s">
        <v>106</v>
      </c>
      <c r="D478" s="11" t="s">
        <v>504</v>
      </c>
      <c r="E478" s="7" t="s">
        <v>532</v>
      </c>
      <c r="F478" s="90" t="s">
        <v>481</v>
      </c>
      <c r="G478" s="46" t="s">
        <v>557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0" x14ac:dyDescent="0.25">
      <c r="A479" s="5">
        <v>236</v>
      </c>
      <c r="B479" s="6">
        <v>654321</v>
      </c>
      <c r="C479" s="30" t="s">
        <v>106</v>
      </c>
      <c r="D479" s="11" t="s">
        <v>504</v>
      </c>
      <c r="E479" s="7" t="s">
        <v>532</v>
      </c>
      <c r="F479" s="90" t="s">
        <v>482</v>
      </c>
      <c r="G479" s="46" t="s">
        <v>557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0" x14ac:dyDescent="0.25">
      <c r="A480" s="5">
        <v>237</v>
      </c>
      <c r="B480" s="6">
        <v>654321</v>
      </c>
      <c r="C480" s="30" t="s">
        <v>106</v>
      </c>
      <c r="D480" s="11" t="s">
        <v>504</v>
      </c>
      <c r="E480" s="7" t="s">
        <v>532</v>
      </c>
      <c r="F480" s="90" t="s">
        <v>484</v>
      </c>
      <c r="G480" s="46" t="s">
        <v>557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0" x14ac:dyDescent="0.25">
      <c r="A481" s="5">
        <v>238</v>
      </c>
      <c r="B481" s="6">
        <v>654321</v>
      </c>
      <c r="C481" s="30" t="s">
        <v>106</v>
      </c>
      <c r="D481" s="11" t="s">
        <v>504</v>
      </c>
      <c r="E481" s="7" t="s">
        <v>532</v>
      </c>
      <c r="F481" s="90" t="s">
        <v>533</v>
      </c>
      <c r="G481" s="46" t="s">
        <v>557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0" x14ac:dyDescent="0.25">
      <c r="A482" s="5">
        <v>239</v>
      </c>
      <c r="B482" s="6">
        <v>654321</v>
      </c>
      <c r="C482" s="30" t="s">
        <v>106</v>
      </c>
      <c r="D482" s="11" t="s">
        <v>504</v>
      </c>
      <c r="E482" s="7" t="s">
        <v>532</v>
      </c>
      <c r="F482" s="90" t="s">
        <v>485</v>
      </c>
      <c r="G482" s="46" t="s">
        <v>557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0" x14ac:dyDescent="0.25">
      <c r="A483" s="5">
        <v>240</v>
      </c>
      <c r="B483" s="6">
        <v>654321</v>
      </c>
      <c r="C483" s="30" t="s">
        <v>106</v>
      </c>
      <c r="D483" s="11" t="s">
        <v>504</v>
      </c>
      <c r="E483" s="7" t="s">
        <v>532</v>
      </c>
      <c r="F483" s="90" t="s">
        <v>486</v>
      </c>
      <c r="G483" s="46" t="s">
        <v>557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0" x14ac:dyDescent="0.25">
      <c r="A484" s="5">
        <v>241</v>
      </c>
      <c r="B484" s="6">
        <v>654321</v>
      </c>
      <c r="C484" s="30" t="s">
        <v>106</v>
      </c>
      <c r="D484" s="11" t="s">
        <v>504</v>
      </c>
      <c r="E484" s="7" t="s">
        <v>532</v>
      </c>
      <c r="F484" s="90" t="s">
        <v>487</v>
      </c>
      <c r="G484" s="46" t="s">
        <v>557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0" x14ac:dyDescent="0.25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420</v>
      </c>
      <c r="G485" s="47" t="s">
        <v>558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552</v>
      </c>
    </row>
    <row r="486" spans="1:17" s="9" customFormat="1" ht="30" x14ac:dyDescent="0.25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558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552</v>
      </c>
    </row>
    <row r="487" spans="1:17" s="9" customFormat="1" ht="30" x14ac:dyDescent="0.25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549</v>
      </c>
      <c r="G487" s="47" t="s">
        <v>558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553</v>
      </c>
    </row>
    <row r="488" spans="1:17" s="9" customFormat="1" ht="30" x14ac:dyDescent="0.25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489</v>
      </c>
      <c r="G488" s="47" t="s">
        <v>558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553</v>
      </c>
    </row>
    <row r="489" spans="1:17" s="9" customFormat="1" ht="30" x14ac:dyDescent="0.25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554</v>
      </c>
      <c r="G489" s="47" t="s">
        <v>558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553</v>
      </c>
    </row>
    <row r="490" spans="1:17" s="9" customFormat="1" ht="30" x14ac:dyDescent="0.25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367</v>
      </c>
      <c r="G490" s="47" t="s">
        <v>558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237</v>
      </c>
    </row>
    <row r="491" spans="1:17" s="9" customFormat="1" ht="30" x14ac:dyDescent="0.25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439</v>
      </c>
      <c r="G491" s="47" t="s">
        <v>558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0" x14ac:dyDescent="0.25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368</v>
      </c>
      <c r="G492" s="47" t="s">
        <v>558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0" x14ac:dyDescent="0.25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366</v>
      </c>
      <c r="G493" s="47" t="s">
        <v>558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235</v>
      </c>
    </row>
    <row r="494" spans="1:17" s="9" customFormat="1" ht="30" x14ac:dyDescent="0.25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558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537</v>
      </c>
    </row>
    <row r="495" spans="1:17" s="9" customFormat="1" ht="30" x14ac:dyDescent="0.25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236</v>
      </c>
      <c r="G495" s="47" t="s">
        <v>558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538</v>
      </c>
    </row>
    <row r="496" spans="1:17" s="9" customFormat="1" ht="30" x14ac:dyDescent="0.25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558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537</v>
      </c>
    </row>
    <row r="497" spans="1:17" s="9" customFormat="1" ht="30" x14ac:dyDescent="0.25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365</v>
      </c>
      <c r="G497" s="47" t="s">
        <v>558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537</v>
      </c>
    </row>
    <row r="498" spans="1:17" s="9" customFormat="1" ht="30" x14ac:dyDescent="0.25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440</v>
      </c>
      <c r="G498" s="47" t="s">
        <v>558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240</v>
      </c>
    </row>
    <row r="499" spans="1:17" s="9" customFormat="1" ht="30" x14ac:dyDescent="0.25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494</v>
      </c>
      <c r="G499" s="47" t="s">
        <v>558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240</v>
      </c>
    </row>
    <row r="500" spans="1:17" s="9" customFormat="1" ht="30" x14ac:dyDescent="0.25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241</v>
      </c>
      <c r="G500" s="47" t="s">
        <v>558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0</v>
      </c>
      <c r="P500" s="137">
        <f t="shared" si="33"/>
        <v>0</v>
      </c>
      <c r="Q500" s="13" t="s">
        <v>238</v>
      </c>
    </row>
    <row r="501" spans="1:17" s="9" customFormat="1" ht="30" x14ac:dyDescent="0.25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369</v>
      </c>
      <c r="G501" s="47" t="s">
        <v>558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242</v>
      </c>
    </row>
    <row r="502" spans="1:17" s="9" customFormat="1" ht="30" x14ac:dyDescent="0.25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558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243</v>
      </c>
    </row>
    <row r="503" spans="1:17" s="9" customFormat="1" ht="30" x14ac:dyDescent="0.25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442</v>
      </c>
      <c r="G503" s="47" t="s">
        <v>558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243</v>
      </c>
    </row>
    <row r="504" spans="1:17" s="9" customFormat="1" ht="30" x14ac:dyDescent="0.25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496</v>
      </c>
      <c r="G504" s="47" t="s">
        <v>558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243</v>
      </c>
    </row>
    <row r="505" spans="1:17" s="9" customFormat="1" ht="30" x14ac:dyDescent="0.25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540</v>
      </c>
      <c r="G505" s="47" t="s">
        <v>558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243</v>
      </c>
    </row>
    <row r="506" spans="1:17" s="9" customFormat="1" ht="30" x14ac:dyDescent="0.25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539</v>
      </c>
      <c r="G506" s="47" t="s">
        <v>558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244</v>
      </c>
    </row>
    <row r="507" spans="1:17" s="9" customFormat="1" ht="30" x14ac:dyDescent="0.25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558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246</v>
      </c>
    </row>
    <row r="508" spans="1:17" s="9" customFormat="1" ht="30" x14ac:dyDescent="0.25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493</v>
      </c>
      <c r="G508" s="47" t="s">
        <v>558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0</v>
      </c>
      <c r="P508" s="137">
        <f t="shared" si="33"/>
        <v>0</v>
      </c>
      <c r="Q508" s="13" t="s">
        <v>238</v>
      </c>
    </row>
    <row r="509" spans="1:17" s="9" customFormat="1" ht="30" x14ac:dyDescent="0.25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558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541</v>
      </c>
    </row>
    <row r="510" spans="1:17" s="9" customFormat="1" ht="30" x14ac:dyDescent="0.25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558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245</v>
      </c>
    </row>
    <row r="511" spans="1:17" s="9" customFormat="1" ht="30" x14ac:dyDescent="0.25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558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245</v>
      </c>
    </row>
    <row r="512" spans="1:17" s="9" customFormat="1" ht="30" x14ac:dyDescent="0.25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558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245</v>
      </c>
    </row>
    <row r="513" spans="1:17" s="9" customFormat="1" ht="30" x14ac:dyDescent="0.25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558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245</v>
      </c>
    </row>
    <row r="514" spans="1:17" s="9" customFormat="1" ht="30" x14ac:dyDescent="0.25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558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245</v>
      </c>
    </row>
    <row r="515" spans="1:17" s="9" customFormat="1" ht="30" x14ac:dyDescent="0.25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558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0</v>
      </c>
      <c r="P515" s="137">
        <f t="shared" si="33"/>
        <v>0</v>
      </c>
      <c r="Q515" s="13" t="s">
        <v>238</v>
      </c>
    </row>
    <row r="516" spans="1:17" s="9" customFormat="1" ht="30" x14ac:dyDescent="0.25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432</v>
      </c>
      <c r="G516" s="47" t="s">
        <v>558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247</v>
      </c>
    </row>
    <row r="517" spans="1:17" s="9" customFormat="1" ht="30" x14ac:dyDescent="0.25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438</v>
      </c>
      <c r="G517" s="47" t="s">
        <v>558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245</v>
      </c>
    </row>
    <row r="518" spans="1:17" s="9" customFormat="1" ht="30" x14ac:dyDescent="0.25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434</v>
      </c>
      <c r="G518" s="47" t="s">
        <v>558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247</v>
      </c>
    </row>
    <row r="519" spans="1:17" s="9" customFormat="1" ht="30" x14ac:dyDescent="0.25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431</v>
      </c>
      <c r="G519" s="47" t="s">
        <v>558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247</v>
      </c>
    </row>
    <row r="520" spans="1:17" s="9" customFormat="1" ht="30" x14ac:dyDescent="0.25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370</v>
      </c>
      <c r="G520" s="47" t="s">
        <v>558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250</v>
      </c>
    </row>
    <row r="521" spans="1:17" s="9" customFormat="1" ht="30" x14ac:dyDescent="0.25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490</v>
      </c>
      <c r="G521" s="47" t="s">
        <v>558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248</v>
      </c>
    </row>
    <row r="522" spans="1:17" s="9" customFormat="1" ht="30" x14ac:dyDescent="0.25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436</v>
      </c>
      <c r="G522" s="47" t="s">
        <v>558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0" x14ac:dyDescent="0.25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491</v>
      </c>
      <c r="G523" s="47" t="s">
        <v>558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249</v>
      </c>
    </row>
    <row r="524" spans="1:17" s="9" customFormat="1" ht="30" x14ac:dyDescent="0.25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371</v>
      </c>
      <c r="G524" s="47" t="s">
        <v>558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259</v>
      </c>
    </row>
    <row r="525" spans="1:17" s="9" customFormat="1" ht="30" x14ac:dyDescent="0.25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372</v>
      </c>
      <c r="G525" s="47" t="s">
        <v>558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260</v>
      </c>
    </row>
    <row r="526" spans="1:17" s="9" customFormat="1" ht="30" x14ac:dyDescent="0.25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558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259</v>
      </c>
    </row>
    <row r="527" spans="1:17" s="9" customFormat="1" ht="30" x14ac:dyDescent="0.25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373</v>
      </c>
      <c r="G527" s="47" t="s">
        <v>558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251</v>
      </c>
    </row>
    <row r="528" spans="1:17" s="9" customFormat="1" ht="30" x14ac:dyDescent="0.25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444</v>
      </c>
      <c r="G528" s="47" t="s">
        <v>558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252</v>
      </c>
    </row>
    <row r="529" spans="1:17" s="9" customFormat="1" ht="30" x14ac:dyDescent="0.25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374</v>
      </c>
      <c r="G529" s="47" t="s">
        <v>558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253</v>
      </c>
    </row>
    <row r="530" spans="1:17" s="9" customFormat="1" ht="30" x14ac:dyDescent="0.25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558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261</v>
      </c>
    </row>
    <row r="531" spans="1:17" s="9" customFormat="1" ht="30" x14ac:dyDescent="0.25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375</v>
      </c>
      <c r="G531" s="47" t="s">
        <v>558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262</v>
      </c>
    </row>
    <row r="532" spans="1:17" s="9" customFormat="1" ht="30" x14ac:dyDescent="0.25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376</v>
      </c>
      <c r="G532" s="47" t="s">
        <v>558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254</v>
      </c>
    </row>
    <row r="533" spans="1:17" s="9" customFormat="1" ht="30" x14ac:dyDescent="0.25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542</v>
      </c>
      <c r="G533" s="47" t="s">
        <v>558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261</v>
      </c>
    </row>
    <row r="534" spans="1:17" s="9" customFormat="1" ht="30" x14ac:dyDescent="0.25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445</v>
      </c>
      <c r="G534" s="47" t="s">
        <v>558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263</v>
      </c>
    </row>
    <row r="535" spans="1:17" s="9" customFormat="1" ht="30" x14ac:dyDescent="0.25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377</v>
      </c>
      <c r="G535" s="47" t="s">
        <v>558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264</v>
      </c>
    </row>
    <row r="536" spans="1:17" s="9" customFormat="1" ht="30" x14ac:dyDescent="0.25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378</v>
      </c>
      <c r="G536" s="47" t="s">
        <v>558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265</v>
      </c>
    </row>
    <row r="537" spans="1:17" s="9" customFormat="1" ht="30" x14ac:dyDescent="0.25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447</v>
      </c>
      <c r="G537" s="47" t="s">
        <v>558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264</v>
      </c>
    </row>
    <row r="538" spans="1:17" s="9" customFormat="1" ht="30" x14ac:dyDescent="0.25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379</v>
      </c>
      <c r="G538" s="47" t="s">
        <v>558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264</v>
      </c>
    </row>
    <row r="539" spans="1:17" s="9" customFormat="1" ht="30" x14ac:dyDescent="0.25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380</v>
      </c>
      <c r="G539" s="47" t="s">
        <v>558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255</v>
      </c>
    </row>
    <row r="540" spans="1:17" s="9" customFormat="1" ht="30" x14ac:dyDescent="0.25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497</v>
      </c>
      <c r="G540" s="47" t="s">
        <v>558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255</v>
      </c>
    </row>
    <row r="541" spans="1:17" s="9" customFormat="1" ht="30" x14ac:dyDescent="0.25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381</v>
      </c>
      <c r="G541" s="47" t="s">
        <v>558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265</v>
      </c>
    </row>
    <row r="542" spans="1:17" s="9" customFormat="1" ht="30" x14ac:dyDescent="0.25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382</v>
      </c>
      <c r="G542" s="47" t="s">
        <v>558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265</v>
      </c>
    </row>
    <row r="543" spans="1:17" s="9" customFormat="1" ht="30" x14ac:dyDescent="0.25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383</v>
      </c>
      <c r="G543" s="47" t="s">
        <v>558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265</v>
      </c>
    </row>
    <row r="544" spans="1:17" s="9" customFormat="1" ht="30" x14ac:dyDescent="0.25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384</v>
      </c>
      <c r="G544" s="47" t="s">
        <v>558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264</v>
      </c>
    </row>
    <row r="545" spans="1:17" s="9" customFormat="1" ht="30" x14ac:dyDescent="0.25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385</v>
      </c>
      <c r="G545" s="47" t="s">
        <v>558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264</v>
      </c>
    </row>
    <row r="546" spans="1:17" s="9" customFormat="1" ht="30" x14ac:dyDescent="0.25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386</v>
      </c>
      <c r="G546" s="47" t="s">
        <v>558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264</v>
      </c>
    </row>
    <row r="547" spans="1:17" s="9" customFormat="1" ht="30" x14ac:dyDescent="0.25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498</v>
      </c>
      <c r="G547" s="47" t="s">
        <v>558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266</v>
      </c>
    </row>
    <row r="548" spans="1:17" s="9" customFormat="1" ht="30" x14ac:dyDescent="0.25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387</v>
      </c>
      <c r="G548" s="47" t="s">
        <v>558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256</v>
      </c>
    </row>
    <row r="549" spans="1:17" s="9" customFormat="1" ht="30" x14ac:dyDescent="0.25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558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247</v>
      </c>
    </row>
    <row r="550" spans="1:17" s="9" customFormat="1" ht="30" x14ac:dyDescent="0.25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558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0</v>
      </c>
      <c r="P550" s="137">
        <f t="shared" si="34"/>
        <v>0</v>
      </c>
      <c r="Q550" s="13" t="s">
        <v>238</v>
      </c>
    </row>
    <row r="551" spans="1:17" s="9" customFormat="1" ht="30" x14ac:dyDescent="0.25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558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256</v>
      </c>
    </row>
    <row r="552" spans="1:17" s="9" customFormat="1" ht="30" x14ac:dyDescent="0.25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389</v>
      </c>
      <c r="G552" s="47" t="s">
        <v>558</v>
      </c>
      <c r="H552" s="18"/>
      <c r="I552" s="18"/>
      <c r="J552" s="18"/>
      <c r="K552" s="18"/>
      <c r="L552" s="18"/>
      <c r="M552" s="18"/>
      <c r="N552" s="26">
        <f>$P$3</f>
        <v>60</v>
      </c>
      <c r="O552" s="24">
        <f>N552</f>
        <v>60</v>
      </c>
      <c r="P552" s="137">
        <f t="shared" si="34"/>
        <v>60</v>
      </c>
      <c r="Q552" s="13" t="s">
        <v>257</v>
      </c>
    </row>
    <row r="553" spans="1:17" s="9" customFormat="1" ht="30" x14ac:dyDescent="0.25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388</v>
      </c>
      <c r="G553" s="47" t="s">
        <v>558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258</v>
      </c>
    </row>
    <row r="554" spans="1:17" s="9" customFormat="1" ht="30" x14ac:dyDescent="0.25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558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256</v>
      </c>
    </row>
    <row r="555" spans="1:17" s="9" customFormat="1" ht="30" x14ac:dyDescent="0.25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558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0</v>
      </c>
      <c r="P555" s="137">
        <f t="shared" si="34"/>
        <v>0</v>
      </c>
      <c r="Q555" s="13" t="s">
        <v>256</v>
      </c>
    </row>
    <row r="556" spans="1:17" s="9" customFormat="1" ht="30" x14ac:dyDescent="0.25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558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0</v>
      </c>
      <c r="P556" s="137">
        <f t="shared" si="34"/>
        <v>0</v>
      </c>
      <c r="Q556" s="13" t="s">
        <v>256</v>
      </c>
    </row>
    <row r="557" spans="1:17" s="9" customFormat="1" ht="30" x14ac:dyDescent="0.25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558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256</v>
      </c>
    </row>
    <row r="558" spans="1:17" s="9" customFormat="1" ht="30" x14ac:dyDescent="0.25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449</v>
      </c>
      <c r="G558" s="47" t="s">
        <v>558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267</v>
      </c>
    </row>
    <row r="559" spans="1:17" s="9" customFormat="1" ht="30" x14ac:dyDescent="0.25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448</v>
      </c>
      <c r="G559" s="47" t="s">
        <v>558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0" x14ac:dyDescent="0.25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499</v>
      </c>
      <c r="G560" s="47" t="s">
        <v>558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267</v>
      </c>
    </row>
    <row r="561" spans="1:17" s="9" customFormat="1" ht="30" x14ac:dyDescent="0.25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450</v>
      </c>
      <c r="G561" s="47" t="s">
        <v>558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267</v>
      </c>
    </row>
    <row r="562" spans="1:17" s="9" customFormat="1" ht="30" x14ac:dyDescent="0.25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500</v>
      </c>
      <c r="G562" s="47" t="s">
        <v>558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268</v>
      </c>
    </row>
    <row r="563" spans="1:17" s="9" customFormat="1" ht="30" x14ac:dyDescent="0.25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390</v>
      </c>
      <c r="G563" s="47" t="s">
        <v>558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256</v>
      </c>
    </row>
    <row r="564" spans="1:17" s="9" customFormat="1" ht="30" x14ac:dyDescent="0.25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391</v>
      </c>
      <c r="G564" s="47" t="s">
        <v>558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269</v>
      </c>
    </row>
    <row r="565" spans="1:17" s="9" customFormat="1" ht="30" x14ac:dyDescent="0.25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453</v>
      </c>
      <c r="G565" s="47" t="s">
        <v>558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269</v>
      </c>
    </row>
    <row r="566" spans="1:17" s="9" customFormat="1" ht="30" x14ac:dyDescent="0.25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392</v>
      </c>
      <c r="G566" s="47" t="s">
        <v>558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272</v>
      </c>
    </row>
    <row r="567" spans="1:17" s="9" customFormat="1" ht="30" x14ac:dyDescent="0.25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393</v>
      </c>
      <c r="G567" s="47" t="s">
        <v>558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275</v>
      </c>
    </row>
    <row r="568" spans="1:17" s="9" customFormat="1" ht="30" x14ac:dyDescent="0.25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421</v>
      </c>
      <c r="G568" s="47" t="s">
        <v>558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422</v>
      </c>
    </row>
    <row r="569" spans="1:17" s="9" customFormat="1" ht="30" x14ac:dyDescent="0.25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501</v>
      </c>
      <c r="G569" s="47" t="s">
        <v>558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423</v>
      </c>
    </row>
    <row r="570" spans="1:17" s="9" customFormat="1" ht="30" x14ac:dyDescent="0.25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558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276</v>
      </c>
    </row>
    <row r="571" spans="1:17" s="9" customFormat="1" ht="45" x14ac:dyDescent="0.25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270</v>
      </c>
      <c r="G571" s="47" t="s">
        <v>558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277</v>
      </c>
    </row>
    <row r="572" spans="1:17" s="9" customFormat="1" ht="30" x14ac:dyDescent="0.25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558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269</v>
      </c>
    </row>
    <row r="573" spans="1:17" s="9" customFormat="1" ht="30" x14ac:dyDescent="0.25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558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287</v>
      </c>
    </row>
    <row r="574" spans="1:17" s="9" customFormat="1" ht="30" x14ac:dyDescent="0.25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558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0</v>
      </c>
      <c r="P574" s="137">
        <f t="shared" si="36"/>
        <v>0</v>
      </c>
      <c r="Q574" s="13" t="s">
        <v>273</v>
      </c>
    </row>
    <row r="575" spans="1:17" s="9" customFormat="1" ht="30" x14ac:dyDescent="0.25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558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0" x14ac:dyDescent="0.25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558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269</v>
      </c>
    </row>
    <row r="577" spans="1:17" s="9" customFormat="1" ht="30" x14ac:dyDescent="0.25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558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280</v>
      </c>
    </row>
    <row r="578" spans="1:17" s="9" customFormat="1" ht="30" x14ac:dyDescent="0.25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558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271</v>
      </c>
    </row>
    <row r="579" spans="1:17" s="9" customFormat="1" ht="30" x14ac:dyDescent="0.25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394</v>
      </c>
      <c r="G579" s="47" t="s">
        <v>558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282</v>
      </c>
    </row>
    <row r="580" spans="1:17" s="9" customFormat="1" ht="30" x14ac:dyDescent="0.25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395</v>
      </c>
      <c r="G580" s="47" t="s">
        <v>558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281</v>
      </c>
    </row>
    <row r="581" spans="1:17" s="9" customFormat="1" ht="30" x14ac:dyDescent="0.25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396</v>
      </c>
      <c r="G581" s="47" t="s">
        <v>558</v>
      </c>
      <c r="H581" s="5"/>
      <c r="I581" s="5"/>
      <c r="J581" s="5"/>
      <c r="K581" s="5"/>
      <c r="L581" s="5"/>
      <c r="M581" s="5"/>
      <c r="N581" s="20">
        <f>'INFORMACION BASE'!$E$25+3</f>
        <v>6</v>
      </c>
      <c r="O581" s="24">
        <f t="shared" si="37"/>
        <v>6</v>
      </c>
      <c r="P581" s="137">
        <f t="shared" si="36"/>
        <v>6</v>
      </c>
      <c r="Q581" s="13" t="s">
        <v>283</v>
      </c>
    </row>
    <row r="582" spans="1:17" s="9" customFormat="1" ht="30" x14ac:dyDescent="0.25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397</v>
      </c>
      <c r="G582" s="47" t="s">
        <v>558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284</v>
      </c>
    </row>
    <row r="583" spans="1:17" s="9" customFormat="1" ht="30" x14ac:dyDescent="0.25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558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285</v>
      </c>
    </row>
    <row r="584" spans="1:17" s="9" customFormat="1" ht="30" x14ac:dyDescent="0.25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558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286</v>
      </c>
    </row>
    <row r="585" spans="1:17" s="9" customFormat="1" ht="30" x14ac:dyDescent="0.25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558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267</v>
      </c>
    </row>
    <row r="586" spans="1:17" s="9" customFormat="1" ht="30" x14ac:dyDescent="0.25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558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288</v>
      </c>
    </row>
    <row r="587" spans="1:17" s="9" customFormat="1" ht="30" x14ac:dyDescent="0.25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455</v>
      </c>
      <c r="G587" s="47" t="s">
        <v>558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289</v>
      </c>
    </row>
    <row r="588" spans="1:17" s="9" customFormat="1" ht="30" x14ac:dyDescent="0.25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558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290</v>
      </c>
    </row>
    <row r="589" spans="1:17" s="9" customFormat="1" ht="30" x14ac:dyDescent="0.25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398</v>
      </c>
      <c r="G589" s="47" t="s">
        <v>558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291</v>
      </c>
    </row>
    <row r="590" spans="1:17" s="9" customFormat="1" ht="30" x14ac:dyDescent="0.25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399</v>
      </c>
      <c r="G590" s="47" t="s">
        <v>558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267</v>
      </c>
    </row>
    <row r="591" spans="1:17" s="9" customFormat="1" ht="30" x14ac:dyDescent="0.25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558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292</v>
      </c>
    </row>
    <row r="592" spans="1:17" s="9" customFormat="1" ht="30" x14ac:dyDescent="0.25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400</v>
      </c>
      <c r="G592" s="47" t="s">
        <v>558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293</v>
      </c>
    </row>
    <row r="593" spans="1:17" s="9" customFormat="1" ht="30" x14ac:dyDescent="0.25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401</v>
      </c>
      <c r="G593" s="47" t="s">
        <v>558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256</v>
      </c>
    </row>
    <row r="594" spans="1:17" s="9" customFormat="1" ht="30" x14ac:dyDescent="0.25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402</v>
      </c>
      <c r="G594" s="47" t="s">
        <v>558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256</v>
      </c>
    </row>
    <row r="595" spans="1:17" s="9" customFormat="1" ht="30" x14ac:dyDescent="0.25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403</v>
      </c>
      <c r="G595" s="47" t="s">
        <v>558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256</v>
      </c>
    </row>
    <row r="596" spans="1:17" s="9" customFormat="1" ht="30" x14ac:dyDescent="0.25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404</v>
      </c>
      <c r="G596" s="47" t="s">
        <v>558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294</v>
      </c>
    </row>
    <row r="597" spans="1:17" s="9" customFormat="1" ht="30" x14ac:dyDescent="0.25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405</v>
      </c>
      <c r="G597" s="47" t="s">
        <v>558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298</v>
      </c>
    </row>
    <row r="598" spans="1:17" s="9" customFormat="1" ht="30" x14ac:dyDescent="0.25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456</v>
      </c>
      <c r="G598" s="47" t="s">
        <v>558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294</v>
      </c>
    </row>
    <row r="599" spans="1:17" s="9" customFormat="1" ht="30" x14ac:dyDescent="0.25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534</v>
      </c>
      <c r="G599" s="47" t="s">
        <v>558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290</v>
      </c>
    </row>
    <row r="600" spans="1:17" s="9" customFormat="1" ht="30" x14ac:dyDescent="0.25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406</v>
      </c>
      <c r="G600" s="47" t="s">
        <v>558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299</v>
      </c>
    </row>
    <row r="601" spans="1:17" s="9" customFormat="1" ht="30" x14ac:dyDescent="0.25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279</v>
      </c>
      <c r="G601" s="47" t="s">
        <v>558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300</v>
      </c>
    </row>
    <row r="602" spans="1:17" s="9" customFormat="1" ht="30" x14ac:dyDescent="0.25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457</v>
      </c>
      <c r="G602" s="47" t="s">
        <v>558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300</v>
      </c>
    </row>
    <row r="603" spans="1:17" s="9" customFormat="1" ht="30" x14ac:dyDescent="0.25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558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301</v>
      </c>
    </row>
    <row r="604" spans="1:17" s="9" customFormat="1" ht="30" x14ac:dyDescent="0.25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407</v>
      </c>
      <c r="G604" s="47" t="s">
        <v>558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303</v>
      </c>
    </row>
    <row r="605" spans="1:17" s="9" customFormat="1" ht="30" x14ac:dyDescent="0.25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408</v>
      </c>
      <c r="G605" s="47" t="s">
        <v>558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256</v>
      </c>
    </row>
    <row r="606" spans="1:17" s="9" customFormat="1" ht="30" x14ac:dyDescent="0.25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306</v>
      </c>
      <c r="G606" s="47" t="s">
        <v>558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304</v>
      </c>
    </row>
    <row r="607" spans="1:17" s="9" customFormat="1" ht="30" x14ac:dyDescent="0.25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307</v>
      </c>
      <c r="G607" s="47" t="s">
        <v>558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305</v>
      </c>
    </row>
    <row r="608" spans="1:17" s="9" customFormat="1" ht="30" x14ac:dyDescent="0.25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536</v>
      </c>
      <c r="G608" s="47" t="s">
        <v>558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256</v>
      </c>
    </row>
    <row r="609" spans="1:17" s="9" customFormat="1" ht="30" x14ac:dyDescent="0.25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558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308</v>
      </c>
    </row>
    <row r="610" spans="1:17" s="9" customFormat="1" ht="30" x14ac:dyDescent="0.25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558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309</v>
      </c>
    </row>
    <row r="611" spans="1:17" s="9" customFormat="1" ht="30" x14ac:dyDescent="0.25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558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309</v>
      </c>
    </row>
    <row r="612" spans="1:17" s="9" customFormat="1" ht="30" x14ac:dyDescent="0.25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558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310</v>
      </c>
    </row>
    <row r="613" spans="1:17" s="9" customFormat="1" ht="30" x14ac:dyDescent="0.25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558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256</v>
      </c>
    </row>
    <row r="614" spans="1:17" s="9" customFormat="1" ht="30" x14ac:dyDescent="0.25">
      <c r="A614" s="5">
        <v>132</v>
      </c>
      <c r="B614" s="6">
        <v>654321</v>
      </c>
      <c r="C614" s="30" t="s">
        <v>106</v>
      </c>
      <c r="D614" s="11" t="s">
        <v>511</v>
      </c>
      <c r="E614" s="7" t="s">
        <v>107</v>
      </c>
      <c r="F614" s="8" t="s">
        <v>467</v>
      </c>
      <c r="G614" s="47" t="s">
        <v>558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0" x14ac:dyDescent="0.25">
      <c r="A615" s="5">
        <v>133</v>
      </c>
      <c r="B615" s="6">
        <v>654321</v>
      </c>
      <c r="C615" s="30" t="s">
        <v>106</v>
      </c>
      <c r="D615" s="11" t="s">
        <v>506</v>
      </c>
      <c r="E615" s="7" t="s">
        <v>107</v>
      </c>
      <c r="F615" s="8" t="s">
        <v>505</v>
      </c>
      <c r="G615" s="47" t="s">
        <v>558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0" x14ac:dyDescent="0.25">
      <c r="A616" s="5">
        <v>134</v>
      </c>
      <c r="B616" s="6">
        <v>654321</v>
      </c>
      <c r="C616" s="30" t="s">
        <v>106</v>
      </c>
      <c r="D616" s="11" t="s">
        <v>511</v>
      </c>
      <c r="E616" s="7" t="s">
        <v>107</v>
      </c>
      <c r="F616" s="8" t="s">
        <v>110</v>
      </c>
      <c r="G616" s="47" t="s">
        <v>558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0" x14ac:dyDescent="0.25">
      <c r="A617" s="5">
        <v>135</v>
      </c>
      <c r="B617" s="6">
        <v>654321</v>
      </c>
      <c r="C617" s="30" t="s">
        <v>106</v>
      </c>
      <c r="D617" s="11" t="s">
        <v>511</v>
      </c>
      <c r="E617" s="7" t="s">
        <v>107</v>
      </c>
      <c r="F617" s="8" t="s">
        <v>111</v>
      </c>
      <c r="G617" s="47" t="s">
        <v>558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0" x14ac:dyDescent="0.25">
      <c r="A618" s="5">
        <v>136</v>
      </c>
      <c r="B618" s="6">
        <v>654321</v>
      </c>
      <c r="C618" s="30" t="s">
        <v>106</v>
      </c>
      <c r="D618" s="11" t="s">
        <v>511</v>
      </c>
      <c r="E618" s="7" t="s">
        <v>107</v>
      </c>
      <c r="F618" s="8" t="s">
        <v>543</v>
      </c>
      <c r="G618" s="47" t="s">
        <v>558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0" x14ac:dyDescent="0.25">
      <c r="A619" s="5">
        <v>137</v>
      </c>
      <c r="B619" s="6">
        <v>654321</v>
      </c>
      <c r="C619" s="30" t="s">
        <v>106</v>
      </c>
      <c r="D619" s="11" t="s">
        <v>511</v>
      </c>
      <c r="E619" s="7" t="s">
        <v>107</v>
      </c>
      <c r="F619" s="8" t="s">
        <v>544</v>
      </c>
      <c r="G619" s="47" t="s">
        <v>558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0" x14ac:dyDescent="0.25">
      <c r="A620" s="5">
        <v>138</v>
      </c>
      <c r="B620" s="6">
        <v>654321</v>
      </c>
      <c r="C620" s="30" t="s">
        <v>106</v>
      </c>
      <c r="D620" s="11" t="s">
        <v>511</v>
      </c>
      <c r="E620" s="7" t="s">
        <v>107</v>
      </c>
      <c r="F620" s="8" t="s">
        <v>114</v>
      </c>
      <c r="G620" s="47" t="s">
        <v>558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0" x14ac:dyDescent="0.25">
      <c r="A621" s="5">
        <v>139</v>
      </c>
      <c r="B621" s="6">
        <v>654321</v>
      </c>
      <c r="C621" s="30" t="s">
        <v>106</v>
      </c>
      <c r="D621" s="11" t="s">
        <v>511</v>
      </c>
      <c r="E621" s="7" t="s">
        <v>107</v>
      </c>
      <c r="F621" s="8" t="s">
        <v>116</v>
      </c>
      <c r="G621" s="47" t="s">
        <v>558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311</v>
      </c>
    </row>
    <row r="622" spans="1:17" s="9" customFormat="1" ht="30" x14ac:dyDescent="0.25">
      <c r="A622" s="5">
        <v>140</v>
      </c>
      <c r="B622" s="6">
        <v>654321</v>
      </c>
      <c r="C622" s="30" t="s">
        <v>106</v>
      </c>
      <c r="D622" s="11" t="s">
        <v>511</v>
      </c>
      <c r="E622" s="7" t="s">
        <v>107</v>
      </c>
      <c r="F622" s="8" t="s">
        <v>117</v>
      </c>
      <c r="G622" s="47" t="s">
        <v>558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0" x14ac:dyDescent="0.25">
      <c r="A623" s="5">
        <v>141</v>
      </c>
      <c r="B623" s="6">
        <v>654321</v>
      </c>
      <c r="C623" s="30" t="s">
        <v>106</v>
      </c>
      <c r="D623" s="11" t="s">
        <v>511</v>
      </c>
      <c r="E623" s="7" t="s">
        <v>107</v>
      </c>
      <c r="F623" s="8" t="s">
        <v>119</v>
      </c>
      <c r="G623" s="47" t="s">
        <v>558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0" x14ac:dyDescent="0.25">
      <c r="A624" s="5">
        <v>142</v>
      </c>
      <c r="B624" s="6">
        <v>654321</v>
      </c>
      <c r="C624" s="30" t="s">
        <v>106</v>
      </c>
      <c r="D624" s="11" t="s">
        <v>507</v>
      </c>
      <c r="E624" s="7" t="s">
        <v>107</v>
      </c>
      <c r="F624" s="8" t="s">
        <v>120</v>
      </c>
      <c r="G624" s="47" t="s">
        <v>558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0" x14ac:dyDescent="0.25">
      <c r="A625" s="5">
        <v>143</v>
      </c>
      <c r="B625" s="6">
        <v>654321</v>
      </c>
      <c r="C625" s="30" t="s">
        <v>106</v>
      </c>
      <c r="D625" s="11" t="s">
        <v>504</v>
      </c>
      <c r="E625" s="7" t="s">
        <v>121</v>
      </c>
      <c r="F625" s="8" t="s">
        <v>122</v>
      </c>
      <c r="G625" s="47" t="s">
        <v>558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0" x14ac:dyDescent="0.25">
      <c r="A626" s="5">
        <v>144</v>
      </c>
      <c r="B626" s="6">
        <v>654321</v>
      </c>
      <c r="C626" s="30" t="s">
        <v>106</v>
      </c>
      <c r="D626" s="11" t="s">
        <v>511</v>
      </c>
      <c r="E626" s="7" t="s">
        <v>121</v>
      </c>
      <c r="F626" s="8" t="s">
        <v>124</v>
      </c>
      <c r="G626" s="47" t="s">
        <v>558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0" x14ac:dyDescent="0.25">
      <c r="A627" s="5">
        <v>145</v>
      </c>
      <c r="B627" s="6">
        <v>654321</v>
      </c>
      <c r="C627" s="30" t="s">
        <v>106</v>
      </c>
      <c r="D627" s="11" t="s">
        <v>504</v>
      </c>
      <c r="E627" s="7" t="s">
        <v>126</v>
      </c>
      <c r="F627" s="8" t="s">
        <v>127</v>
      </c>
      <c r="G627" s="47" t="s">
        <v>558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0" x14ac:dyDescent="0.25">
      <c r="A628" s="5">
        <v>146</v>
      </c>
      <c r="B628" s="6">
        <v>654321</v>
      </c>
      <c r="C628" s="30" t="s">
        <v>106</v>
      </c>
      <c r="D628" s="11" t="s">
        <v>504</v>
      </c>
      <c r="E628" s="7" t="s">
        <v>126</v>
      </c>
      <c r="F628" s="8" t="s">
        <v>129</v>
      </c>
      <c r="G628" s="47" t="s">
        <v>558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0" x14ac:dyDescent="0.25">
      <c r="A629" s="5">
        <v>147</v>
      </c>
      <c r="B629" s="6">
        <v>654321</v>
      </c>
      <c r="C629" s="30" t="s">
        <v>106</v>
      </c>
      <c r="D629" s="11" t="s">
        <v>511</v>
      </c>
      <c r="E629" s="7" t="s">
        <v>126</v>
      </c>
      <c r="F629" s="8" t="s">
        <v>131</v>
      </c>
      <c r="G629" s="47" t="s">
        <v>558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0" x14ac:dyDescent="0.25">
      <c r="A630" s="5">
        <v>148</v>
      </c>
      <c r="B630" s="6">
        <v>654321</v>
      </c>
      <c r="C630" s="30" t="s">
        <v>106</v>
      </c>
      <c r="D630" s="11" t="s">
        <v>504</v>
      </c>
      <c r="E630" s="7" t="s">
        <v>126</v>
      </c>
      <c r="F630" s="8" t="s">
        <v>132</v>
      </c>
      <c r="G630" s="47" t="s">
        <v>558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0" x14ac:dyDescent="0.25">
      <c r="A631" s="5">
        <v>149</v>
      </c>
      <c r="B631" s="6">
        <v>654321</v>
      </c>
      <c r="C631" s="30" t="s">
        <v>106</v>
      </c>
      <c r="D631" s="11" t="s">
        <v>504</v>
      </c>
      <c r="E631" s="7" t="s">
        <v>126</v>
      </c>
      <c r="F631" s="8" t="s">
        <v>133</v>
      </c>
      <c r="G631" s="47" t="s">
        <v>558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0" x14ac:dyDescent="0.25">
      <c r="A632" s="5">
        <v>150</v>
      </c>
      <c r="B632" s="6">
        <v>654321</v>
      </c>
      <c r="C632" s="30" t="s">
        <v>106</v>
      </c>
      <c r="D632" s="11" t="s">
        <v>511</v>
      </c>
      <c r="E632" s="7" t="s">
        <v>126</v>
      </c>
      <c r="F632" s="8" t="s">
        <v>134</v>
      </c>
      <c r="G632" s="47" t="s">
        <v>558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0" x14ac:dyDescent="0.25">
      <c r="A633" s="5">
        <v>151</v>
      </c>
      <c r="B633" s="6">
        <v>654321</v>
      </c>
      <c r="C633" s="30" t="s">
        <v>106</v>
      </c>
      <c r="D633" s="11" t="s">
        <v>511</v>
      </c>
      <c r="E633" s="7" t="s">
        <v>135</v>
      </c>
      <c r="F633" s="8" t="s">
        <v>530</v>
      </c>
      <c r="G633" s="47" t="s">
        <v>558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0" x14ac:dyDescent="0.25">
      <c r="A634" s="5">
        <v>152</v>
      </c>
      <c r="B634" s="6">
        <v>654321</v>
      </c>
      <c r="C634" s="30" t="s">
        <v>106</v>
      </c>
      <c r="D634" s="11" t="s">
        <v>511</v>
      </c>
      <c r="E634" s="7" t="s">
        <v>135</v>
      </c>
      <c r="F634" s="8" t="s">
        <v>531</v>
      </c>
      <c r="G634" s="47" t="s">
        <v>558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0" x14ac:dyDescent="0.25">
      <c r="A635" s="5">
        <v>154</v>
      </c>
      <c r="B635" s="6">
        <v>654321</v>
      </c>
      <c r="C635" s="30" t="s">
        <v>106</v>
      </c>
      <c r="D635" s="11" t="s">
        <v>510</v>
      </c>
      <c r="E635" s="7" t="s">
        <v>107</v>
      </c>
      <c r="F635" s="8" t="s">
        <v>503</v>
      </c>
      <c r="G635" s="47" t="s">
        <v>558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312</v>
      </c>
    </row>
    <row r="636" spans="1:17" s="9" customFormat="1" ht="30" x14ac:dyDescent="0.25">
      <c r="A636" s="5">
        <v>155</v>
      </c>
      <c r="B636" s="6">
        <v>654321</v>
      </c>
      <c r="C636" s="30" t="s">
        <v>106</v>
      </c>
      <c r="D636" s="11" t="s">
        <v>506</v>
      </c>
      <c r="E636" s="7" t="s">
        <v>107</v>
      </c>
      <c r="F636" s="8" t="s">
        <v>411</v>
      </c>
      <c r="G636" s="47" t="s">
        <v>558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282</v>
      </c>
    </row>
    <row r="637" spans="1:17" s="9" customFormat="1" ht="30" x14ac:dyDescent="0.25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558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315</v>
      </c>
    </row>
    <row r="638" spans="1:17" s="9" customFormat="1" ht="30" x14ac:dyDescent="0.25">
      <c r="A638" s="5">
        <v>157</v>
      </c>
      <c r="B638" s="6">
        <v>654321</v>
      </c>
      <c r="C638" s="30" t="s">
        <v>106</v>
      </c>
      <c r="D638" s="11" t="s">
        <v>509</v>
      </c>
      <c r="E638" s="7" t="s">
        <v>107</v>
      </c>
      <c r="F638" s="8" t="s">
        <v>508</v>
      </c>
      <c r="G638" s="47" t="s">
        <v>558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313</v>
      </c>
    </row>
    <row r="639" spans="1:17" s="9" customFormat="1" ht="30" x14ac:dyDescent="0.25">
      <c r="A639" s="5">
        <v>158</v>
      </c>
      <c r="B639" s="6">
        <v>654321</v>
      </c>
      <c r="C639" s="30" t="s">
        <v>106</v>
      </c>
      <c r="D639" s="11" t="s">
        <v>510</v>
      </c>
      <c r="E639" s="7" t="s">
        <v>107</v>
      </c>
      <c r="F639" s="8" t="s">
        <v>140</v>
      </c>
      <c r="G639" s="47" t="s">
        <v>558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314</v>
      </c>
    </row>
    <row r="640" spans="1:17" s="9" customFormat="1" ht="30" x14ac:dyDescent="0.25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558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316</v>
      </c>
    </row>
    <row r="641" spans="1:17" s="9" customFormat="1" ht="30" x14ac:dyDescent="0.25">
      <c r="A641" s="5">
        <v>160</v>
      </c>
      <c r="B641" s="6">
        <v>654321</v>
      </c>
      <c r="C641" s="30" t="s">
        <v>106</v>
      </c>
      <c r="D641" s="11" t="s">
        <v>509</v>
      </c>
      <c r="E641" s="7" t="s">
        <v>107</v>
      </c>
      <c r="F641" s="8" t="s">
        <v>139</v>
      </c>
      <c r="G641" s="47" t="s">
        <v>558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321</v>
      </c>
    </row>
    <row r="642" spans="1:17" s="9" customFormat="1" ht="30" x14ac:dyDescent="0.25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558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317</v>
      </c>
    </row>
    <row r="643" spans="1:17" s="9" customFormat="1" ht="30" x14ac:dyDescent="0.25">
      <c r="A643" s="5">
        <v>162</v>
      </c>
      <c r="B643" s="6">
        <v>654321</v>
      </c>
      <c r="C643" s="30" t="s">
        <v>106</v>
      </c>
      <c r="D643" s="11" t="s">
        <v>510</v>
      </c>
      <c r="E643" s="7" t="s">
        <v>107</v>
      </c>
      <c r="F643" s="8" t="s">
        <v>468</v>
      </c>
      <c r="G643" s="47" t="s">
        <v>558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318</v>
      </c>
    </row>
    <row r="644" spans="1:17" s="9" customFormat="1" ht="30" x14ac:dyDescent="0.25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409</v>
      </c>
      <c r="G644" s="47" t="s">
        <v>558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320</v>
      </c>
    </row>
    <row r="645" spans="1:17" s="9" customFormat="1" ht="30" x14ac:dyDescent="0.25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410</v>
      </c>
      <c r="G645" s="47" t="s">
        <v>558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320</v>
      </c>
    </row>
    <row r="646" spans="1:17" s="9" customFormat="1" ht="30" x14ac:dyDescent="0.25">
      <c r="A646" s="5">
        <v>165</v>
      </c>
      <c r="B646" s="6">
        <v>654321</v>
      </c>
      <c r="C646" s="30" t="s">
        <v>106</v>
      </c>
      <c r="D646" s="11" t="s">
        <v>510</v>
      </c>
      <c r="E646" s="7" t="s">
        <v>107</v>
      </c>
      <c r="F646" s="8" t="s">
        <v>141</v>
      </c>
      <c r="G646" s="47" t="s">
        <v>558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314</v>
      </c>
    </row>
    <row r="647" spans="1:17" s="9" customFormat="1" ht="30" x14ac:dyDescent="0.25">
      <c r="A647" s="5">
        <v>166</v>
      </c>
      <c r="B647" s="6">
        <v>654321</v>
      </c>
      <c r="C647" s="30" t="s">
        <v>106</v>
      </c>
      <c r="D647" s="11" t="s">
        <v>515</v>
      </c>
      <c r="E647" s="7" t="s">
        <v>121</v>
      </c>
      <c r="F647" s="8" t="s">
        <v>470</v>
      </c>
      <c r="G647" s="47" t="s">
        <v>558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331</v>
      </c>
    </row>
    <row r="648" spans="1:17" s="9" customFormat="1" ht="30" x14ac:dyDescent="0.25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558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331</v>
      </c>
    </row>
    <row r="649" spans="1:17" s="9" customFormat="1" ht="30" x14ac:dyDescent="0.25">
      <c r="A649" s="5">
        <v>168</v>
      </c>
      <c r="B649" s="6">
        <v>654321</v>
      </c>
      <c r="C649" s="30" t="s">
        <v>106</v>
      </c>
      <c r="D649" s="11" t="s">
        <v>519</v>
      </c>
      <c r="E649" s="7" t="s">
        <v>121</v>
      </c>
      <c r="F649" s="8" t="s">
        <v>145</v>
      </c>
      <c r="G649" s="47" t="s">
        <v>558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331</v>
      </c>
    </row>
    <row r="650" spans="1:17" s="9" customFormat="1" ht="30" x14ac:dyDescent="0.25">
      <c r="A650" s="5">
        <v>169</v>
      </c>
      <c r="B650" s="6">
        <v>654321</v>
      </c>
      <c r="C650" s="30" t="s">
        <v>106</v>
      </c>
      <c r="D650" s="11" t="s">
        <v>520</v>
      </c>
      <c r="E650" s="7" t="s">
        <v>121</v>
      </c>
      <c r="F650" s="8" t="s">
        <v>148</v>
      </c>
      <c r="G650" s="47" t="s">
        <v>558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332</v>
      </c>
    </row>
    <row r="651" spans="1:17" s="9" customFormat="1" ht="30" x14ac:dyDescent="0.25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473</v>
      </c>
      <c r="G651" s="47" t="s">
        <v>558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331</v>
      </c>
    </row>
    <row r="652" spans="1:17" s="9" customFormat="1" ht="30" x14ac:dyDescent="0.25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558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331</v>
      </c>
    </row>
    <row r="653" spans="1:17" s="9" customFormat="1" ht="30" x14ac:dyDescent="0.25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558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331</v>
      </c>
    </row>
    <row r="654" spans="1:17" s="9" customFormat="1" ht="30" x14ac:dyDescent="0.25">
      <c r="A654" s="5">
        <v>173</v>
      </c>
      <c r="B654" s="6">
        <v>654321</v>
      </c>
      <c r="C654" s="30" t="s">
        <v>106</v>
      </c>
      <c r="D654" s="11" t="s">
        <v>519</v>
      </c>
      <c r="E654" s="7" t="s">
        <v>126</v>
      </c>
      <c r="F654" s="8" t="s">
        <v>149</v>
      </c>
      <c r="G654" s="47" t="s">
        <v>558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339</v>
      </c>
    </row>
    <row r="655" spans="1:17" s="9" customFormat="1" ht="30" x14ac:dyDescent="0.25">
      <c r="A655" s="5">
        <v>174</v>
      </c>
      <c r="B655" s="6">
        <v>654321</v>
      </c>
      <c r="C655" s="30" t="s">
        <v>106</v>
      </c>
      <c r="D655" s="11" t="s">
        <v>509</v>
      </c>
      <c r="E655" s="7" t="s">
        <v>126</v>
      </c>
      <c r="F655" s="8" t="s">
        <v>150</v>
      </c>
      <c r="G655" s="47" t="s">
        <v>558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339</v>
      </c>
    </row>
    <row r="656" spans="1:17" s="9" customFormat="1" ht="30" x14ac:dyDescent="0.25">
      <c r="A656" s="5">
        <v>175</v>
      </c>
      <c r="B656" s="6">
        <v>654321</v>
      </c>
      <c r="C656" s="30" t="s">
        <v>106</v>
      </c>
      <c r="D656" s="11" t="s">
        <v>512</v>
      </c>
      <c r="E656" s="7" t="s">
        <v>107</v>
      </c>
      <c r="F656" s="8" t="s">
        <v>152</v>
      </c>
      <c r="G656" s="47" t="s">
        <v>558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322</v>
      </c>
    </row>
    <row r="657" spans="1:17" s="9" customFormat="1" ht="30" x14ac:dyDescent="0.25">
      <c r="A657" s="5">
        <v>176</v>
      </c>
      <c r="B657" s="6">
        <v>654321</v>
      </c>
      <c r="C657" s="30" t="s">
        <v>106</v>
      </c>
      <c r="D657" s="11" t="s">
        <v>513</v>
      </c>
      <c r="E657" s="7" t="s">
        <v>107</v>
      </c>
      <c r="F657" s="8" t="s">
        <v>153</v>
      </c>
      <c r="G657" s="47" t="s">
        <v>558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322</v>
      </c>
    </row>
    <row r="658" spans="1:17" s="9" customFormat="1" ht="30" x14ac:dyDescent="0.25">
      <c r="A658" s="5">
        <v>177</v>
      </c>
      <c r="B658" s="6">
        <v>654321</v>
      </c>
      <c r="C658" s="30" t="s">
        <v>106</v>
      </c>
      <c r="D658" s="11" t="s">
        <v>512</v>
      </c>
      <c r="E658" s="7" t="s">
        <v>107</v>
      </c>
      <c r="F658" s="8" t="s">
        <v>151</v>
      </c>
      <c r="G658" s="47" t="s">
        <v>558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324</v>
      </c>
    </row>
    <row r="659" spans="1:17" s="9" customFormat="1" ht="30" x14ac:dyDescent="0.25">
      <c r="A659" s="5">
        <v>178</v>
      </c>
      <c r="B659" s="6">
        <v>654321</v>
      </c>
      <c r="C659" s="30" t="s">
        <v>106</v>
      </c>
      <c r="D659" s="11" t="s">
        <v>512</v>
      </c>
      <c r="E659" s="7" t="s">
        <v>121</v>
      </c>
      <c r="F659" s="8" t="s">
        <v>143</v>
      </c>
      <c r="G659" s="47" t="s">
        <v>558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333</v>
      </c>
    </row>
    <row r="660" spans="1:17" s="9" customFormat="1" ht="30" x14ac:dyDescent="0.25">
      <c r="A660" s="5">
        <v>179</v>
      </c>
      <c r="B660" s="6">
        <v>654321</v>
      </c>
      <c r="C660" s="30" t="s">
        <v>106</v>
      </c>
      <c r="D660" s="11" t="s">
        <v>512</v>
      </c>
      <c r="E660" s="7" t="s">
        <v>121</v>
      </c>
      <c r="F660" s="8" t="s">
        <v>154</v>
      </c>
      <c r="G660" s="47" t="s">
        <v>558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334</v>
      </c>
    </row>
    <row r="661" spans="1:17" s="9" customFormat="1" ht="30" x14ac:dyDescent="0.25">
      <c r="A661" s="5">
        <v>180</v>
      </c>
      <c r="B661" s="6">
        <v>654321</v>
      </c>
      <c r="C661" s="30" t="s">
        <v>106</v>
      </c>
      <c r="D661" s="11" t="s">
        <v>504</v>
      </c>
      <c r="E661" s="7" t="s">
        <v>155</v>
      </c>
      <c r="F661" s="8" t="s">
        <v>524</v>
      </c>
      <c r="G661" s="47" t="s">
        <v>558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348</v>
      </c>
    </row>
    <row r="662" spans="1:17" s="9" customFormat="1" ht="30" x14ac:dyDescent="0.25">
      <c r="A662" s="5">
        <v>181</v>
      </c>
      <c r="B662" s="6">
        <v>654321</v>
      </c>
      <c r="C662" s="30" t="s">
        <v>106</v>
      </c>
      <c r="D662" s="11" t="s">
        <v>525</v>
      </c>
      <c r="E662" s="7" t="s">
        <v>155</v>
      </c>
      <c r="F662" s="8" t="s">
        <v>156</v>
      </c>
      <c r="G662" s="47" t="s">
        <v>558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349</v>
      </c>
    </row>
    <row r="663" spans="1:17" s="9" customFormat="1" ht="30" x14ac:dyDescent="0.25">
      <c r="A663" s="5">
        <v>182</v>
      </c>
      <c r="B663" s="6">
        <v>654321</v>
      </c>
      <c r="C663" s="30" t="s">
        <v>106</v>
      </c>
      <c r="D663" s="11" t="s">
        <v>525</v>
      </c>
      <c r="E663" s="7" t="s">
        <v>155</v>
      </c>
      <c r="F663" s="8" t="s">
        <v>412</v>
      </c>
      <c r="G663" s="47" t="s">
        <v>558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347</v>
      </c>
    </row>
    <row r="664" spans="1:17" s="9" customFormat="1" ht="30" x14ac:dyDescent="0.25">
      <c r="A664" s="5">
        <v>183</v>
      </c>
      <c r="B664" s="6">
        <v>654321</v>
      </c>
      <c r="C664" s="30" t="s">
        <v>106</v>
      </c>
      <c r="D664" s="11" t="s">
        <v>504</v>
      </c>
      <c r="E664" s="7" t="s">
        <v>107</v>
      </c>
      <c r="F664" s="8" t="s">
        <v>502</v>
      </c>
      <c r="G664" s="47" t="s">
        <v>558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325</v>
      </c>
    </row>
    <row r="665" spans="1:17" s="9" customFormat="1" ht="30" x14ac:dyDescent="0.25">
      <c r="A665" s="5">
        <v>184</v>
      </c>
      <c r="B665" s="6">
        <v>654321</v>
      </c>
      <c r="C665" s="30" t="s">
        <v>106</v>
      </c>
      <c r="D665" s="11" t="s">
        <v>504</v>
      </c>
      <c r="E665" s="7" t="s">
        <v>107</v>
      </c>
      <c r="F665" s="35" t="s">
        <v>460</v>
      </c>
      <c r="G665" s="47" t="s">
        <v>558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323</v>
      </c>
    </row>
    <row r="666" spans="1:17" s="9" customFormat="1" ht="30" x14ac:dyDescent="0.25">
      <c r="A666" s="5">
        <v>185</v>
      </c>
      <c r="B666" s="6">
        <v>654321</v>
      </c>
      <c r="C666" s="30" t="s">
        <v>106</v>
      </c>
      <c r="D666" s="11" t="s">
        <v>504</v>
      </c>
      <c r="E666" s="7" t="s">
        <v>107</v>
      </c>
      <c r="F666" s="8" t="s">
        <v>413</v>
      </c>
      <c r="G666" s="47" t="s">
        <v>558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326</v>
      </c>
    </row>
    <row r="667" spans="1:17" s="9" customFormat="1" ht="30" x14ac:dyDescent="0.25">
      <c r="A667" s="5">
        <v>186</v>
      </c>
      <c r="B667" s="6">
        <v>654321</v>
      </c>
      <c r="C667" s="30" t="s">
        <v>106</v>
      </c>
      <c r="D667" s="11" t="s">
        <v>504</v>
      </c>
      <c r="E667" s="7" t="s">
        <v>107</v>
      </c>
      <c r="F667" s="8" t="s">
        <v>161</v>
      </c>
      <c r="G667" s="47" t="s">
        <v>558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327</v>
      </c>
    </row>
    <row r="668" spans="1:17" s="9" customFormat="1" ht="30" x14ac:dyDescent="0.25">
      <c r="A668" s="5">
        <v>187</v>
      </c>
      <c r="B668" s="6">
        <v>654321</v>
      </c>
      <c r="C668" s="30" t="s">
        <v>106</v>
      </c>
      <c r="D668" s="11" t="s">
        <v>504</v>
      </c>
      <c r="E668" s="7" t="s">
        <v>107</v>
      </c>
      <c r="F668" s="8" t="s">
        <v>160</v>
      </c>
      <c r="G668" s="47" t="s">
        <v>558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327</v>
      </c>
    </row>
    <row r="669" spans="1:17" s="9" customFormat="1" ht="30" x14ac:dyDescent="0.25">
      <c r="A669" s="5">
        <v>188</v>
      </c>
      <c r="B669" s="6">
        <v>654321</v>
      </c>
      <c r="C669" s="30" t="s">
        <v>106</v>
      </c>
      <c r="D669" s="11" t="s">
        <v>504</v>
      </c>
      <c r="E669" s="7" t="s">
        <v>107</v>
      </c>
      <c r="F669" s="8" t="s">
        <v>465</v>
      </c>
      <c r="G669" s="47" t="s">
        <v>558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328</v>
      </c>
    </row>
    <row r="670" spans="1:17" s="9" customFormat="1" ht="30" x14ac:dyDescent="0.25">
      <c r="A670" s="5">
        <v>189</v>
      </c>
      <c r="B670" s="6">
        <v>654321</v>
      </c>
      <c r="C670" s="30" t="s">
        <v>106</v>
      </c>
      <c r="D670" s="11" t="s">
        <v>512</v>
      </c>
      <c r="E670" s="7" t="s">
        <v>107</v>
      </c>
      <c r="F670" s="8" t="s">
        <v>158</v>
      </c>
      <c r="G670" s="47" t="s">
        <v>558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323</v>
      </c>
    </row>
    <row r="671" spans="1:17" s="9" customFormat="1" ht="30" x14ac:dyDescent="0.25">
      <c r="A671" s="5">
        <v>190</v>
      </c>
      <c r="B671" s="6">
        <v>654321</v>
      </c>
      <c r="C671" s="30" t="s">
        <v>106</v>
      </c>
      <c r="D671" s="11" t="s">
        <v>511</v>
      </c>
      <c r="E671" s="7" t="s">
        <v>107</v>
      </c>
      <c r="F671" s="8" t="s">
        <v>466</v>
      </c>
      <c r="G671" s="47" t="s">
        <v>558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319</v>
      </c>
    </row>
    <row r="672" spans="1:17" s="9" customFormat="1" ht="30" x14ac:dyDescent="0.25">
      <c r="A672" s="5">
        <v>191</v>
      </c>
      <c r="B672" s="6">
        <v>654321</v>
      </c>
      <c r="C672" s="30" t="s">
        <v>106</v>
      </c>
      <c r="D672" s="11" t="s">
        <v>511</v>
      </c>
      <c r="E672" s="7" t="s">
        <v>107</v>
      </c>
      <c r="F672" s="8" t="s">
        <v>469</v>
      </c>
      <c r="G672" s="47" t="s">
        <v>558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319</v>
      </c>
    </row>
    <row r="673" spans="1:17" s="9" customFormat="1" ht="30" x14ac:dyDescent="0.25">
      <c r="A673" s="5">
        <v>192</v>
      </c>
      <c r="B673" s="6">
        <v>654321</v>
      </c>
      <c r="C673" s="30" t="s">
        <v>106</v>
      </c>
      <c r="D673" s="11" t="s">
        <v>511</v>
      </c>
      <c r="E673" s="7" t="s">
        <v>107</v>
      </c>
      <c r="F673" s="34" t="s">
        <v>118</v>
      </c>
      <c r="G673" s="47" t="s">
        <v>558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0" x14ac:dyDescent="0.25">
      <c r="A674" s="5">
        <v>193</v>
      </c>
      <c r="B674" s="6">
        <v>654321</v>
      </c>
      <c r="C674" s="30" t="s">
        <v>106</v>
      </c>
      <c r="D674" s="11" t="s">
        <v>504</v>
      </c>
      <c r="E674" s="7" t="s">
        <v>107</v>
      </c>
      <c r="F674" s="8" t="s">
        <v>159</v>
      </c>
      <c r="G674" s="47" t="s">
        <v>558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329</v>
      </c>
    </row>
    <row r="675" spans="1:17" s="9" customFormat="1" ht="30" x14ac:dyDescent="0.25">
      <c r="A675" s="5">
        <v>194</v>
      </c>
      <c r="B675" s="6">
        <v>654321</v>
      </c>
      <c r="C675" s="30" t="s">
        <v>106</v>
      </c>
      <c r="D675" s="11" t="s">
        <v>504</v>
      </c>
      <c r="E675" s="7" t="s">
        <v>121</v>
      </c>
      <c r="F675" s="8" t="s">
        <v>164</v>
      </c>
      <c r="G675" s="47" t="s">
        <v>558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335</v>
      </c>
    </row>
    <row r="676" spans="1:17" s="9" customFormat="1" ht="30" x14ac:dyDescent="0.25">
      <c r="A676" s="5">
        <v>195</v>
      </c>
      <c r="B676" s="6">
        <v>654321</v>
      </c>
      <c r="C676" s="30" t="s">
        <v>106</v>
      </c>
      <c r="D676" s="11" t="s">
        <v>504</v>
      </c>
      <c r="E676" s="7" t="s">
        <v>121</v>
      </c>
      <c r="F676" s="8" t="s">
        <v>165</v>
      </c>
      <c r="G676" s="47" t="s">
        <v>558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335</v>
      </c>
    </row>
    <row r="677" spans="1:17" s="9" customFormat="1" ht="30" x14ac:dyDescent="0.25">
      <c r="A677" s="5">
        <v>196</v>
      </c>
      <c r="B677" s="6">
        <v>654321</v>
      </c>
      <c r="C677" s="30" t="s">
        <v>106</v>
      </c>
      <c r="D677" s="11" t="s">
        <v>504</v>
      </c>
      <c r="E677" s="7" t="s">
        <v>121</v>
      </c>
      <c r="F677" s="8" t="s">
        <v>166</v>
      </c>
      <c r="G677" s="47" t="s">
        <v>558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336</v>
      </c>
    </row>
    <row r="678" spans="1:17" s="9" customFormat="1" ht="30" x14ac:dyDescent="0.25">
      <c r="A678" s="5">
        <v>197</v>
      </c>
      <c r="B678" s="6">
        <v>654321</v>
      </c>
      <c r="C678" s="30" t="s">
        <v>106</v>
      </c>
      <c r="D678" s="11" t="s">
        <v>504</v>
      </c>
      <c r="E678" s="7" t="s">
        <v>121</v>
      </c>
      <c r="F678" s="8" t="s">
        <v>167</v>
      </c>
      <c r="G678" s="47" t="s">
        <v>558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335</v>
      </c>
    </row>
    <row r="679" spans="1:17" s="9" customFormat="1" ht="30" x14ac:dyDescent="0.25">
      <c r="A679" s="5">
        <v>198</v>
      </c>
      <c r="B679" s="6">
        <v>654321</v>
      </c>
      <c r="C679" s="30" t="s">
        <v>106</v>
      </c>
      <c r="D679" s="11" t="s">
        <v>512</v>
      </c>
      <c r="E679" s="7" t="s">
        <v>155</v>
      </c>
      <c r="F679" s="8" t="s">
        <v>168</v>
      </c>
      <c r="G679" s="47" t="s">
        <v>558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351</v>
      </c>
    </row>
    <row r="680" spans="1:17" s="9" customFormat="1" ht="30" x14ac:dyDescent="0.25">
      <c r="A680" s="5">
        <v>199</v>
      </c>
      <c r="B680" s="6">
        <v>654321</v>
      </c>
      <c r="C680" s="30" t="s">
        <v>106</v>
      </c>
      <c r="D680" s="11" t="s">
        <v>512</v>
      </c>
      <c r="E680" s="7" t="s">
        <v>155</v>
      </c>
      <c r="F680" s="8" t="s">
        <v>479</v>
      </c>
      <c r="G680" s="47" t="s">
        <v>558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350</v>
      </c>
    </row>
    <row r="681" spans="1:17" s="9" customFormat="1" ht="30" x14ac:dyDescent="0.25">
      <c r="A681" s="5">
        <v>200</v>
      </c>
      <c r="B681" s="6">
        <v>654321</v>
      </c>
      <c r="C681" s="30" t="s">
        <v>106</v>
      </c>
      <c r="D681" s="11" t="s">
        <v>526</v>
      </c>
      <c r="E681" s="7" t="s">
        <v>155</v>
      </c>
      <c r="F681" s="8" t="s">
        <v>414</v>
      </c>
      <c r="G681" s="47" t="s">
        <v>558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350</v>
      </c>
    </row>
    <row r="682" spans="1:17" s="9" customFormat="1" ht="30" x14ac:dyDescent="0.25">
      <c r="A682" s="5">
        <v>201</v>
      </c>
      <c r="B682" s="6">
        <v>654321</v>
      </c>
      <c r="C682" s="30" t="s">
        <v>106</v>
      </c>
      <c r="D682" s="11" t="s">
        <v>504</v>
      </c>
      <c r="E682" s="7" t="s">
        <v>155</v>
      </c>
      <c r="F682" s="8" t="s">
        <v>162</v>
      </c>
      <c r="G682" s="47" t="s">
        <v>558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351</v>
      </c>
    </row>
    <row r="683" spans="1:17" s="9" customFormat="1" ht="30" x14ac:dyDescent="0.25">
      <c r="A683" s="5">
        <v>202</v>
      </c>
      <c r="B683" s="6">
        <v>654321</v>
      </c>
      <c r="C683" s="30" t="s">
        <v>106</v>
      </c>
      <c r="D683" s="11" t="s">
        <v>504</v>
      </c>
      <c r="E683" s="7" t="s">
        <v>155</v>
      </c>
      <c r="F683" s="8" t="s">
        <v>163</v>
      </c>
      <c r="G683" s="47" t="s">
        <v>558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351</v>
      </c>
    </row>
    <row r="684" spans="1:17" s="9" customFormat="1" ht="30" x14ac:dyDescent="0.25">
      <c r="A684" s="5">
        <v>203</v>
      </c>
      <c r="B684" s="6">
        <v>654321</v>
      </c>
      <c r="C684" s="30" t="s">
        <v>106</v>
      </c>
      <c r="D684" s="11" t="s">
        <v>504</v>
      </c>
      <c r="E684" s="7" t="s">
        <v>126</v>
      </c>
      <c r="F684" s="8" t="s">
        <v>527</v>
      </c>
      <c r="G684" s="47" t="s">
        <v>558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341</v>
      </c>
    </row>
    <row r="685" spans="1:17" s="9" customFormat="1" ht="30" x14ac:dyDescent="0.25">
      <c r="A685" s="5">
        <v>204</v>
      </c>
      <c r="B685" s="6">
        <v>654321</v>
      </c>
      <c r="C685" s="30" t="s">
        <v>106</v>
      </c>
      <c r="D685" s="11" t="s">
        <v>504</v>
      </c>
      <c r="E685" s="7" t="s">
        <v>126</v>
      </c>
      <c r="F685" s="8" t="s">
        <v>173</v>
      </c>
      <c r="G685" s="47" t="s">
        <v>558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342</v>
      </c>
    </row>
    <row r="686" spans="1:17" s="9" customFormat="1" ht="30" x14ac:dyDescent="0.25">
      <c r="A686" s="5">
        <v>205</v>
      </c>
      <c r="B686" s="6">
        <v>654321</v>
      </c>
      <c r="C686" s="30" t="s">
        <v>106</v>
      </c>
      <c r="D686" s="11" t="s">
        <v>516</v>
      </c>
      <c r="E686" s="7" t="s">
        <v>126</v>
      </c>
      <c r="F686" s="8" t="s">
        <v>175</v>
      </c>
      <c r="G686" s="47" t="s">
        <v>558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340</v>
      </c>
    </row>
    <row r="687" spans="1:17" s="9" customFormat="1" ht="30" x14ac:dyDescent="0.25">
      <c r="A687" s="5">
        <v>206</v>
      </c>
      <c r="B687" s="6">
        <v>654321</v>
      </c>
      <c r="C687" s="30" t="s">
        <v>106</v>
      </c>
      <c r="D687" s="11" t="s">
        <v>504</v>
      </c>
      <c r="E687" s="7" t="s">
        <v>126</v>
      </c>
      <c r="F687" s="8" t="s">
        <v>176</v>
      </c>
      <c r="G687" s="47" t="s">
        <v>558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340</v>
      </c>
    </row>
    <row r="688" spans="1:17" s="9" customFormat="1" ht="30" x14ac:dyDescent="0.25">
      <c r="A688" s="5">
        <v>207</v>
      </c>
      <c r="B688" s="6">
        <v>654321</v>
      </c>
      <c r="C688" s="30" t="s">
        <v>106</v>
      </c>
      <c r="D688" s="11" t="s">
        <v>504</v>
      </c>
      <c r="E688" s="7" t="s">
        <v>126</v>
      </c>
      <c r="F688" s="8" t="s">
        <v>529</v>
      </c>
      <c r="G688" s="47" t="s">
        <v>558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341</v>
      </c>
    </row>
    <row r="689" spans="1:17" s="9" customFormat="1" ht="30" x14ac:dyDescent="0.25">
      <c r="A689" s="5">
        <v>208</v>
      </c>
      <c r="B689" s="6">
        <v>654321</v>
      </c>
      <c r="C689" s="30" t="s">
        <v>106</v>
      </c>
      <c r="D689" s="11" t="s">
        <v>504</v>
      </c>
      <c r="E689" s="7" t="s">
        <v>126</v>
      </c>
      <c r="F689" s="8" t="s">
        <v>169</v>
      </c>
      <c r="G689" s="47" t="s">
        <v>558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343</v>
      </c>
    </row>
    <row r="690" spans="1:17" s="9" customFormat="1" ht="30" x14ac:dyDescent="0.25">
      <c r="A690" s="5">
        <v>209</v>
      </c>
      <c r="B690" s="6">
        <v>654321</v>
      </c>
      <c r="C690" s="30" t="s">
        <v>106</v>
      </c>
      <c r="D690" s="11" t="s">
        <v>504</v>
      </c>
      <c r="E690" s="7" t="s">
        <v>126</v>
      </c>
      <c r="F690" s="8" t="s">
        <v>174</v>
      </c>
      <c r="G690" s="47" t="s">
        <v>558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343</v>
      </c>
    </row>
    <row r="691" spans="1:17" s="9" customFormat="1" ht="30" x14ac:dyDescent="0.25">
      <c r="A691" s="5">
        <v>210</v>
      </c>
      <c r="B691" s="6">
        <v>654321</v>
      </c>
      <c r="C691" s="30" t="s">
        <v>106</v>
      </c>
      <c r="D691" s="11" t="s">
        <v>504</v>
      </c>
      <c r="E691" s="7" t="s">
        <v>126</v>
      </c>
      <c r="F691" s="8" t="s">
        <v>545</v>
      </c>
      <c r="G691" s="47" t="s">
        <v>558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342</v>
      </c>
    </row>
    <row r="692" spans="1:17" s="9" customFormat="1" ht="30" x14ac:dyDescent="0.25">
      <c r="A692" s="5">
        <v>211</v>
      </c>
      <c r="B692" s="6">
        <v>654321</v>
      </c>
      <c r="C692" s="30" t="s">
        <v>106</v>
      </c>
      <c r="D692" s="11" t="s">
        <v>504</v>
      </c>
      <c r="E692" s="7" t="s">
        <v>126</v>
      </c>
      <c r="F692" s="8" t="s">
        <v>177</v>
      </c>
      <c r="G692" s="47" t="s">
        <v>558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343</v>
      </c>
    </row>
    <row r="693" spans="1:17" s="9" customFormat="1" ht="30" x14ac:dyDescent="0.25">
      <c r="A693" s="5">
        <v>212</v>
      </c>
      <c r="B693" s="6">
        <v>654321</v>
      </c>
      <c r="C693" s="30" t="s">
        <v>106</v>
      </c>
      <c r="D693" s="11" t="s">
        <v>504</v>
      </c>
      <c r="E693" s="7" t="s">
        <v>126</v>
      </c>
      <c r="F693" s="8" t="s">
        <v>170</v>
      </c>
      <c r="G693" s="47" t="s">
        <v>558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342</v>
      </c>
    </row>
    <row r="694" spans="1:17" s="9" customFormat="1" ht="30" x14ac:dyDescent="0.25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547</v>
      </c>
      <c r="G694" s="47" t="s">
        <v>558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342</v>
      </c>
    </row>
    <row r="695" spans="1:17" s="9" customFormat="1" ht="30" x14ac:dyDescent="0.25">
      <c r="A695" s="5">
        <v>214</v>
      </c>
      <c r="B695" s="6">
        <v>654321</v>
      </c>
      <c r="C695" s="30" t="s">
        <v>106</v>
      </c>
      <c r="D695" s="11" t="s">
        <v>504</v>
      </c>
      <c r="E695" s="7" t="s">
        <v>126</v>
      </c>
      <c r="F695" s="8" t="s">
        <v>172</v>
      </c>
      <c r="G695" s="47" t="s">
        <v>558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340</v>
      </c>
    </row>
    <row r="696" spans="1:17" s="9" customFormat="1" ht="30" x14ac:dyDescent="0.25">
      <c r="A696" s="5">
        <v>215</v>
      </c>
      <c r="B696" s="6">
        <v>654321</v>
      </c>
      <c r="C696" s="30" t="s">
        <v>106</v>
      </c>
      <c r="D696" s="11" t="s">
        <v>504</v>
      </c>
      <c r="E696" s="7" t="s">
        <v>126</v>
      </c>
      <c r="F696" s="8" t="s">
        <v>178</v>
      </c>
      <c r="G696" s="47" t="s">
        <v>558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342</v>
      </c>
    </row>
    <row r="697" spans="1:17" s="9" customFormat="1" ht="30" x14ac:dyDescent="0.25">
      <c r="A697" s="5">
        <v>216</v>
      </c>
      <c r="B697" s="6">
        <v>654321</v>
      </c>
      <c r="C697" s="30" t="s">
        <v>106</v>
      </c>
      <c r="D697" s="11" t="s">
        <v>504</v>
      </c>
      <c r="E697" s="7" t="s">
        <v>126</v>
      </c>
      <c r="F697" s="8" t="s">
        <v>171</v>
      </c>
      <c r="G697" s="47" t="s">
        <v>558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342</v>
      </c>
    </row>
    <row r="698" spans="1:17" s="9" customFormat="1" ht="30" x14ac:dyDescent="0.25">
      <c r="A698" s="5">
        <v>217</v>
      </c>
      <c r="B698" s="6">
        <v>654321</v>
      </c>
      <c r="C698" s="30" t="s">
        <v>106</v>
      </c>
      <c r="D698" s="11" t="s">
        <v>504</v>
      </c>
      <c r="E698" s="7" t="s">
        <v>107</v>
      </c>
      <c r="F698" s="8" t="s">
        <v>180</v>
      </c>
      <c r="G698" s="47" t="s">
        <v>558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30" x14ac:dyDescent="0.25">
      <c r="A699" s="5">
        <v>218</v>
      </c>
      <c r="B699" s="6">
        <v>654321</v>
      </c>
      <c r="C699" s="30" t="s">
        <v>106</v>
      </c>
      <c r="D699" s="11" t="s">
        <v>507</v>
      </c>
      <c r="E699" s="7" t="s">
        <v>107</v>
      </c>
      <c r="F699" s="8" t="s">
        <v>463</v>
      </c>
      <c r="G699" s="47" t="s">
        <v>558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30" x14ac:dyDescent="0.25">
      <c r="A700" s="5">
        <v>219</v>
      </c>
      <c r="B700" s="6">
        <v>654321</v>
      </c>
      <c r="C700" s="30" t="s">
        <v>106</v>
      </c>
      <c r="D700" s="11" t="s">
        <v>504</v>
      </c>
      <c r="E700" s="7" t="s">
        <v>126</v>
      </c>
      <c r="F700" s="8" t="s">
        <v>182</v>
      </c>
      <c r="G700" s="47" t="s">
        <v>558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345</v>
      </c>
    </row>
    <row r="701" spans="1:17" s="9" customFormat="1" ht="30" x14ac:dyDescent="0.25">
      <c r="A701" s="5">
        <v>220</v>
      </c>
      <c r="B701" s="6">
        <v>654321</v>
      </c>
      <c r="C701" s="30" t="s">
        <v>106</v>
      </c>
      <c r="D701" s="11" t="s">
        <v>504</v>
      </c>
      <c r="E701" s="7" t="s">
        <v>107</v>
      </c>
      <c r="F701" s="8" t="s">
        <v>179</v>
      </c>
      <c r="G701" s="47" t="s">
        <v>558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330</v>
      </c>
    </row>
    <row r="702" spans="1:17" s="9" customFormat="1" ht="30" x14ac:dyDescent="0.25">
      <c r="A702" s="5">
        <v>221</v>
      </c>
      <c r="B702" s="6">
        <v>654321</v>
      </c>
      <c r="C702" s="30" t="s">
        <v>106</v>
      </c>
      <c r="D702" s="11" t="s">
        <v>504</v>
      </c>
      <c r="E702" s="7" t="s">
        <v>121</v>
      </c>
      <c r="F702" s="8" t="s">
        <v>184</v>
      </c>
      <c r="G702" s="47" t="s">
        <v>558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337</v>
      </c>
    </row>
    <row r="703" spans="1:17" s="9" customFormat="1" ht="30" x14ac:dyDescent="0.25">
      <c r="A703" s="5">
        <v>222</v>
      </c>
      <c r="B703" s="6">
        <v>654321</v>
      </c>
      <c r="C703" s="30" t="s">
        <v>106</v>
      </c>
      <c r="D703" s="11" t="s">
        <v>516</v>
      </c>
      <c r="E703" s="7" t="s">
        <v>121</v>
      </c>
      <c r="F703" s="8" t="s">
        <v>185</v>
      </c>
      <c r="G703" s="47" t="s">
        <v>558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338</v>
      </c>
    </row>
    <row r="704" spans="1:17" s="9" customFormat="1" ht="30" x14ac:dyDescent="0.25">
      <c r="A704" s="5">
        <v>223</v>
      </c>
      <c r="B704" s="6">
        <v>654321</v>
      </c>
      <c r="C704" s="30" t="s">
        <v>106</v>
      </c>
      <c r="D704" s="11" t="s">
        <v>504</v>
      </c>
      <c r="E704" s="7" t="s">
        <v>121</v>
      </c>
      <c r="F704" s="8" t="s">
        <v>517</v>
      </c>
      <c r="G704" s="47" t="s">
        <v>558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338</v>
      </c>
    </row>
    <row r="705" spans="1:17" s="9" customFormat="1" ht="30" x14ac:dyDescent="0.25">
      <c r="A705" s="5">
        <v>224</v>
      </c>
      <c r="B705" s="6">
        <v>654321</v>
      </c>
      <c r="C705" s="30" t="s">
        <v>106</v>
      </c>
      <c r="D705" s="11" t="s">
        <v>504</v>
      </c>
      <c r="E705" s="7" t="s">
        <v>121</v>
      </c>
      <c r="F705" s="8" t="s">
        <v>518</v>
      </c>
      <c r="G705" s="47" t="s">
        <v>558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338</v>
      </c>
    </row>
    <row r="706" spans="1:17" s="9" customFormat="1" ht="30" x14ac:dyDescent="0.25">
      <c r="A706" s="5">
        <v>225</v>
      </c>
      <c r="B706" s="6">
        <v>654321</v>
      </c>
      <c r="C706" s="30" t="s">
        <v>106</v>
      </c>
      <c r="D706" s="11" t="s">
        <v>504</v>
      </c>
      <c r="E706" s="7" t="s">
        <v>121</v>
      </c>
      <c r="F706" s="8" t="s">
        <v>183</v>
      </c>
      <c r="G706" s="47" t="s">
        <v>558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338</v>
      </c>
    </row>
    <row r="707" spans="1:17" s="9" customFormat="1" ht="30" x14ac:dyDescent="0.25">
      <c r="A707" s="5">
        <v>226</v>
      </c>
      <c r="B707" s="6">
        <v>654321</v>
      </c>
      <c r="C707" s="30" t="s">
        <v>106</v>
      </c>
      <c r="D707" s="11" t="s">
        <v>504</v>
      </c>
      <c r="E707" s="7" t="s">
        <v>121</v>
      </c>
      <c r="F707" s="8" t="s">
        <v>521</v>
      </c>
      <c r="G707" s="47" t="s">
        <v>558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338</v>
      </c>
    </row>
    <row r="708" spans="1:17" s="9" customFormat="1" ht="30" x14ac:dyDescent="0.25">
      <c r="A708" s="5">
        <v>227</v>
      </c>
      <c r="B708" s="6">
        <v>654321</v>
      </c>
      <c r="C708" s="30" t="s">
        <v>106</v>
      </c>
      <c r="D708" s="11" t="s">
        <v>504</v>
      </c>
      <c r="E708" s="7" t="s">
        <v>121</v>
      </c>
      <c r="F708" s="8" t="s">
        <v>522</v>
      </c>
      <c r="G708" s="47" t="s">
        <v>558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338</v>
      </c>
    </row>
    <row r="709" spans="1:17" s="9" customFormat="1" ht="30" x14ac:dyDescent="0.25">
      <c r="A709" s="5">
        <v>228</v>
      </c>
      <c r="B709" s="6">
        <v>654321</v>
      </c>
      <c r="C709" s="30" t="s">
        <v>106</v>
      </c>
      <c r="D709" s="11" t="s">
        <v>504</v>
      </c>
      <c r="E709" s="7" t="s">
        <v>121</v>
      </c>
      <c r="F709" s="8" t="s">
        <v>523</v>
      </c>
      <c r="G709" s="47" t="s">
        <v>558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338</v>
      </c>
    </row>
    <row r="710" spans="1:17" s="9" customFormat="1" ht="30" x14ac:dyDescent="0.25">
      <c r="A710" s="5">
        <v>229</v>
      </c>
      <c r="B710" s="6">
        <v>654321</v>
      </c>
      <c r="C710" s="30" t="s">
        <v>106</v>
      </c>
      <c r="D710" s="11" t="s">
        <v>504</v>
      </c>
      <c r="E710" s="7" t="s">
        <v>155</v>
      </c>
      <c r="F710" s="8" t="s">
        <v>186</v>
      </c>
      <c r="G710" s="47" t="s">
        <v>558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352</v>
      </c>
    </row>
    <row r="711" spans="1:17" s="9" customFormat="1" ht="30" x14ac:dyDescent="0.25">
      <c r="A711" s="5">
        <v>230</v>
      </c>
      <c r="B711" s="6">
        <v>654321</v>
      </c>
      <c r="C711" s="30" t="s">
        <v>106</v>
      </c>
      <c r="D711" s="11" t="s">
        <v>504</v>
      </c>
      <c r="E711" s="7" t="s">
        <v>155</v>
      </c>
      <c r="F711" s="8" t="s">
        <v>181</v>
      </c>
      <c r="G711" s="47" t="s">
        <v>558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352</v>
      </c>
    </row>
    <row r="712" spans="1:17" s="9" customFormat="1" ht="30" x14ac:dyDescent="0.25">
      <c r="A712" s="5">
        <v>231</v>
      </c>
      <c r="B712" s="6">
        <v>654321</v>
      </c>
      <c r="C712" s="30" t="s">
        <v>106</v>
      </c>
      <c r="D712" s="11" t="s">
        <v>504</v>
      </c>
      <c r="E712" s="7" t="s">
        <v>155</v>
      </c>
      <c r="F712" s="8" t="s">
        <v>480</v>
      </c>
      <c r="G712" s="47" t="s">
        <v>558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353</v>
      </c>
    </row>
    <row r="713" spans="1:17" s="9" customFormat="1" ht="30" x14ac:dyDescent="0.25">
      <c r="A713" s="5">
        <v>232</v>
      </c>
      <c r="B713" s="6">
        <v>654321</v>
      </c>
      <c r="C713" s="30" t="s">
        <v>106</v>
      </c>
      <c r="D713" s="11" t="s">
        <v>504</v>
      </c>
      <c r="E713" s="7" t="s">
        <v>126</v>
      </c>
      <c r="F713" s="8" t="s">
        <v>546</v>
      </c>
      <c r="G713" s="47" t="s">
        <v>558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346</v>
      </c>
    </row>
    <row r="714" spans="1:17" s="9" customFormat="1" ht="30" x14ac:dyDescent="0.25">
      <c r="A714" s="5">
        <v>233</v>
      </c>
      <c r="B714" s="6">
        <v>654321</v>
      </c>
      <c r="C714" s="30" t="s">
        <v>106</v>
      </c>
      <c r="D714" s="11" t="s">
        <v>504</v>
      </c>
      <c r="E714" s="7" t="s">
        <v>126</v>
      </c>
      <c r="F714" s="8" t="s">
        <v>187</v>
      </c>
      <c r="G714" s="47" t="s">
        <v>558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344</v>
      </c>
    </row>
    <row r="715" spans="1:17" ht="30" x14ac:dyDescent="0.25">
      <c r="A715" s="5">
        <v>234</v>
      </c>
      <c r="B715" s="6">
        <v>654321</v>
      </c>
      <c r="C715" s="30" t="s">
        <v>106</v>
      </c>
      <c r="D715" s="11" t="s">
        <v>504</v>
      </c>
      <c r="E715" s="7" t="s">
        <v>532</v>
      </c>
      <c r="F715" s="32" t="s">
        <v>548</v>
      </c>
      <c r="G715" s="47" t="s">
        <v>558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0" x14ac:dyDescent="0.25">
      <c r="A716" s="5">
        <v>235</v>
      </c>
      <c r="B716" s="6">
        <v>654321</v>
      </c>
      <c r="C716" s="30" t="s">
        <v>106</v>
      </c>
      <c r="D716" s="11" t="s">
        <v>504</v>
      </c>
      <c r="E716" s="7" t="s">
        <v>532</v>
      </c>
      <c r="F716" s="32" t="s">
        <v>481</v>
      </c>
      <c r="G716" s="47" t="s">
        <v>558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0" x14ac:dyDescent="0.25">
      <c r="A717" s="5">
        <v>236</v>
      </c>
      <c r="B717" s="6">
        <v>654321</v>
      </c>
      <c r="C717" s="30" t="s">
        <v>106</v>
      </c>
      <c r="D717" s="11" t="s">
        <v>504</v>
      </c>
      <c r="E717" s="7" t="s">
        <v>532</v>
      </c>
      <c r="F717" s="32" t="s">
        <v>482</v>
      </c>
      <c r="G717" s="47" t="s">
        <v>558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0" x14ac:dyDescent="0.25">
      <c r="A718" s="5">
        <v>237</v>
      </c>
      <c r="B718" s="6">
        <v>654321</v>
      </c>
      <c r="C718" s="30" t="s">
        <v>106</v>
      </c>
      <c r="D718" s="11" t="s">
        <v>504</v>
      </c>
      <c r="E718" s="7" t="s">
        <v>532</v>
      </c>
      <c r="F718" s="32" t="s">
        <v>484</v>
      </c>
      <c r="G718" s="47" t="s">
        <v>558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0" x14ac:dyDescent="0.25">
      <c r="A719" s="5">
        <v>238</v>
      </c>
      <c r="B719" s="6">
        <v>654321</v>
      </c>
      <c r="C719" s="30" t="s">
        <v>106</v>
      </c>
      <c r="D719" s="11" t="s">
        <v>504</v>
      </c>
      <c r="E719" s="7" t="s">
        <v>532</v>
      </c>
      <c r="F719" s="32" t="s">
        <v>533</v>
      </c>
      <c r="G719" s="47" t="s">
        <v>558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0" x14ac:dyDescent="0.25">
      <c r="A720" s="5">
        <v>239</v>
      </c>
      <c r="B720" s="6">
        <v>654321</v>
      </c>
      <c r="C720" s="30" t="s">
        <v>106</v>
      </c>
      <c r="D720" s="11" t="s">
        <v>504</v>
      </c>
      <c r="E720" s="7" t="s">
        <v>532</v>
      </c>
      <c r="F720" s="32" t="s">
        <v>485</v>
      </c>
      <c r="G720" s="47" t="s">
        <v>558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0" x14ac:dyDescent="0.25">
      <c r="A721" s="5">
        <v>240</v>
      </c>
      <c r="B721" s="6">
        <v>654321</v>
      </c>
      <c r="C721" s="30" t="s">
        <v>106</v>
      </c>
      <c r="D721" s="11" t="s">
        <v>504</v>
      </c>
      <c r="E721" s="7" t="s">
        <v>532</v>
      </c>
      <c r="F721" s="32" t="s">
        <v>486</v>
      </c>
      <c r="G721" s="47" t="s">
        <v>558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0" x14ac:dyDescent="0.25">
      <c r="A722" s="5">
        <v>241</v>
      </c>
      <c r="B722" s="6">
        <v>654321</v>
      </c>
      <c r="C722" s="30" t="s">
        <v>106</v>
      </c>
      <c r="D722" s="11" t="s">
        <v>504</v>
      </c>
      <c r="E722" s="7" t="s">
        <v>532</v>
      </c>
      <c r="F722" s="32" t="s">
        <v>487</v>
      </c>
      <c r="G722" s="47" t="s">
        <v>558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0" x14ac:dyDescent="0.25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420</v>
      </c>
      <c r="G723" s="49" t="s">
        <v>559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552</v>
      </c>
    </row>
    <row r="724" spans="1:17" s="9" customFormat="1" ht="30" x14ac:dyDescent="0.25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559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552</v>
      </c>
    </row>
    <row r="725" spans="1:17" s="9" customFormat="1" ht="30" x14ac:dyDescent="0.25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549</v>
      </c>
      <c r="G725" s="49" t="s">
        <v>559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553</v>
      </c>
    </row>
    <row r="726" spans="1:17" s="9" customFormat="1" ht="30" x14ac:dyDescent="0.25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489</v>
      </c>
      <c r="G726" s="49" t="s">
        <v>559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553</v>
      </c>
    </row>
    <row r="727" spans="1:17" s="9" customFormat="1" ht="30" x14ac:dyDescent="0.25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554</v>
      </c>
      <c r="G727" s="49" t="s">
        <v>559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553</v>
      </c>
    </row>
    <row r="728" spans="1:17" s="9" customFormat="1" ht="30" x14ac:dyDescent="0.25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367</v>
      </c>
      <c r="G728" s="49" t="s">
        <v>559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237</v>
      </c>
    </row>
    <row r="729" spans="1:17" s="9" customFormat="1" x14ac:dyDescent="0.25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439</v>
      </c>
      <c r="G729" s="49" t="s">
        <v>559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x14ac:dyDescent="0.25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368</v>
      </c>
      <c r="G730" s="49" t="s">
        <v>559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x14ac:dyDescent="0.25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366</v>
      </c>
      <c r="G731" s="49" t="s">
        <v>559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235</v>
      </c>
    </row>
    <row r="732" spans="1:17" s="9" customFormat="1" ht="30" x14ac:dyDescent="0.25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559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537</v>
      </c>
    </row>
    <row r="733" spans="1:17" s="9" customFormat="1" ht="30" x14ac:dyDescent="0.25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236</v>
      </c>
      <c r="G733" s="49" t="s">
        <v>559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538</v>
      </c>
    </row>
    <row r="734" spans="1:17" s="9" customFormat="1" ht="30" x14ac:dyDescent="0.25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559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537</v>
      </c>
    </row>
    <row r="735" spans="1:17" s="9" customFormat="1" ht="30" x14ac:dyDescent="0.25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365</v>
      </c>
      <c r="G735" s="49" t="s">
        <v>559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537</v>
      </c>
    </row>
    <row r="736" spans="1:17" s="9" customFormat="1" ht="30" x14ac:dyDescent="0.25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440</v>
      </c>
      <c r="G736" s="49" t="s">
        <v>559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240</v>
      </c>
    </row>
    <row r="737" spans="1:17" s="9" customFormat="1" ht="30" x14ac:dyDescent="0.25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494</v>
      </c>
      <c r="G737" s="49" t="s">
        <v>559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240</v>
      </c>
    </row>
    <row r="738" spans="1:17" s="9" customFormat="1" ht="30" x14ac:dyDescent="0.25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241</v>
      </c>
      <c r="G738" s="49" t="s">
        <v>559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0</v>
      </c>
      <c r="P738" s="137">
        <f t="shared" si="53"/>
        <v>0</v>
      </c>
      <c r="Q738" s="13" t="s">
        <v>238</v>
      </c>
    </row>
    <row r="739" spans="1:17" s="9" customFormat="1" ht="30" x14ac:dyDescent="0.25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369</v>
      </c>
      <c r="G739" s="49" t="s">
        <v>559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242</v>
      </c>
    </row>
    <row r="740" spans="1:17" s="9" customFormat="1" ht="30" x14ac:dyDescent="0.25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559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243</v>
      </c>
    </row>
    <row r="741" spans="1:17" s="9" customFormat="1" ht="30" x14ac:dyDescent="0.25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442</v>
      </c>
      <c r="G741" s="49" t="s">
        <v>559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243</v>
      </c>
    </row>
    <row r="742" spans="1:17" s="9" customFormat="1" ht="30" x14ac:dyDescent="0.25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496</v>
      </c>
      <c r="G742" s="49" t="s">
        <v>559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243</v>
      </c>
    </row>
    <row r="743" spans="1:17" s="9" customFormat="1" ht="30" x14ac:dyDescent="0.25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540</v>
      </c>
      <c r="G743" s="49" t="s">
        <v>559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243</v>
      </c>
    </row>
    <row r="744" spans="1:17" s="9" customFormat="1" ht="30" x14ac:dyDescent="0.25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539</v>
      </c>
      <c r="G744" s="49" t="s">
        <v>559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244</v>
      </c>
    </row>
    <row r="745" spans="1:17" s="9" customFormat="1" ht="30" x14ac:dyDescent="0.25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559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246</v>
      </c>
    </row>
    <row r="746" spans="1:17" s="9" customFormat="1" ht="30" x14ac:dyDescent="0.25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493</v>
      </c>
      <c r="G746" s="49" t="s">
        <v>559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0</v>
      </c>
      <c r="P746" s="137">
        <f t="shared" si="53"/>
        <v>0</v>
      </c>
      <c r="Q746" s="13" t="s">
        <v>238</v>
      </c>
    </row>
    <row r="747" spans="1:17" s="9" customFormat="1" x14ac:dyDescent="0.25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559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541</v>
      </c>
    </row>
    <row r="748" spans="1:17" s="9" customFormat="1" ht="30" x14ac:dyDescent="0.25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559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245</v>
      </c>
    </row>
    <row r="749" spans="1:17" s="9" customFormat="1" ht="30" x14ac:dyDescent="0.25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559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245</v>
      </c>
    </row>
    <row r="750" spans="1:17" s="9" customFormat="1" ht="30" x14ac:dyDescent="0.25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559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245</v>
      </c>
    </row>
    <row r="751" spans="1:17" s="9" customFormat="1" ht="30" x14ac:dyDescent="0.25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559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245</v>
      </c>
    </row>
    <row r="752" spans="1:17" s="9" customFormat="1" ht="30" x14ac:dyDescent="0.25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559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245</v>
      </c>
    </row>
    <row r="753" spans="1:17" s="9" customFormat="1" ht="30" x14ac:dyDescent="0.25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559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0</v>
      </c>
      <c r="P753" s="137">
        <f t="shared" si="53"/>
        <v>0</v>
      </c>
      <c r="Q753" s="13" t="s">
        <v>238</v>
      </c>
    </row>
    <row r="754" spans="1:17" s="9" customFormat="1" ht="30" x14ac:dyDescent="0.25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432</v>
      </c>
      <c r="G754" s="49" t="s">
        <v>559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247</v>
      </c>
    </row>
    <row r="755" spans="1:17" s="9" customFormat="1" ht="30" x14ac:dyDescent="0.25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438</v>
      </c>
      <c r="G755" s="49" t="s">
        <v>559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245</v>
      </c>
    </row>
    <row r="756" spans="1:17" s="9" customFormat="1" ht="30" x14ac:dyDescent="0.25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434</v>
      </c>
      <c r="G756" s="49" t="s">
        <v>559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247</v>
      </c>
    </row>
    <row r="757" spans="1:17" s="9" customFormat="1" ht="30" x14ac:dyDescent="0.25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431</v>
      </c>
      <c r="G757" s="49" t="s">
        <v>559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247</v>
      </c>
    </row>
    <row r="758" spans="1:17" s="9" customFormat="1" x14ac:dyDescent="0.25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370</v>
      </c>
      <c r="G758" s="49" t="s">
        <v>559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250</v>
      </c>
    </row>
    <row r="759" spans="1:17" s="9" customFormat="1" x14ac:dyDescent="0.25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490</v>
      </c>
      <c r="G759" s="49" t="s">
        <v>559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248</v>
      </c>
    </row>
    <row r="760" spans="1:17" s="9" customFormat="1" ht="25.5" x14ac:dyDescent="0.25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436</v>
      </c>
      <c r="G760" s="49" t="s">
        <v>559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x14ac:dyDescent="0.25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491</v>
      </c>
      <c r="G761" s="49" t="s">
        <v>559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249</v>
      </c>
    </row>
    <row r="762" spans="1:17" s="9" customFormat="1" ht="30" x14ac:dyDescent="0.25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371</v>
      </c>
      <c r="G762" s="49" t="s">
        <v>559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259</v>
      </c>
    </row>
    <row r="763" spans="1:17" s="9" customFormat="1" ht="30" x14ac:dyDescent="0.25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372</v>
      </c>
      <c r="G763" s="49" t="s">
        <v>559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260</v>
      </c>
    </row>
    <row r="764" spans="1:17" s="9" customFormat="1" ht="30" x14ac:dyDescent="0.25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559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259</v>
      </c>
    </row>
    <row r="765" spans="1:17" s="9" customFormat="1" ht="30" x14ac:dyDescent="0.25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373</v>
      </c>
      <c r="G765" s="49" t="s">
        <v>559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251</v>
      </c>
    </row>
    <row r="766" spans="1:17" s="9" customFormat="1" ht="30" x14ac:dyDescent="0.25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444</v>
      </c>
      <c r="G766" s="49" t="s">
        <v>559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252</v>
      </c>
    </row>
    <row r="767" spans="1:17" s="9" customFormat="1" x14ac:dyDescent="0.25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374</v>
      </c>
      <c r="G767" s="49" t="s">
        <v>559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253</v>
      </c>
    </row>
    <row r="768" spans="1:17" s="9" customFormat="1" ht="30" x14ac:dyDescent="0.25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559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261</v>
      </c>
    </row>
    <row r="769" spans="1:17" s="9" customFormat="1" ht="30" x14ac:dyDescent="0.25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375</v>
      </c>
      <c r="G769" s="49" t="s">
        <v>559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262</v>
      </c>
    </row>
    <row r="770" spans="1:17" s="9" customFormat="1" ht="30" x14ac:dyDescent="0.25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376</v>
      </c>
      <c r="G770" s="49" t="s">
        <v>559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254</v>
      </c>
    </row>
    <row r="771" spans="1:17" s="9" customFormat="1" ht="30" x14ac:dyDescent="0.25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542</v>
      </c>
      <c r="G771" s="49" t="s">
        <v>559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261</v>
      </c>
    </row>
    <row r="772" spans="1:17" s="9" customFormat="1" ht="30" x14ac:dyDescent="0.25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445</v>
      </c>
      <c r="G772" s="49" t="s">
        <v>559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263</v>
      </c>
    </row>
    <row r="773" spans="1:17" s="9" customFormat="1" ht="30" x14ac:dyDescent="0.25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377</v>
      </c>
      <c r="G773" s="49" t="s">
        <v>559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264</v>
      </c>
    </row>
    <row r="774" spans="1:17" s="9" customFormat="1" ht="30" x14ac:dyDescent="0.25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378</v>
      </c>
      <c r="G774" s="49" t="s">
        <v>559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265</v>
      </c>
    </row>
    <row r="775" spans="1:17" s="9" customFormat="1" ht="30" x14ac:dyDescent="0.25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447</v>
      </c>
      <c r="G775" s="49" t="s">
        <v>559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264</v>
      </c>
    </row>
    <row r="776" spans="1:17" s="9" customFormat="1" ht="30" x14ac:dyDescent="0.25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379</v>
      </c>
      <c r="G776" s="49" t="s">
        <v>559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264</v>
      </c>
    </row>
    <row r="777" spans="1:17" s="9" customFormat="1" ht="30" x14ac:dyDescent="0.25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380</v>
      </c>
      <c r="G777" s="49" t="s">
        <v>559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255</v>
      </c>
    </row>
    <row r="778" spans="1:17" s="9" customFormat="1" ht="30" x14ac:dyDescent="0.25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497</v>
      </c>
      <c r="G778" s="49" t="s">
        <v>559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255</v>
      </c>
    </row>
    <row r="779" spans="1:17" s="9" customFormat="1" ht="30" x14ac:dyDescent="0.25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381</v>
      </c>
      <c r="G779" s="49" t="s">
        <v>559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265</v>
      </c>
    </row>
    <row r="780" spans="1:17" s="9" customFormat="1" ht="30" x14ac:dyDescent="0.25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382</v>
      </c>
      <c r="G780" s="49" t="s">
        <v>559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265</v>
      </c>
    </row>
    <row r="781" spans="1:17" s="9" customFormat="1" ht="30" x14ac:dyDescent="0.25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383</v>
      </c>
      <c r="G781" s="49" t="s">
        <v>559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265</v>
      </c>
    </row>
    <row r="782" spans="1:17" s="9" customFormat="1" ht="30" x14ac:dyDescent="0.25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384</v>
      </c>
      <c r="G782" s="49" t="s">
        <v>559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264</v>
      </c>
    </row>
    <row r="783" spans="1:17" s="9" customFormat="1" ht="30" x14ac:dyDescent="0.25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385</v>
      </c>
      <c r="G783" s="49" t="s">
        <v>559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264</v>
      </c>
    </row>
    <row r="784" spans="1:17" s="9" customFormat="1" ht="30" x14ac:dyDescent="0.25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386</v>
      </c>
      <c r="G784" s="49" t="s">
        <v>559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264</v>
      </c>
    </row>
    <row r="785" spans="1:17" s="9" customFormat="1" ht="30" x14ac:dyDescent="0.25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498</v>
      </c>
      <c r="G785" s="49" t="s">
        <v>559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266</v>
      </c>
    </row>
    <row r="786" spans="1:17" s="9" customFormat="1" ht="30" x14ac:dyDescent="0.25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387</v>
      </c>
      <c r="G786" s="49" t="s">
        <v>559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256</v>
      </c>
    </row>
    <row r="787" spans="1:17" s="9" customFormat="1" ht="30" x14ac:dyDescent="0.25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559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247</v>
      </c>
    </row>
    <row r="788" spans="1:17" s="9" customFormat="1" ht="30" x14ac:dyDescent="0.25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559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0</v>
      </c>
      <c r="P788" s="137">
        <f t="shared" si="54"/>
        <v>0</v>
      </c>
      <c r="Q788" s="13" t="s">
        <v>238</v>
      </c>
    </row>
    <row r="789" spans="1:17" s="9" customFormat="1" ht="30" x14ac:dyDescent="0.25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559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256</v>
      </c>
    </row>
    <row r="790" spans="1:17" s="9" customFormat="1" x14ac:dyDescent="0.25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389</v>
      </c>
      <c r="G790" s="49" t="s">
        <v>559</v>
      </c>
      <c r="H790" s="18"/>
      <c r="I790" s="18"/>
      <c r="J790" s="18"/>
      <c r="K790" s="18"/>
      <c r="L790" s="18"/>
      <c r="M790" s="18"/>
      <c r="N790" s="26">
        <f>$P$3</f>
        <v>60</v>
      </c>
      <c r="O790" s="24">
        <f>N790</f>
        <v>60</v>
      </c>
      <c r="P790" s="137">
        <f t="shared" si="54"/>
        <v>60</v>
      </c>
      <c r="Q790" s="13" t="s">
        <v>257</v>
      </c>
    </row>
    <row r="791" spans="1:17" s="9" customFormat="1" x14ac:dyDescent="0.25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388</v>
      </c>
      <c r="G791" s="49" t="s">
        <v>559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258</v>
      </c>
    </row>
    <row r="792" spans="1:17" s="9" customFormat="1" ht="30" x14ac:dyDescent="0.25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559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256</v>
      </c>
    </row>
    <row r="793" spans="1:17" s="9" customFormat="1" ht="30" x14ac:dyDescent="0.25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559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0</v>
      </c>
      <c r="P793" s="137">
        <f t="shared" si="54"/>
        <v>0</v>
      </c>
      <c r="Q793" s="13" t="s">
        <v>256</v>
      </c>
    </row>
    <row r="794" spans="1:17" s="9" customFormat="1" ht="30" x14ac:dyDescent="0.25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559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0</v>
      </c>
      <c r="P794" s="137">
        <f t="shared" si="54"/>
        <v>0</v>
      </c>
      <c r="Q794" s="13" t="s">
        <v>256</v>
      </c>
    </row>
    <row r="795" spans="1:17" s="9" customFormat="1" ht="30" x14ac:dyDescent="0.25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559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256</v>
      </c>
    </row>
    <row r="796" spans="1:17" s="9" customFormat="1" ht="30" x14ac:dyDescent="0.25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449</v>
      </c>
      <c r="G796" s="49" t="s">
        <v>559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267</v>
      </c>
    </row>
    <row r="797" spans="1:17" s="9" customFormat="1" x14ac:dyDescent="0.25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448</v>
      </c>
      <c r="G797" s="49" t="s">
        <v>559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30" x14ac:dyDescent="0.25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499</v>
      </c>
      <c r="G798" s="49" t="s">
        <v>559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267</v>
      </c>
    </row>
    <row r="799" spans="1:17" s="9" customFormat="1" ht="30" x14ac:dyDescent="0.25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450</v>
      </c>
      <c r="G799" s="49" t="s">
        <v>559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267</v>
      </c>
    </row>
    <row r="800" spans="1:17" s="9" customFormat="1" ht="30" x14ac:dyDescent="0.25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500</v>
      </c>
      <c r="G800" s="49" t="s">
        <v>559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268</v>
      </c>
    </row>
    <row r="801" spans="1:17" s="9" customFormat="1" ht="30" x14ac:dyDescent="0.25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390</v>
      </c>
      <c r="G801" s="49" t="s">
        <v>559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256</v>
      </c>
    </row>
    <row r="802" spans="1:17" s="9" customFormat="1" x14ac:dyDescent="0.25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391</v>
      </c>
      <c r="G802" s="49" t="s">
        <v>559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269</v>
      </c>
    </row>
    <row r="803" spans="1:17" s="9" customFormat="1" x14ac:dyDescent="0.25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453</v>
      </c>
      <c r="G803" s="49" t="s">
        <v>559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269</v>
      </c>
    </row>
    <row r="804" spans="1:17" s="9" customFormat="1" ht="30" x14ac:dyDescent="0.25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392</v>
      </c>
      <c r="G804" s="49" t="s">
        <v>559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272</v>
      </c>
    </row>
    <row r="805" spans="1:17" s="9" customFormat="1" x14ac:dyDescent="0.25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393</v>
      </c>
      <c r="G805" s="49" t="s">
        <v>559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275</v>
      </c>
    </row>
    <row r="806" spans="1:17" s="9" customFormat="1" ht="30" x14ac:dyDescent="0.25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421</v>
      </c>
      <c r="G806" s="49" t="s">
        <v>559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422</v>
      </c>
    </row>
    <row r="807" spans="1:17" s="9" customFormat="1" ht="30" x14ac:dyDescent="0.25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501</v>
      </c>
      <c r="G807" s="49" t="s">
        <v>559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423</v>
      </c>
    </row>
    <row r="808" spans="1:17" s="9" customFormat="1" ht="30" x14ac:dyDescent="0.25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559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276</v>
      </c>
    </row>
    <row r="809" spans="1:17" s="9" customFormat="1" ht="45" x14ac:dyDescent="0.25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270</v>
      </c>
      <c r="G809" s="49" t="s">
        <v>559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277</v>
      </c>
    </row>
    <row r="810" spans="1:17" s="9" customFormat="1" x14ac:dyDescent="0.25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559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269</v>
      </c>
    </row>
    <row r="811" spans="1:17" s="9" customFormat="1" x14ac:dyDescent="0.25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559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287</v>
      </c>
    </row>
    <row r="812" spans="1:17" s="9" customFormat="1" ht="30" x14ac:dyDescent="0.25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559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0</v>
      </c>
      <c r="P812" s="137">
        <f t="shared" si="56"/>
        <v>0</v>
      </c>
      <c r="Q812" s="13" t="s">
        <v>273</v>
      </c>
    </row>
    <row r="813" spans="1:17" s="9" customFormat="1" x14ac:dyDescent="0.25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559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x14ac:dyDescent="0.25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559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269</v>
      </c>
    </row>
    <row r="815" spans="1:17" s="9" customFormat="1" x14ac:dyDescent="0.25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559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280</v>
      </c>
    </row>
    <row r="816" spans="1:17" s="9" customFormat="1" ht="30" x14ac:dyDescent="0.25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559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271</v>
      </c>
    </row>
    <row r="817" spans="1:17" s="9" customFormat="1" x14ac:dyDescent="0.25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394</v>
      </c>
      <c r="G817" s="49" t="s">
        <v>559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282</v>
      </c>
    </row>
    <row r="818" spans="1:17" s="9" customFormat="1" ht="30" x14ac:dyDescent="0.25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395</v>
      </c>
      <c r="G818" s="49" t="s">
        <v>559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281</v>
      </c>
    </row>
    <row r="819" spans="1:17" s="9" customFormat="1" ht="30" x14ac:dyDescent="0.25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396</v>
      </c>
      <c r="G819" s="49" t="s">
        <v>559</v>
      </c>
      <c r="H819" s="5"/>
      <c r="I819" s="5"/>
      <c r="J819" s="5"/>
      <c r="K819" s="5"/>
      <c r="L819" s="5"/>
      <c r="M819" s="5"/>
      <c r="N819" s="20">
        <f>'INFORMACION BASE'!$E$25+3</f>
        <v>6</v>
      </c>
      <c r="O819" s="24">
        <f t="shared" si="57"/>
        <v>6</v>
      </c>
      <c r="P819" s="137">
        <f t="shared" si="56"/>
        <v>6</v>
      </c>
      <c r="Q819" s="13" t="s">
        <v>283</v>
      </c>
    </row>
    <row r="820" spans="1:17" s="9" customFormat="1" x14ac:dyDescent="0.25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397</v>
      </c>
      <c r="G820" s="49" t="s">
        <v>559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284</v>
      </c>
    </row>
    <row r="821" spans="1:17" s="9" customFormat="1" x14ac:dyDescent="0.25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559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285</v>
      </c>
    </row>
    <row r="822" spans="1:17" s="9" customFormat="1" x14ac:dyDescent="0.25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559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286</v>
      </c>
    </row>
    <row r="823" spans="1:17" s="9" customFormat="1" ht="30" x14ac:dyDescent="0.25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559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267</v>
      </c>
    </row>
    <row r="824" spans="1:17" s="9" customFormat="1" ht="30" x14ac:dyDescent="0.25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559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288</v>
      </c>
    </row>
    <row r="825" spans="1:17" s="9" customFormat="1" ht="30" x14ac:dyDescent="0.25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455</v>
      </c>
      <c r="G825" s="49" t="s">
        <v>559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289</v>
      </c>
    </row>
    <row r="826" spans="1:17" s="9" customFormat="1" ht="30" x14ac:dyDescent="0.25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559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290</v>
      </c>
    </row>
    <row r="827" spans="1:17" s="9" customFormat="1" x14ac:dyDescent="0.25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398</v>
      </c>
      <c r="G827" s="49" t="s">
        <v>559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291</v>
      </c>
    </row>
    <row r="828" spans="1:17" s="9" customFormat="1" ht="30" x14ac:dyDescent="0.25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399</v>
      </c>
      <c r="G828" s="49" t="s">
        <v>559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267</v>
      </c>
    </row>
    <row r="829" spans="1:17" s="9" customFormat="1" x14ac:dyDescent="0.25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559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292</v>
      </c>
    </row>
    <row r="830" spans="1:17" s="9" customFormat="1" x14ac:dyDescent="0.25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400</v>
      </c>
      <c r="G830" s="49" t="s">
        <v>559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293</v>
      </c>
    </row>
    <row r="831" spans="1:17" s="9" customFormat="1" ht="30" x14ac:dyDescent="0.25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401</v>
      </c>
      <c r="G831" s="49" t="s">
        <v>559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256</v>
      </c>
    </row>
    <row r="832" spans="1:17" s="9" customFormat="1" ht="30" x14ac:dyDescent="0.25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402</v>
      </c>
      <c r="G832" s="49" t="s">
        <v>559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256</v>
      </c>
    </row>
    <row r="833" spans="1:17" s="9" customFormat="1" ht="30" x14ac:dyDescent="0.25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403</v>
      </c>
      <c r="G833" s="49" t="s">
        <v>559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256</v>
      </c>
    </row>
    <row r="834" spans="1:17" s="9" customFormat="1" ht="30" x14ac:dyDescent="0.25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404</v>
      </c>
      <c r="G834" s="49" t="s">
        <v>559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294</v>
      </c>
    </row>
    <row r="835" spans="1:17" s="9" customFormat="1" x14ac:dyDescent="0.25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405</v>
      </c>
      <c r="G835" s="49" t="s">
        <v>559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298</v>
      </c>
    </row>
    <row r="836" spans="1:17" s="9" customFormat="1" ht="30" x14ac:dyDescent="0.25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456</v>
      </c>
      <c r="G836" s="49" t="s">
        <v>559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294</v>
      </c>
    </row>
    <row r="837" spans="1:17" s="9" customFormat="1" ht="30" x14ac:dyDescent="0.25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534</v>
      </c>
      <c r="G837" s="49" t="s">
        <v>559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290</v>
      </c>
    </row>
    <row r="838" spans="1:17" s="9" customFormat="1" ht="30" x14ac:dyDescent="0.25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406</v>
      </c>
      <c r="G838" s="49" t="s">
        <v>559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299</v>
      </c>
    </row>
    <row r="839" spans="1:17" s="9" customFormat="1" ht="30" x14ac:dyDescent="0.25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279</v>
      </c>
      <c r="G839" s="49" t="s">
        <v>559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300</v>
      </c>
    </row>
    <row r="840" spans="1:17" s="9" customFormat="1" ht="30" x14ac:dyDescent="0.25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457</v>
      </c>
      <c r="G840" s="49" t="s">
        <v>559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300</v>
      </c>
    </row>
    <row r="841" spans="1:17" s="9" customFormat="1" ht="30" x14ac:dyDescent="0.25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559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301</v>
      </c>
    </row>
    <row r="842" spans="1:17" s="9" customFormat="1" ht="30" x14ac:dyDescent="0.25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407</v>
      </c>
      <c r="G842" s="49" t="s">
        <v>559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303</v>
      </c>
    </row>
    <row r="843" spans="1:17" s="9" customFormat="1" ht="30" x14ac:dyDescent="0.25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408</v>
      </c>
      <c r="G843" s="49" t="s">
        <v>559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256</v>
      </c>
    </row>
    <row r="844" spans="1:17" s="9" customFormat="1" ht="30" x14ac:dyDescent="0.25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306</v>
      </c>
      <c r="G844" s="49" t="s">
        <v>559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304</v>
      </c>
    </row>
    <row r="845" spans="1:17" s="9" customFormat="1" ht="30" x14ac:dyDescent="0.25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307</v>
      </c>
      <c r="G845" s="49" t="s">
        <v>559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305</v>
      </c>
    </row>
    <row r="846" spans="1:17" s="9" customFormat="1" ht="30" x14ac:dyDescent="0.25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536</v>
      </c>
      <c r="G846" s="49" t="s">
        <v>559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256</v>
      </c>
    </row>
    <row r="847" spans="1:17" s="9" customFormat="1" ht="30" x14ac:dyDescent="0.25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559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308</v>
      </c>
    </row>
    <row r="848" spans="1:17" s="9" customFormat="1" ht="30" x14ac:dyDescent="0.25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559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309</v>
      </c>
    </row>
    <row r="849" spans="1:17" s="9" customFormat="1" ht="30" x14ac:dyDescent="0.25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559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309</v>
      </c>
    </row>
    <row r="850" spans="1:17" s="9" customFormat="1" ht="30" x14ac:dyDescent="0.25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559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310</v>
      </c>
    </row>
    <row r="851" spans="1:17" s="9" customFormat="1" ht="30" x14ac:dyDescent="0.25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559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256</v>
      </c>
    </row>
    <row r="852" spans="1:17" s="9" customFormat="1" ht="30" x14ac:dyDescent="0.25">
      <c r="A852" s="5">
        <v>132</v>
      </c>
      <c r="B852" s="6">
        <v>654321</v>
      </c>
      <c r="C852" s="30" t="s">
        <v>106</v>
      </c>
      <c r="D852" s="11" t="s">
        <v>511</v>
      </c>
      <c r="E852" s="7" t="s">
        <v>107</v>
      </c>
      <c r="F852" s="8" t="s">
        <v>467</v>
      </c>
      <c r="G852" s="49" t="s">
        <v>559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30" x14ac:dyDescent="0.25">
      <c r="A853" s="5">
        <v>133</v>
      </c>
      <c r="B853" s="6">
        <v>654321</v>
      </c>
      <c r="C853" s="30" t="s">
        <v>106</v>
      </c>
      <c r="D853" s="11" t="s">
        <v>506</v>
      </c>
      <c r="E853" s="7" t="s">
        <v>107</v>
      </c>
      <c r="F853" s="8" t="s">
        <v>505</v>
      </c>
      <c r="G853" s="49" t="s">
        <v>559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30" x14ac:dyDescent="0.25">
      <c r="A854" s="5">
        <v>134</v>
      </c>
      <c r="B854" s="6">
        <v>654321</v>
      </c>
      <c r="C854" s="30" t="s">
        <v>106</v>
      </c>
      <c r="D854" s="11" t="s">
        <v>511</v>
      </c>
      <c r="E854" s="7" t="s">
        <v>107</v>
      </c>
      <c r="F854" s="8" t="s">
        <v>110</v>
      </c>
      <c r="G854" s="49" t="s">
        <v>559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30" x14ac:dyDescent="0.25">
      <c r="A855" s="5">
        <v>135</v>
      </c>
      <c r="B855" s="6">
        <v>654321</v>
      </c>
      <c r="C855" s="30" t="s">
        <v>106</v>
      </c>
      <c r="D855" s="11" t="s">
        <v>511</v>
      </c>
      <c r="E855" s="7" t="s">
        <v>107</v>
      </c>
      <c r="F855" s="8" t="s">
        <v>111</v>
      </c>
      <c r="G855" s="49" t="s">
        <v>559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30" x14ac:dyDescent="0.25">
      <c r="A856" s="5">
        <v>136</v>
      </c>
      <c r="B856" s="6">
        <v>654321</v>
      </c>
      <c r="C856" s="30" t="s">
        <v>106</v>
      </c>
      <c r="D856" s="11" t="s">
        <v>511</v>
      </c>
      <c r="E856" s="7" t="s">
        <v>107</v>
      </c>
      <c r="F856" s="8" t="s">
        <v>543</v>
      </c>
      <c r="G856" s="49" t="s">
        <v>559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30" x14ac:dyDescent="0.25">
      <c r="A857" s="5">
        <v>137</v>
      </c>
      <c r="B857" s="6">
        <v>654321</v>
      </c>
      <c r="C857" s="30" t="s">
        <v>106</v>
      </c>
      <c r="D857" s="11" t="s">
        <v>511</v>
      </c>
      <c r="E857" s="7" t="s">
        <v>107</v>
      </c>
      <c r="F857" s="8" t="s">
        <v>544</v>
      </c>
      <c r="G857" s="49" t="s">
        <v>559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0" x14ac:dyDescent="0.25">
      <c r="A858" s="5">
        <v>138</v>
      </c>
      <c r="B858" s="6">
        <v>654321</v>
      </c>
      <c r="C858" s="30" t="s">
        <v>106</v>
      </c>
      <c r="D858" s="11" t="s">
        <v>511</v>
      </c>
      <c r="E858" s="7" t="s">
        <v>107</v>
      </c>
      <c r="F858" s="8" t="s">
        <v>114</v>
      </c>
      <c r="G858" s="49" t="s">
        <v>559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0" x14ac:dyDescent="0.25">
      <c r="A859" s="5">
        <v>139</v>
      </c>
      <c r="B859" s="6">
        <v>654321</v>
      </c>
      <c r="C859" s="30" t="s">
        <v>106</v>
      </c>
      <c r="D859" s="11" t="s">
        <v>511</v>
      </c>
      <c r="E859" s="7" t="s">
        <v>107</v>
      </c>
      <c r="F859" s="8" t="s">
        <v>116</v>
      </c>
      <c r="G859" s="49" t="s">
        <v>559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311</v>
      </c>
    </row>
    <row r="860" spans="1:17" s="9" customFormat="1" ht="30" x14ac:dyDescent="0.25">
      <c r="A860" s="5">
        <v>140</v>
      </c>
      <c r="B860" s="6">
        <v>654321</v>
      </c>
      <c r="C860" s="30" t="s">
        <v>106</v>
      </c>
      <c r="D860" s="11" t="s">
        <v>511</v>
      </c>
      <c r="E860" s="7" t="s">
        <v>107</v>
      </c>
      <c r="F860" s="8" t="s">
        <v>117</v>
      </c>
      <c r="G860" s="49" t="s">
        <v>559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30" x14ac:dyDescent="0.25">
      <c r="A861" s="5">
        <v>141</v>
      </c>
      <c r="B861" s="6">
        <v>654321</v>
      </c>
      <c r="C861" s="30" t="s">
        <v>106</v>
      </c>
      <c r="D861" s="11" t="s">
        <v>511</v>
      </c>
      <c r="E861" s="7" t="s">
        <v>107</v>
      </c>
      <c r="F861" s="8" t="s">
        <v>119</v>
      </c>
      <c r="G861" s="49" t="s">
        <v>559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30" x14ac:dyDescent="0.25">
      <c r="A862" s="5">
        <v>142</v>
      </c>
      <c r="B862" s="6">
        <v>654321</v>
      </c>
      <c r="C862" s="30" t="s">
        <v>106</v>
      </c>
      <c r="D862" s="11" t="s">
        <v>507</v>
      </c>
      <c r="E862" s="7" t="s">
        <v>107</v>
      </c>
      <c r="F862" s="8" t="s">
        <v>120</v>
      </c>
      <c r="G862" s="49" t="s">
        <v>559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30" x14ac:dyDescent="0.25">
      <c r="A863" s="5">
        <v>143</v>
      </c>
      <c r="B863" s="6">
        <v>654321</v>
      </c>
      <c r="C863" s="30" t="s">
        <v>106</v>
      </c>
      <c r="D863" s="11" t="s">
        <v>504</v>
      </c>
      <c r="E863" s="7" t="s">
        <v>121</v>
      </c>
      <c r="F863" s="8" t="s">
        <v>122</v>
      </c>
      <c r="G863" s="49" t="s">
        <v>559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30" x14ac:dyDescent="0.25">
      <c r="A864" s="5">
        <v>144</v>
      </c>
      <c r="B864" s="6">
        <v>654321</v>
      </c>
      <c r="C864" s="30" t="s">
        <v>106</v>
      </c>
      <c r="D864" s="11" t="s">
        <v>511</v>
      </c>
      <c r="E864" s="7" t="s">
        <v>121</v>
      </c>
      <c r="F864" s="8" t="s">
        <v>124</v>
      </c>
      <c r="G864" s="49" t="s">
        <v>559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30" x14ac:dyDescent="0.25">
      <c r="A865" s="5">
        <v>145</v>
      </c>
      <c r="B865" s="6">
        <v>654321</v>
      </c>
      <c r="C865" s="30" t="s">
        <v>106</v>
      </c>
      <c r="D865" s="11" t="s">
        <v>504</v>
      </c>
      <c r="E865" s="7" t="s">
        <v>126</v>
      </c>
      <c r="F865" s="8" t="s">
        <v>127</v>
      </c>
      <c r="G865" s="49" t="s">
        <v>559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30" x14ac:dyDescent="0.25">
      <c r="A866" s="5">
        <v>146</v>
      </c>
      <c r="B866" s="6">
        <v>654321</v>
      </c>
      <c r="C866" s="30" t="s">
        <v>106</v>
      </c>
      <c r="D866" s="11" t="s">
        <v>504</v>
      </c>
      <c r="E866" s="7" t="s">
        <v>126</v>
      </c>
      <c r="F866" s="8" t="s">
        <v>129</v>
      </c>
      <c r="G866" s="49" t="s">
        <v>559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30" x14ac:dyDescent="0.25">
      <c r="A867" s="5">
        <v>147</v>
      </c>
      <c r="B867" s="6">
        <v>654321</v>
      </c>
      <c r="C867" s="30" t="s">
        <v>106</v>
      </c>
      <c r="D867" s="11" t="s">
        <v>511</v>
      </c>
      <c r="E867" s="7" t="s">
        <v>126</v>
      </c>
      <c r="F867" s="8" t="s">
        <v>131</v>
      </c>
      <c r="G867" s="49" t="s">
        <v>559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30" x14ac:dyDescent="0.25">
      <c r="A868" s="5">
        <v>148</v>
      </c>
      <c r="B868" s="6">
        <v>654321</v>
      </c>
      <c r="C868" s="30" t="s">
        <v>106</v>
      </c>
      <c r="D868" s="11" t="s">
        <v>504</v>
      </c>
      <c r="E868" s="7" t="s">
        <v>126</v>
      </c>
      <c r="F868" s="8" t="s">
        <v>132</v>
      </c>
      <c r="G868" s="49" t="s">
        <v>559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30" x14ac:dyDescent="0.25">
      <c r="A869" s="5">
        <v>149</v>
      </c>
      <c r="B869" s="6">
        <v>654321</v>
      </c>
      <c r="C869" s="30" t="s">
        <v>106</v>
      </c>
      <c r="D869" s="11" t="s">
        <v>504</v>
      </c>
      <c r="E869" s="7" t="s">
        <v>126</v>
      </c>
      <c r="F869" s="8" t="s">
        <v>133</v>
      </c>
      <c r="G869" s="49" t="s">
        <v>559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30" x14ac:dyDescent="0.25">
      <c r="A870" s="5">
        <v>150</v>
      </c>
      <c r="B870" s="6">
        <v>654321</v>
      </c>
      <c r="C870" s="30" t="s">
        <v>106</v>
      </c>
      <c r="D870" s="11" t="s">
        <v>511</v>
      </c>
      <c r="E870" s="7" t="s">
        <v>126</v>
      </c>
      <c r="F870" s="8" t="s">
        <v>134</v>
      </c>
      <c r="G870" s="49" t="s">
        <v>559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30" x14ac:dyDescent="0.25">
      <c r="A871" s="5">
        <v>151</v>
      </c>
      <c r="B871" s="6">
        <v>654321</v>
      </c>
      <c r="C871" s="30" t="s">
        <v>106</v>
      </c>
      <c r="D871" s="11" t="s">
        <v>511</v>
      </c>
      <c r="E871" s="7" t="s">
        <v>135</v>
      </c>
      <c r="F871" s="8" t="s">
        <v>530</v>
      </c>
      <c r="G871" s="49" t="s">
        <v>559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30" x14ac:dyDescent="0.25">
      <c r="A872" s="5">
        <v>152</v>
      </c>
      <c r="B872" s="6">
        <v>654321</v>
      </c>
      <c r="C872" s="30" t="s">
        <v>106</v>
      </c>
      <c r="D872" s="11" t="s">
        <v>511</v>
      </c>
      <c r="E872" s="7" t="s">
        <v>135</v>
      </c>
      <c r="F872" s="8" t="s">
        <v>531</v>
      </c>
      <c r="G872" s="49" t="s">
        <v>559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30" x14ac:dyDescent="0.25">
      <c r="A873" s="5">
        <v>154</v>
      </c>
      <c r="B873" s="6">
        <v>654321</v>
      </c>
      <c r="C873" s="30" t="s">
        <v>106</v>
      </c>
      <c r="D873" s="11" t="s">
        <v>510</v>
      </c>
      <c r="E873" s="7" t="s">
        <v>107</v>
      </c>
      <c r="F873" s="8" t="s">
        <v>503</v>
      </c>
      <c r="G873" s="49" t="s">
        <v>559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312</v>
      </c>
    </row>
    <row r="874" spans="1:17" s="9" customFormat="1" ht="30" x14ac:dyDescent="0.25">
      <c r="A874" s="5">
        <v>155</v>
      </c>
      <c r="B874" s="6">
        <v>654321</v>
      </c>
      <c r="C874" s="30" t="s">
        <v>106</v>
      </c>
      <c r="D874" s="11" t="s">
        <v>506</v>
      </c>
      <c r="E874" s="7" t="s">
        <v>107</v>
      </c>
      <c r="F874" s="8" t="s">
        <v>411</v>
      </c>
      <c r="G874" s="49" t="s">
        <v>559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282</v>
      </c>
    </row>
    <row r="875" spans="1:17" s="9" customFormat="1" ht="30" x14ac:dyDescent="0.25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559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315</v>
      </c>
    </row>
    <row r="876" spans="1:17" s="9" customFormat="1" ht="30" x14ac:dyDescent="0.25">
      <c r="A876" s="5">
        <v>157</v>
      </c>
      <c r="B876" s="6">
        <v>654321</v>
      </c>
      <c r="C876" s="30" t="s">
        <v>106</v>
      </c>
      <c r="D876" s="11" t="s">
        <v>509</v>
      </c>
      <c r="E876" s="7" t="s">
        <v>107</v>
      </c>
      <c r="F876" s="8" t="s">
        <v>508</v>
      </c>
      <c r="G876" s="49" t="s">
        <v>559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313</v>
      </c>
    </row>
    <row r="877" spans="1:17" s="9" customFormat="1" ht="30" x14ac:dyDescent="0.25">
      <c r="A877" s="5">
        <v>158</v>
      </c>
      <c r="B877" s="6">
        <v>654321</v>
      </c>
      <c r="C877" s="30" t="s">
        <v>106</v>
      </c>
      <c r="D877" s="11" t="s">
        <v>510</v>
      </c>
      <c r="E877" s="7" t="s">
        <v>107</v>
      </c>
      <c r="F877" s="8" t="s">
        <v>140</v>
      </c>
      <c r="G877" s="49" t="s">
        <v>559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314</v>
      </c>
    </row>
    <row r="878" spans="1:17" s="9" customFormat="1" ht="30" x14ac:dyDescent="0.25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559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316</v>
      </c>
    </row>
    <row r="879" spans="1:17" s="9" customFormat="1" ht="30" x14ac:dyDescent="0.25">
      <c r="A879" s="5">
        <v>160</v>
      </c>
      <c r="B879" s="6">
        <v>654321</v>
      </c>
      <c r="C879" s="30" t="s">
        <v>106</v>
      </c>
      <c r="D879" s="11" t="s">
        <v>509</v>
      </c>
      <c r="E879" s="7" t="s">
        <v>107</v>
      </c>
      <c r="F879" s="8" t="s">
        <v>139</v>
      </c>
      <c r="G879" s="49" t="s">
        <v>559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321</v>
      </c>
    </row>
    <row r="880" spans="1:17" s="9" customFormat="1" ht="30" x14ac:dyDescent="0.25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559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317</v>
      </c>
    </row>
    <row r="881" spans="1:17" s="9" customFormat="1" ht="30" x14ac:dyDescent="0.25">
      <c r="A881" s="5">
        <v>162</v>
      </c>
      <c r="B881" s="6">
        <v>654321</v>
      </c>
      <c r="C881" s="30" t="s">
        <v>106</v>
      </c>
      <c r="D881" s="11" t="s">
        <v>510</v>
      </c>
      <c r="E881" s="7" t="s">
        <v>107</v>
      </c>
      <c r="F881" s="8" t="s">
        <v>468</v>
      </c>
      <c r="G881" s="49" t="s">
        <v>559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318</v>
      </c>
    </row>
    <row r="882" spans="1:17" s="9" customFormat="1" ht="30" x14ac:dyDescent="0.25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409</v>
      </c>
      <c r="G882" s="49" t="s">
        <v>559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320</v>
      </c>
    </row>
    <row r="883" spans="1:17" s="9" customFormat="1" ht="30" x14ac:dyDescent="0.25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410</v>
      </c>
      <c r="G883" s="49" t="s">
        <v>559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320</v>
      </c>
    </row>
    <row r="884" spans="1:17" s="9" customFormat="1" ht="30" x14ac:dyDescent="0.25">
      <c r="A884" s="5">
        <v>165</v>
      </c>
      <c r="B884" s="6">
        <v>654321</v>
      </c>
      <c r="C884" s="30" t="s">
        <v>106</v>
      </c>
      <c r="D884" s="11" t="s">
        <v>510</v>
      </c>
      <c r="E884" s="7" t="s">
        <v>107</v>
      </c>
      <c r="F884" s="8" t="s">
        <v>141</v>
      </c>
      <c r="G884" s="49" t="s">
        <v>559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314</v>
      </c>
    </row>
    <row r="885" spans="1:17" s="9" customFormat="1" ht="30" x14ac:dyDescent="0.25">
      <c r="A885" s="5">
        <v>166</v>
      </c>
      <c r="B885" s="6">
        <v>654321</v>
      </c>
      <c r="C885" s="30" t="s">
        <v>106</v>
      </c>
      <c r="D885" s="11" t="s">
        <v>515</v>
      </c>
      <c r="E885" s="7" t="s">
        <v>121</v>
      </c>
      <c r="F885" s="8" t="s">
        <v>470</v>
      </c>
      <c r="G885" s="49" t="s">
        <v>559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331</v>
      </c>
    </row>
    <row r="886" spans="1:17" s="9" customFormat="1" ht="30" x14ac:dyDescent="0.25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559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331</v>
      </c>
    </row>
    <row r="887" spans="1:17" s="9" customFormat="1" ht="30" x14ac:dyDescent="0.25">
      <c r="A887" s="5">
        <v>168</v>
      </c>
      <c r="B887" s="6">
        <v>654321</v>
      </c>
      <c r="C887" s="30" t="s">
        <v>106</v>
      </c>
      <c r="D887" s="11" t="s">
        <v>519</v>
      </c>
      <c r="E887" s="7" t="s">
        <v>121</v>
      </c>
      <c r="F887" s="8" t="s">
        <v>145</v>
      </c>
      <c r="G887" s="49" t="s">
        <v>559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331</v>
      </c>
    </row>
    <row r="888" spans="1:17" s="9" customFormat="1" ht="30" x14ac:dyDescent="0.25">
      <c r="A888" s="5">
        <v>169</v>
      </c>
      <c r="B888" s="6">
        <v>654321</v>
      </c>
      <c r="C888" s="30" t="s">
        <v>106</v>
      </c>
      <c r="D888" s="11" t="s">
        <v>520</v>
      </c>
      <c r="E888" s="7" t="s">
        <v>121</v>
      </c>
      <c r="F888" s="8" t="s">
        <v>148</v>
      </c>
      <c r="G888" s="49" t="s">
        <v>559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332</v>
      </c>
    </row>
    <row r="889" spans="1:17" s="9" customFormat="1" ht="30" x14ac:dyDescent="0.25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473</v>
      </c>
      <c r="G889" s="49" t="s">
        <v>559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331</v>
      </c>
    </row>
    <row r="890" spans="1:17" s="9" customFormat="1" ht="30" x14ac:dyDescent="0.25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559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331</v>
      </c>
    </row>
    <row r="891" spans="1:17" s="9" customFormat="1" ht="30" x14ac:dyDescent="0.25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559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331</v>
      </c>
    </row>
    <row r="892" spans="1:17" s="9" customFormat="1" ht="30" x14ac:dyDescent="0.25">
      <c r="A892" s="5">
        <v>173</v>
      </c>
      <c r="B892" s="6">
        <v>654321</v>
      </c>
      <c r="C892" s="30" t="s">
        <v>106</v>
      </c>
      <c r="D892" s="11" t="s">
        <v>519</v>
      </c>
      <c r="E892" s="7" t="s">
        <v>126</v>
      </c>
      <c r="F892" s="8" t="s">
        <v>149</v>
      </c>
      <c r="G892" s="49" t="s">
        <v>559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339</v>
      </c>
    </row>
    <row r="893" spans="1:17" s="9" customFormat="1" ht="30" x14ac:dyDescent="0.25">
      <c r="A893" s="5">
        <v>174</v>
      </c>
      <c r="B893" s="6">
        <v>654321</v>
      </c>
      <c r="C893" s="30" t="s">
        <v>106</v>
      </c>
      <c r="D893" s="11" t="s">
        <v>509</v>
      </c>
      <c r="E893" s="7" t="s">
        <v>126</v>
      </c>
      <c r="F893" s="8" t="s">
        <v>150</v>
      </c>
      <c r="G893" s="49" t="s">
        <v>559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339</v>
      </c>
    </row>
    <row r="894" spans="1:17" s="9" customFormat="1" ht="30" x14ac:dyDescent="0.25">
      <c r="A894" s="5">
        <v>175</v>
      </c>
      <c r="B894" s="6">
        <v>654321</v>
      </c>
      <c r="C894" s="30" t="s">
        <v>106</v>
      </c>
      <c r="D894" s="11" t="s">
        <v>512</v>
      </c>
      <c r="E894" s="7" t="s">
        <v>107</v>
      </c>
      <c r="F894" s="8" t="s">
        <v>152</v>
      </c>
      <c r="G894" s="49" t="s">
        <v>559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322</v>
      </c>
    </row>
    <row r="895" spans="1:17" s="9" customFormat="1" ht="30" x14ac:dyDescent="0.25">
      <c r="A895" s="5">
        <v>176</v>
      </c>
      <c r="B895" s="6">
        <v>654321</v>
      </c>
      <c r="C895" s="30" t="s">
        <v>106</v>
      </c>
      <c r="D895" s="11" t="s">
        <v>513</v>
      </c>
      <c r="E895" s="7" t="s">
        <v>107</v>
      </c>
      <c r="F895" s="8" t="s">
        <v>153</v>
      </c>
      <c r="G895" s="49" t="s">
        <v>559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322</v>
      </c>
    </row>
    <row r="896" spans="1:17" s="9" customFormat="1" ht="30" x14ac:dyDescent="0.25">
      <c r="A896" s="5">
        <v>177</v>
      </c>
      <c r="B896" s="6">
        <v>654321</v>
      </c>
      <c r="C896" s="30" t="s">
        <v>106</v>
      </c>
      <c r="D896" s="11" t="s">
        <v>512</v>
      </c>
      <c r="E896" s="7" t="s">
        <v>107</v>
      </c>
      <c r="F896" s="8" t="s">
        <v>151</v>
      </c>
      <c r="G896" s="49" t="s">
        <v>559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324</v>
      </c>
    </row>
    <row r="897" spans="1:17" s="9" customFormat="1" ht="30" x14ac:dyDescent="0.25">
      <c r="A897" s="5">
        <v>178</v>
      </c>
      <c r="B897" s="6">
        <v>654321</v>
      </c>
      <c r="C897" s="30" t="s">
        <v>106</v>
      </c>
      <c r="D897" s="11" t="s">
        <v>512</v>
      </c>
      <c r="E897" s="7" t="s">
        <v>121</v>
      </c>
      <c r="F897" s="8" t="s">
        <v>143</v>
      </c>
      <c r="G897" s="49" t="s">
        <v>559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333</v>
      </c>
    </row>
    <row r="898" spans="1:17" s="9" customFormat="1" ht="30" x14ac:dyDescent="0.25">
      <c r="A898" s="5">
        <v>179</v>
      </c>
      <c r="B898" s="6">
        <v>654321</v>
      </c>
      <c r="C898" s="30" t="s">
        <v>106</v>
      </c>
      <c r="D898" s="11" t="s">
        <v>512</v>
      </c>
      <c r="E898" s="7" t="s">
        <v>121</v>
      </c>
      <c r="F898" s="8" t="s">
        <v>154</v>
      </c>
      <c r="G898" s="49" t="s">
        <v>559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334</v>
      </c>
    </row>
    <row r="899" spans="1:17" s="9" customFormat="1" ht="30" x14ac:dyDescent="0.25">
      <c r="A899" s="5">
        <v>180</v>
      </c>
      <c r="B899" s="6">
        <v>654321</v>
      </c>
      <c r="C899" s="30" t="s">
        <v>106</v>
      </c>
      <c r="D899" s="11" t="s">
        <v>504</v>
      </c>
      <c r="E899" s="7" t="s">
        <v>155</v>
      </c>
      <c r="F899" s="8" t="s">
        <v>524</v>
      </c>
      <c r="G899" s="49" t="s">
        <v>559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348</v>
      </c>
    </row>
    <row r="900" spans="1:17" s="9" customFormat="1" ht="30" x14ac:dyDescent="0.25">
      <c r="A900" s="5">
        <v>181</v>
      </c>
      <c r="B900" s="6">
        <v>654321</v>
      </c>
      <c r="C900" s="30" t="s">
        <v>106</v>
      </c>
      <c r="D900" s="11" t="s">
        <v>525</v>
      </c>
      <c r="E900" s="7" t="s">
        <v>155</v>
      </c>
      <c r="F900" s="8" t="s">
        <v>156</v>
      </c>
      <c r="G900" s="49" t="s">
        <v>559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349</v>
      </c>
    </row>
    <row r="901" spans="1:17" s="9" customFormat="1" ht="30" x14ac:dyDescent="0.25">
      <c r="A901" s="5">
        <v>182</v>
      </c>
      <c r="B901" s="6">
        <v>654321</v>
      </c>
      <c r="C901" s="30" t="s">
        <v>106</v>
      </c>
      <c r="D901" s="11" t="s">
        <v>525</v>
      </c>
      <c r="E901" s="7" t="s">
        <v>155</v>
      </c>
      <c r="F901" s="8" t="s">
        <v>412</v>
      </c>
      <c r="G901" s="49" t="s">
        <v>559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347</v>
      </c>
    </row>
    <row r="902" spans="1:17" s="9" customFormat="1" ht="30" x14ac:dyDescent="0.25">
      <c r="A902" s="5">
        <v>183</v>
      </c>
      <c r="B902" s="6">
        <v>654321</v>
      </c>
      <c r="C902" s="30" t="s">
        <v>106</v>
      </c>
      <c r="D902" s="11" t="s">
        <v>504</v>
      </c>
      <c r="E902" s="7" t="s">
        <v>107</v>
      </c>
      <c r="F902" s="8" t="s">
        <v>502</v>
      </c>
      <c r="G902" s="49" t="s">
        <v>559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325</v>
      </c>
    </row>
    <row r="903" spans="1:17" s="9" customFormat="1" ht="30" x14ac:dyDescent="0.25">
      <c r="A903" s="5">
        <v>184</v>
      </c>
      <c r="B903" s="6">
        <v>654321</v>
      </c>
      <c r="C903" s="30" t="s">
        <v>106</v>
      </c>
      <c r="D903" s="11" t="s">
        <v>504</v>
      </c>
      <c r="E903" s="7" t="s">
        <v>107</v>
      </c>
      <c r="F903" s="35" t="s">
        <v>460</v>
      </c>
      <c r="G903" s="49" t="s">
        <v>559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323</v>
      </c>
    </row>
    <row r="904" spans="1:17" s="9" customFormat="1" ht="30" x14ac:dyDescent="0.25">
      <c r="A904" s="5">
        <v>185</v>
      </c>
      <c r="B904" s="6">
        <v>654321</v>
      </c>
      <c r="C904" s="30" t="s">
        <v>106</v>
      </c>
      <c r="D904" s="11" t="s">
        <v>504</v>
      </c>
      <c r="E904" s="7" t="s">
        <v>107</v>
      </c>
      <c r="F904" s="8" t="s">
        <v>413</v>
      </c>
      <c r="G904" s="49" t="s">
        <v>559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326</v>
      </c>
    </row>
    <row r="905" spans="1:17" s="9" customFormat="1" ht="30" x14ac:dyDescent="0.25">
      <c r="A905" s="5">
        <v>186</v>
      </c>
      <c r="B905" s="6">
        <v>654321</v>
      </c>
      <c r="C905" s="30" t="s">
        <v>106</v>
      </c>
      <c r="D905" s="11" t="s">
        <v>504</v>
      </c>
      <c r="E905" s="7" t="s">
        <v>107</v>
      </c>
      <c r="F905" s="8" t="s">
        <v>161</v>
      </c>
      <c r="G905" s="49" t="s">
        <v>559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327</v>
      </c>
    </row>
    <row r="906" spans="1:17" s="9" customFormat="1" ht="30" x14ac:dyDescent="0.25">
      <c r="A906" s="5">
        <v>187</v>
      </c>
      <c r="B906" s="6">
        <v>654321</v>
      </c>
      <c r="C906" s="30" t="s">
        <v>106</v>
      </c>
      <c r="D906" s="11" t="s">
        <v>504</v>
      </c>
      <c r="E906" s="7" t="s">
        <v>107</v>
      </c>
      <c r="F906" s="8" t="s">
        <v>160</v>
      </c>
      <c r="G906" s="49" t="s">
        <v>559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327</v>
      </c>
    </row>
    <row r="907" spans="1:17" s="9" customFormat="1" ht="30" x14ac:dyDescent="0.25">
      <c r="A907" s="5">
        <v>188</v>
      </c>
      <c r="B907" s="6">
        <v>654321</v>
      </c>
      <c r="C907" s="30" t="s">
        <v>106</v>
      </c>
      <c r="D907" s="11" t="s">
        <v>504</v>
      </c>
      <c r="E907" s="7" t="s">
        <v>107</v>
      </c>
      <c r="F907" s="8" t="s">
        <v>465</v>
      </c>
      <c r="G907" s="49" t="s">
        <v>559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328</v>
      </c>
    </row>
    <row r="908" spans="1:17" s="9" customFormat="1" ht="30" x14ac:dyDescent="0.25">
      <c r="A908" s="5">
        <v>189</v>
      </c>
      <c r="B908" s="6">
        <v>654321</v>
      </c>
      <c r="C908" s="30" t="s">
        <v>106</v>
      </c>
      <c r="D908" s="11" t="s">
        <v>512</v>
      </c>
      <c r="E908" s="7" t="s">
        <v>107</v>
      </c>
      <c r="F908" s="8" t="s">
        <v>158</v>
      </c>
      <c r="G908" s="49" t="s">
        <v>559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323</v>
      </c>
    </row>
    <row r="909" spans="1:17" s="9" customFormat="1" ht="30" x14ac:dyDescent="0.25">
      <c r="A909" s="5">
        <v>190</v>
      </c>
      <c r="B909" s="6">
        <v>654321</v>
      </c>
      <c r="C909" s="30" t="s">
        <v>106</v>
      </c>
      <c r="D909" s="11" t="s">
        <v>511</v>
      </c>
      <c r="E909" s="7" t="s">
        <v>107</v>
      </c>
      <c r="F909" s="8" t="s">
        <v>466</v>
      </c>
      <c r="G909" s="49" t="s">
        <v>559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319</v>
      </c>
    </row>
    <row r="910" spans="1:17" s="9" customFormat="1" ht="30" x14ac:dyDescent="0.25">
      <c r="A910" s="5">
        <v>191</v>
      </c>
      <c r="B910" s="6">
        <v>654321</v>
      </c>
      <c r="C910" s="30" t="s">
        <v>106</v>
      </c>
      <c r="D910" s="11" t="s">
        <v>511</v>
      </c>
      <c r="E910" s="7" t="s">
        <v>107</v>
      </c>
      <c r="F910" s="8" t="s">
        <v>469</v>
      </c>
      <c r="G910" s="49" t="s">
        <v>559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319</v>
      </c>
    </row>
    <row r="911" spans="1:17" s="9" customFormat="1" ht="30" x14ac:dyDescent="0.25">
      <c r="A911" s="5">
        <v>192</v>
      </c>
      <c r="B911" s="6">
        <v>654321</v>
      </c>
      <c r="C911" s="30" t="s">
        <v>106</v>
      </c>
      <c r="D911" s="11" t="s">
        <v>511</v>
      </c>
      <c r="E911" s="7" t="s">
        <v>107</v>
      </c>
      <c r="F911" s="34" t="s">
        <v>118</v>
      </c>
      <c r="G911" s="49" t="s">
        <v>559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30" x14ac:dyDescent="0.25">
      <c r="A912" s="5">
        <v>193</v>
      </c>
      <c r="B912" s="6">
        <v>654321</v>
      </c>
      <c r="C912" s="30" t="s">
        <v>106</v>
      </c>
      <c r="D912" s="11" t="s">
        <v>504</v>
      </c>
      <c r="E912" s="7" t="s">
        <v>107</v>
      </c>
      <c r="F912" s="8" t="s">
        <v>159</v>
      </c>
      <c r="G912" s="49" t="s">
        <v>559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329</v>
      </c>
    </row>
    <row r="913" spans="1:17" s="9" customFormat="1" ht="30" x14ac:dyDescent="0.25">
      <c r="A913" s="5">
        <v>194</v>
      </c>
      <c r="B913" s="6">
        <v>654321</v>
      </c>
      <c r="C913" s="30" t="s">
        <v>106</v>
      </c>
      <c r="D913" s="11" t="s">
        <v>504</v>
      </c>
      <c r="E913" s="7" t="s">
        <v>121</v>
      </c>
      <c r="F913" s="8" t="s">
        <v>164</v>
      </c>
      <c r="G913" s="49" t="s">
        <v>559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335</v>
      </c>
    </row>
    <row r="914" spans="1:17" s="9" customFormat="1" ht="30" x14ac:dyDescent="0.25">
      <c r="A914" s="5">
        <v>195</v>
      </c>
      <c r="B914" s="6">
        <v>654321</v>
      </c>
      <c r="C914" s="30" t="s">
        <v>106</v>
      </c>
      <c r="D914" s="11" t="s">
        <v>504</v>
      </c>
      <c r="E914" s="7" t="s">
        <v>121</v>
      </c>
      <c r="F914" s="8" t="s">
        <v>165</v>
      </c>
      <c r="G914" s="49" t="s">
        <v>559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335</v>
      </c>
    </row>
    <row r="915" spans="1:17" s="9" customFormat="1" ht="30" x14ac:dyDescent="0.25">
      <c r="A915" s="5">
        <v>196</v>
      </c>
      <c r="B915" s="6">
        <v>654321</v>
      </c>
      <c r="C915" s="30" t="s">
        <v>106</v>
      </c>
      <c r="D915" s="11" t="s">
        <v>504</v>
      </c>
      <c r="E915" s="7" t="s">
        <v>121</v>
      </c>
      <c r="F915" s="8" t="s">
        <v>166</v>
      </c>
      <c r="G915" s="49" t="s">
        <v>559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336</v>
      </c>
    </row>
    <row r="916" spans="1:17" s="9" customFormat="1" ht="30" x14ac:dyDescent="0.25">
      <c r="A916" s="5">
        <v>197</v>
      </c>
      <c r="B916" s="6">
        <v>654321</v>
      </c>
      <c r="C916" s="30" t="s">
        <v>106</v>
      </c>
      <c r="D916" s="11" t="s">
        <v>504</v>
      </c>
      <c r="E916" s="7" t="s">
        <v>121</v>
      </c>
      <c r="F916" s="8" t="s">
        <v>167</v>
      </c>
      <c r="G916" s="49" t="s">
        <v>559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335</v>
      </c>
    </row>
    <row r="917" spans="1:17" s="9" customFormat="1" ht="30" x14ac:dyDescent="0.25">
      <c r="A917" s="5">
        <v>198</v>
      </c>
      <c r="B917" s="6">
        <v>654321</v>
      </c>
      <c r="C917" s="30" t="s">
        <v>106</v>
      </c>
      <c r="D917" s="11" t="s">
        <v>512</v>
      </c>
      <c r="E917" s="7" t="s">
        <v>155</v>
      </c>
      <c r="F917" s="8" t="s">
        <v>168</v>
      </c>
      <c r="G917" s="49" t="s">
        <v>559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351</v>
      </c>
    </row>
    <row r="918" spans="1:17" s="9" customFormat="1" ht="30" x14ac:dyDescent="0.25">
      <c r="A918" s="5">
        <v>199</v>
      </c>
      <c r="B918" s="6">
        <v>654321</v>
      </c>
      <c r="C918" s="30" t="s">
        <v>106</v>
      </c>
      <c r="D918" s="11" t="s">
        <v>512</v>
      </c>
      <c r="E918" s="7" t="s">
        <v>155</v>
      </c>
      <c r="F918" s="8" t="s">
        <v>479</v>
      </c>
      <c r="G918" s="49" t="s">
        <v>559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350</v>
      </c>
    </row>
    <row r="919" spans="1:17" s="9" customFormat="1" ht="30" x14ac:dyDescent="0.25">
      <c r="A919" s="5">
        <v>200</v>
      </c>
      <c r="B919" s="6">
        <v>654321</v>
      </c>
      <c r="C919" s="30" t="s">
        <v>106</v>
      </c>
      <c r="D919" s="11" t="s">
        <v>526</v>
      </c>
      <c r="E919" s="7" t="s">
        <v>155</v>
      </c>
      <c r="F919" s="8" t="s">
        <v>414</v>
      </c>
      <c r="G919" s="49" t="s">
        <v>559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350</v>
      </c>
    </row>
    <row r="920" spans="1:17" s="9" customFormat="1" ht="30" x14ac:dyDescent="0.25">
      <c r="A920" s="5">
        <v>201</v>
      </c>
      <c r="B920" s="6">
        <v>654321</v>
      </c>
      <c r="C920" s="30" t="s">
        <v>106</v>
      </c>
      <c r="D920" s="11" t="s">
        <v>504</v>
      </c>
      <c r="E920" s="7" t="s">
        <v>155</v>
      </c>
      <c r="F920" s="8" t="s">
        <v>162</v>
      </c>
      <c r="G920" s="49" t="s">
        <v>559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351</v>
      </c>
    </row>
    <row r="921" spans="1:17" s="9" customFormat="1" ht="30" x14ac:dyDescent="0.25">
      <c r="A921" s="5">
        <v>202</v>
      </c>
      <c r="B921" s="6">
        <v>654321</v>
      </c>
      <c r="C921" s="30" t="s">
        <v>106</v>
      </c>
      <c r="D921" s="11" t="s">
        <v>504</v>
      </c>
      <c r="E921" s="7" t="s">
        <v>155</v>
      </c>
      <c r="F921" s="8" t="s">
        <v>163</v>
      </c>
      <c r="G921" s="49" t="s">
        <v>559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351</v>
      </c>
    </row>
    <row r="922" spans="1:17" s="9" customFormat="1" ht="30" x14ac:dyDescent="0.25">
      <c r="A922" s="5">
        <v>203</v>
      </c>
      <c r="B922" s="6">
        <v>654321</v>
      </c>
      <c r="C922" s="30" t="s">
        <v>106</v>
      </c>
      <c r="D922" s="11" t="s">
        <v>504</v>
      </c>
      <c r="E922" s="7" t="s">
        <v>126</v>
      </c>
      <c r="F922" s="8" t="s">
        <v>527</v>
      </c>
      <c r="G922" s="49" t="s">
        <v>559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341</v>
      </c>
    </row>
    <row r="923" spans="1:17" s="9" customFormat="1" ht="30" x14ac:dyDescent="0.25">
      <c r="A923" s="5">
        <v>204</v>
      </c>
      <c r="B923" s="6">
        <v>654321</v>
      </c>
      <c r="C923" s="30" t="s">
        <v>106</v>
      </c>
      <c r="D923" s="11" t="s">
        <v>504</v>
      </c>
      <c r="E923" s="7" t="s">
        <v>126</v>
      </c>
      <c r="F923" s="8" t="s">
        <v>173</v>
      </c>
      <c r="G923" s="49" t="s">
        <v>559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342</v>
      </c>
    </row>
    <row r="924" spans="1:17" s="9" customFormat="1" ht="30" x14ac:dyDescent="0.25">
      <c r="A924" s="5">
        <v>205</v>
      </c>
      <c r="B924" s="6">
        <v>654321</v>
      </c>
      <c r="C924" s="30" t="s">
        <v>106</v>
      </c>
      <c r="D924" s="11" t="s">
        <v>516</v>
      </c>
      <c r="E924" s="7" t="s">
        <v>126</v>
      </c>
      <c r="F924" s="8" t="s">
        <v>175</v>
      </c>
      <c r="G924" s="49" t="s">
        <v>559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340</v>
      </c>
    </row>
    <row r="925" spans="1:17" s="9" customFormat="1" ht="30" x14ac:dyDescent="0.25">
      <c r="A925" s="5">
        <v>206</v>
      </c>
      <c r="B925" s="6">
        <v>654321</v>
      </c>
      <c r="C925" s="30" t="s">
        <v>106</v>
      </c>
      <c r="D925" s="11" t="s">
        <v>504</v>
      </c>
      <c r="E925" s="7" t="s">
        <v>126</v>
      </c>
      <c r="F925" s="8" t="s">
        <v>176</v>
      </c>
      <c r="G925" s="49" t="s">
        <v>559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340</v>
      </c>
    </row>
    <row r="926" spans="1:17" s="9" customFormat="1" ht="30" x14ac:dyDescent="0.25">
      <c r="A926" s="5">
        <v>207</v>
      </c>
      <c r="B926" s="6">
        <v>654321</v>
      </c>
      <c r="C926" s="30" t="s">
        <v>106</v>
      </c>
      <c r="D926" s="11" t="s">
        <v>504</v>
      </c>
      <c r="E926" s="7" t="s">
        <v>126</v>
      </c>
      <c r="F926" s="8" t="s">
        <v>529</v>
      </c>
      <c r="G926" s="49" t="s">
        <v>559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341</v>
      </c>
    </row>
    <row r="927" spans="1:17" s="9" customFormat="1" ht="30" x14ac:dyDescent="0.25">
      <c r="A927" s="5">
        <v>208</v>
      </c>
      <c r="B927" s="6">
        <v>654321</v>
      </c>
      <c r="C927" s="30" t="s">
        <v>106</v>
      </c>
      <c r="D927" s="11" t="s">
        <v>504</v>
      </c>
      <c r="E927" s="7" t="s">
        <v>126</v>
      </c>
      <c r="F927" s="8" t="s">
        <v>169</v>
      </c>
      <c r="G927" s="49" t="s">
        <v>559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343</v>
      </c>
    </row>
    <row r="928" spans="1:17" s="9" customFormat="1" ht="30" x14ac:dyDescent="0.25">
      <c r="A928" s="5">
        <v>209</v>
      </c>
      <c r="B928" s="6">
        <v>654321</v>
      </c>
      <c r="C928" s="30" t="s">
        <v>106</v>
      </c>
      <c r="D928" s="11" t="s">
        <v>504</v>
      </c>
      <c r="E928" s="7" t="s">
        <v>126</v>
      </c>
      <c r="F928" s="8" t="s">
        <v>174</v>
      </c>
      <c r="G928" s="49" t="s">
        <v>559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343</v>
      </c>
    </row>
    <row r="929" spans="1:17" s="9" customFormat="1" ht="30" x14ac:dyDescent="0.25">
      <c r="A929" s="5">
        <v>210</v>
      </c>
      <c r="B929" s="6">
        <v>654321</v>
      </c>
      <c r="C929" s="30" t="s">
        <v>106</v>
      </c>
      <c r="D929" s="11" t="s">
        <v>504</v>
      </c>
      <c r="E929" s="7" t="s">
        <v>126</v>
      </c>
      <c r="F929" s="8" t="s">
        <v>545</v>
      </c>
      <c r="G929" s="49" t="s">
        <v>559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342</v>
      </c>
    </row>
    <row r="930" spans="1:17" s="9" customFormat="1" ht="30" x14ac:dyDescent="0.25">
      <c r="A930" s="5">
        <v>211</v>
      </c>
      <c r="B930" s="6">
        <v>654321</v>
      </c>
      <c r="C930" s="30" t="s">
        <v>106</v>
      </c>
      <c r="D930" s="11" t="s">
        <v>504</v>
      </c>
      <c r="E930" s="7" t="s">
        <v>126</v>
      </c>
      <c r="F930" s="8" t="s">
        <v>177</v>
      </c>
      <c r="G930" s="49" t="s">
        <v>559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343</v>
      </c>
    </row>
    <row r="931" spans="1:17" s="9" customFormat="1" ht="30" x14ac:dyDescent="0.25">
      <c r="A931" s="5">
        <v>212</v>
      </c>
      <c r="B931" s="6">
        <v>654321</v>
      </c>
      <c r="C931" s="30" t="s">
        <v>106</v>
      </c>
      <c r="D931" s="11" t="s">
        <v>504</v>
      </c>
      <c r="E931" s="7" t="s">
        <v>126</v>
      </c>
      <c r="F931" s="8" t="s">
        <v>170</v>
      </c>
      <c r="G931" s="49" t="s">
        <v>559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342</v>
      </c>
    </row>
    <row r="932" spans="1:17" s="9" customFormat="1" ht="30" x14ac:dyDescent="0.25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547</v>
      </c>
      <c r="G932" s="49" t="s">
        <v>559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342</v>
      </c>
    </row>
    <row r="933" spans="1:17" s="9" customFormat="1" ht="30" x14ac:dyDescent="0.25">
      <c r="A933" s="5">
        <v>214</v>
      </c>
      <c r="B933" s="6">
        <v>654321</v>
      </c>
      <c r="C933" s="30" t="s">
        <v>106</v>
      </c>
      <c r="D933" s="11" t="s">
        <v>504</v>
      </c>
      <c r="E933" s="7" t="s">
        <v>126</v>
      </c>
      <c r="F933" s="8" t="s">
        <v>172</v>
      </c>
      <c r="G933" s="49" t="s">
        <v>559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340</v>
      </c>
    </row>
    <row r="934" spans="1:17" s="9" customFormat="1" ht="30" x14ac:dyDescent="0.25">
      <c r="A934" s="5">
        <v>215</v>
      </c>
      <c r="B934" s="6">
        <v>654321</v>
      </c>
      <c r="C934" s="30" t="s">
        <v>106</v>
      </c>
      <c r="D934" s="11" t="s">
        <v>504</v>
      </c>
      <c r="E934" s="7" t="s">
        <v>126</v>
      </c>
      <c r="F934" s="8" t="s">
        <v>178</v>
      </c>
      <c r="G934" s="49" t="s">
        <v>559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342</v>
      </c>
    </row>
    <row r="935" spans="1:17" s="9" customFormat="1" ht="30" x14ac:dyDescent="0.25">
      <c r="A935" s="5">
        <v>216</v>
      </c>
      <c r="B935" s="6">
        <v>654321</v>
      </c>
      <c r="C935" s="30" t="s">
        <v>106</v>
      </c>
      <c r="D935" s="11" t="s">
        <v>504</v>
      </c>
      <c r="E935" s="7" t="s">
        <v>126</v>
      </c>
      <c r="F935" s="8" t="s">
        <v>171</v>
      </c>
      <c r="G935" s="49" t="s">
        <v>559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342</v>
      </c>
    </row>
    <row r="936" spans="1:17" s="9" customFormat="1" ht="30" x14ac:dyDescent="0.25">
      <c r="A936" s="5">
        <v>217</v>
      </c>
      <c r="B936" s="6">
        <v>654321</v>
      </c>
      <c r="C936" s="30" t="s">
        <v>106</v>
      </c>
      <c r="D936" s="11" t="s">
        <v>504</v>
      </c>
      <c r="E936" s="7" t="s">
        <v>107</v>
      </c>
      <c r="F936" s="8" t="s">
        <v>180</v>
      </c>
      <c r="G936" s="49" t="s">
        <v>559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 ht="30" x14ac:dyDescent="0.25">
      <c r="A937" s="5">
        <v>218</v>
      </c>
      <c r="B937" s="6">
        <v>654321</v>
      </c>
      <c r="C937" s="30" t="s">
        <v>106</v>
      </c>
      <c r="D937" s="11" t="s">
        <v>507</v>
      </c>
      <c r="E937" s="7" t="s">
        <v>107</v>
      </c>
      <c r="F937" s="8" t="s">
        <v>463</v>
      </c>
      <c r="G937" s="49" t="s">
        <v>559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 ht="30" x14ac:dyDescent="0.25">
      <c r="A938" s="5">
        <v>219</v>
      </c>
      <c r="B938" s="6">
        <v>654321</v>
      </c>
      <c r="C938" s="30" t="s">
        <v>106</v>
      </c>
      <c r="D938" s="11" t="s">
        <v>504</v>
      </c>
      <c r="E938" s="7" t="s">
        <v>126</v>
      </c>
      <c r="F938" s="8" t="s">
        <v>182</v>
      </c>
      <c r="G938" s="49" t="s">
        <v>559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345</v>
      </c>
    </row>
    <row r="939" spans="1:17" s="9" customFormat="1" ht="30" x14ac:dyDescent="0.25">
      <c r="A939" s="5">
        <v>220</v>
      </c>
      <c r="B939" s="6">
        <v>654321</v>
      </c>
      <c r="C939" s="30" t="s">
        <v>106</v>
      </c>
      <c r="D939" s="11" t="s">
        <v>504</v>
      </c>
      <c r="E939" s="7" t="s">
        <v>107</v>
      </c>
      <c r="F939" s="8" t="s">
        <v>179</v>
      </c>
      <c r="G939" s="49" t="s">
        <v>559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330</v>
      </c>
    </row>
    <row r="940" spans="1:17" s="9" customFormat="1" ht="30" x14ac:dyDescent="0.25">
      <c r="A940" s="5">
        <v>221</v>
      </c>
      <c r="B940" s="6">
        <v>654321</v>
      </c>
      <c r="C940" s="30" t="s">
        <v>106</v>
      </c>
      <c r="D940" s="11" t="s">
        <v>504</v>
      </c>
      <c r="E940" s="7" t="s">
        <v>121</v>
      </c>
      <c r="F940" s="8" t="s">
        <v>184</v>
      </c>
      <c r="G940" s="49" t="s">
        <v>559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337</v>
      </c>
    </row>
    <row r="941" spans="1:17" s="9" customFormat="1" ht="30" x14ac:dyDescent="0.25">
      <c r="A941" s="5">
        <v>222</v>
      </c>
      <c r="B941" s="6">
        <v>654321</v>
      </c>
      <c r="C941" s="30" t="s">
        <v>106</v>
      </c>
      <c r="D941" s="11" t="s">
        <v>516</v>
      </c>
      <c r="E941" s="7" t="s">
        <v>121</v>
      </c>
      <c r="F941" s="8" t="s">
        <v>185</v>
      </c>
      <c r="G941" s="49" t="s">
        <v>559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338</v>
      </c>
    </row>
    <row r="942" spans="1:17" s="9" customFormat="1" ht="30" x14ac:dyDescent="0.25">
      <c r="A942" s="5">
        <v>223</v>
      </c>
      <c r="B942" s="6">
        <v>654321</v>
      </c>
      <c r="C942" s="30" t="s">
        <v>106</v>
      </c>
      <c r="D942" s="11" t="s">
        <v>504</v>
      </c>
      <c r="E942" s="7" t="s">
        <v>121</v>
      </c>
      <c r="F942" s="8" t="s">
        <v>517</v>
      </c>
      <c r="G942" s="49" t="s">
        <v>559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338</v>
      </c>
    </row>
    <row r="943" spans="1:17" s="9" customFormat="1" ht="30" x14ac:dyDescent="0.25">
      <c r="A943" s="5">
        <v>224</v>
      </c>
      <c r="B943" s="6">
        <v>654321</v>
      </c>
      <c r="C943" s="30" t="s">
        <v>106</v>
      </c>
      <c r="D943" s="11" t="s">
        <v>504</v>
      </c>
      <c r="E943" s="7" t="s">
        <v>121</v>
      </c>
      <c r="F943" s="8" t="s">
        <v>518</v>
      </c>
      <c r="G943" s="49" t="s">
        <v>559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338</v>
      </c>
    </row>
    <row r="944" spans="1:17" s="9" customFormat="1" ht="30" x14ac:dyDescent="0.25">
      <c r="A944" s="5">
        <v>225</v>
      </c>
      <c r="B944" s="6">
        <v>654321</v>
      </c>
      <c r="C944" s="30" t="s">
        <v>106</v>
      </c>
      <c r="D944" s="11" t="s">
        <v>504</v>
      </c>
      <c r="E944" s="7" t="s">
        <v>121</v>
      </c>
      <c r="F944" s="8" t="s">
        <v>183</v>
      </c>
      <c r="G944" s="49" t="s">
        <v>559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338</v>
      </c>
    </row>
    <row r="945" spans="1:17" s="9" customFormat="1" ht="30" x14ac:dyDescent="0.25">
      <c r="A945" s="5">
        <v>226</v>
      </c>
      <c r="B945" s="6">
        <v>654321</v>
      </c>
      <c r="C945" s="30" t="s">
        <v>106</v>
      </c>
      <c r="D945" s="11" t="s">
        <v>504</v>
      </c>
      <c r="E945" s="7" t="s">
        <v>121</v>
      </c>
      <c r="F945" s="8" t="s">
        <v>521</v>
      </c>
      <c r="G945" s="49" t="s">
        <v>559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338</v>
      </c>
    </row>
    <row r="946" spans="1:17" s="9" customFormat="1" ht="30" x14ac:dyDescent="0.25">
      <c r="A946" s="5">
        <v>227</v>
      </c>
      <c r="B946" s="6">
        <v>654321</v>
      </c>
      <c r="C946" s="30" t="s">
        <v>106</v>
      </c>
      <c r="D946" s="11" t="s">
        <v>504</v>
      </c>
      <c r="E946" s="7" t="s">
        <v>121</v>
      </c>
      <c r="F946" s="8" t="s">
        <v>522</v>
      </c>
      <c r="G946" s="49" t="s">
        <v>559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338</v>
      </c>
    </row>
    <row r="947" spans="1:17" s="9" customFormat="1" ht="30" x14ac:dyDescent="0.25">
      <c r="A947" s="5">
        <v>228</v>
      </c>
      <c r="B947" s="6">
        <v>654321</v>
      </c>
      <c r="C947" s="30" t="s">
        <v>106</v>
      </c>
      <c r="D947" s="11" t="s">
        <v>504</v>
      </c>
      <c r="E947" s="7" t="s">
        <v>121</v>
      </c>
      <c r="F947" s="8" t="s">
        <v>523</v>
      </c>
      <c r="G947" s="49" t="s">
        <v>559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338</v>
      </c>
    </row>
    <row r="948" spans="1:17" s="9" customFormat="1" ht="30" x14ac:dyDescent="0.25">
      <c r="A948" s="5">
        <v>229</v>
      </c>
      <c r="B948" s="6">
        <v>654321</v>
      </c>
      <c r="C948" s="30" t="s">
        <v>106</v>
      </c>
      <c r="D948" s="11" t="s">
        <v>504</v>
      </c>
      <c r="E948" s="7" t="s">
        <v>155</v>
      </c>
      <c r="F948" s="8" t="s">
        <v>186</v>
      </c>
      <c r="G948" s="49" t="s">
        <v>559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352</v>
      </c>
    </row>
    <row r="949" spans="1:17" s="9" customFormat="1" ht="30" x14ac:dyDescent="0.25">
      <c r="A949" s="5">
        <v>230</v>
      </c>
      <c r="B949" s="6">
        <v>654321</v>
      </c>
      <c r="C949" s="30" t="s">
        <v>106</v>
      </c>
      <c r="D949" s="11" t="s">
        <v>504</v>
      </c>
      <c r="E949" s="7" t="s">
        <v>155</v>
      </c>
      <c r="F949" s="8" t="s">
        <v>181</v>
      </c>
      <c r="G949" s="49" t="s">
        <v>559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352</v>
      </c>
    </row>
    <row r="950" spans="1:17" s="9" customFormat="1" ht="30" x14ac:dyDescent="0.25">
      <c r="A950" s="5">
        <v>231</v>
      </c>
      <c r="B950" s="6">
        <v>654321</v>
      </c>
      <c r="C950" s="30" t="s">
        <v>106</v>
      </c>
      <c r="D950" s="11" t="s">
        <v>504</v>
      </c>
      <c r="E950" s="7" t="s">
        <v>155</v>
      </c>
      <c r="F950" s="8" t="s">
        <v>480</v>
      </c>
      <c r="G950" s="49" t="s">
        <v>559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353</v>
      </c>
    </row>
    <row r="951" spans="1:17" s="9" customFormat="1" ht="30" x14ac:dyDescent="0.25">
      <c r="A951" s="5">
        <v>232</v>
      </c>
      <c r="B951" s="6">
        <v>654321</v>
      </c>
      <c r="C951" s="30" t="s">
        <v>106</v>
      </c>
      <c r="D951" s="11" t="s">
        <v>504</v>
      </c>
      <c r="E951" s="7" t="s">
        <v>126</v>
      </c>
      <c r="F951" s="8" t="s">
        <v>546</v>
      </c>
      <c r="G951" s="49" t="s">
        <v>559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346</v>
      </c>
    </row>
    <row r="952" spans="1:17" s="9" customFormat="1" ht="30" x14ac:dyDescent="0.25">
      <c r="A952" s="5">
        <v>233</v>
      </c>
      <c r="B952" s="6">
        <v>654321</v>
      </c>
      <c r="C952" s="30" t="s">
        <v>106</v>
      </c>
      <c r="D952" s="11" t="s">
        <v>504</v>
      </c>
      <c r="E952" s="7" t="s">
        <v>126</v>
      </c>
      <c r="F952" s="8" t="s">
        <v>187</v>
      </c>
      <c r="G952" s="49" t="s">
        <v>559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344</v>
      </c>
    </row>
    <row r="953" spans="1:17" ht="30" x14ac:dyDescent="0.25">
      <c r="A953" s="5">
        <v>234</v>
      </c>
      <c r="B953" s="6">
        <v>654321</v>
      </c>
      <c r="C953" s="30" t="s">
        <v>106</v>
      </c>
      <c r="D953" s="11" t="s">
        <v>504</v>
      </c>
      <c r="E953" s="7" t="s">
        <v>532</v>
      </c>
      <c r="F953" s="32" t="s">
        <v>548</v>
      </c>
      <c r="G953" s="49" t="s">
        <v>559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30" x14ac:dyDescent="0.25">
      <c r="A954" s="5">
        <v>235</v>
      </c>
      <c r="B954" s="6">
        <v>654321</v>
      </c>
      <c r="C954" s="30" t="s">
        <v>106</v>
      </c>
      <c r="D954" s="11" t="s">
        <v>504</v>
      </c>
      <c r="E954" s="7" t="s">
        <v>532</v>
      </c>
      <c r="F954" s="32" t="s">
        <v>481</v>
      </c>
      <c r="G954" s="49" t="s">
        <v>559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30" x14ac:dyDescent="0.25">
      <c r="A955" s="5">
        <v>236</v>
      </c>
      <c r="B955" s="6">
        <v>654321</v>
      </c>
      <c r="C955" s="30" t="s">
        <v>106</v>
      </c>
      <c r="D955" s="11" t="s">
        <v>504</v>
      </c>
      <c r="E955" s="7" t="s">
        <v>532</v>
      </c>
      <c r="F955" s="32" t="s">
        <v>482</v>
      </c>
      <c r="G955" s="49" t="s">
        <v>559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30" x14ac:dyDescent="0.25">
      <c r="A956" s="5">
        <v>237</v>
      </c>
      <c r="B956" s="6">
        <v>654321</v>
      </c>
      <c r="C956" s="30" t="s">
        <v>106</v>
      </c>
      <c r="D956" s="11" t="s">
        <v>504</v>
      </c>
      <c r="E956" s="7" t="s">
        <v>532</v>
      </c>
      <c r="F956" s="32" t="s">
        <v>484</v>
      </c>
      <c r="G956" s="49" t="s">
        <v>559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30" x14ac:dyDescent="0.25">
      <c r="A957" s="5">
        <v>238</v>
      </c>
      <c r="B957" s="6">
        <v>654321</v>
      </c>
      <c r="C957" s="30" t="s">
        <v>106</v>
      </c>
      <c r="D957" s="11" t="s">
        <v>504</v>
      </c>
      <c r="E957" s="7" t="s">
        <v>532</v>
      </c>
      <c r="F957" s="32" t="s">
        <v>533</v>
      </c>
      <c r="G957" s="49" t="s">
        <v>559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30" x14ac:dyDescent="0.25">
      <c r="A958" s="5">
        <v>239</v>
      </c>
      <c r="B958" s="6">
        <v>654321</v>
      </c>
      <c r="C958" s="30" t="s">
        <v>106</v>
      </c>
      <c r="D958" s="11" t="s">
        <v>504</v>
      </c>
      <c r="E958" s="7" t="s">
        <v>532</v>
      </c>
      <c r="F958" s="32" t="s">
        <v>485</v>
      </c>
      <c r="G958" s="49" t="s">
        <v>559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30" x14ac:dyDescent="0.25">
      <c r="A959" s="5">
        <v>240</v>
      </c>
      <c r="B959" s="6">
        <v>654321</v>
      </c>
      <c r="C959" s="30" t="s">
        <v>106</v>
      </c>
      <c r="D959" s="11" t="s">
        <v>504</v>
      </c>
      <c r="E959" s="7" t="s">
        <v>532</v>
      </c>
      <c r="F959" s="32" t="s">
        <v>486</v>
      </c>
      <c r="G959" s="49" t="s">
        <v>559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30" x14ac:dyDescent="0.25">
      <c r="A960" s="5">
        <v>241</v>
      </c>
      <c r="B960" s="6">
        <v>654321</v>
      </c>
      <c r="C960" s="30" t="s">
        <v>106</v>
      </c>
      <c r="D960" s="11" t="s">
        <v>504</v>
      </c>
      <c r="E960" s="7" t="s">
        <v>532</v>
      </c>
      <c r="F960" s="32" t="s">
        <v>487</v>
      </c>
      <c r="G960" s="49" t="s">
        <v>559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0" x14ac:dyDescent="0.25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420</v>
      </c>
      <c r="G961" s="48" t="s">
        <v>560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552</v>
      </c>
    </row>
    <row r="962" spans="1:17" s="9" customFormat="1" ht="30" x14ac:dyDescent="0.25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560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552</v>
      </c>
    </row>
    <row r="963" spans="1:17" s="9" customFormat="1" ht="30" x14ac:dyDescent="0.25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549</v>
      </c>
      <c r="G963" s="48" t="s">
        <v>560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553</v>
      </c>
    </row>
    <row r="964" spans="1:17" s="9" customFormat="1" ht="30" x14ac:dyDescent="0.25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489</v>
      </c>
      <c r="G964" s="48" t="s">
        <v>560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553</v>
      </c>
    </row>
    <row r="965" spans="1:17" s="9" customFormat="1" ht="30" x14ac:dyDescent="0.25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554</v>
      </c>
      <c r="G965" s="48" t="s">
        <v>560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553</v>
      </c>
    </row>
    <row r="966" spans="1:17" s="9" customFormat="1" ht="30" x14ac:dyDescent="0.25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367</v>
      </c>
      <c r="G966" s="48" t="s">
        <v>560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237</v>
      </c>
    </row>
    <row r="967" spans="1:17" s="9" customFormat="1" x14ac:dyDescent="0.25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439</v>
      </c>
      <c r="G967" s="48" t="s">
        <v>560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x14ac:dyDescent="0.25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368</v>
      </c>
      <c r="G968" s="48" t="s">
        <v>560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x14ac:dyDescent="0.25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366</v>
      </c>
      <c r="G969" s="48" t="s">
        <v>560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235</v>
      </c>
    </row>
    <row r="970" spans="1:17" s="9" customFormat="1" ht="30" x14ac:dyDescent="0.25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560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537</v>
      </c>
    </row>
    <row r="971" spans="1:17" s="9" customFormat="1" ht="30" x14ac:dyDescent="0.25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236</v>
      </c>
      <c r="G971" s="48" t="s">
        <v>560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538</v>
      </c>
    </row>
    <row r="972" spans="1:17" s="9" customFormat="1" ht="30" x14ac:dyDescent="0.25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560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537</v>
      </c>
    </row>
    <row r="973" spans="1:17" s="9" customFormat="1" ht="30" x14ac:dyDescent="0.25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365</v>
      </c>
      <c r="G973" s="48" t="s">
        <v>560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537</v>
      </c>
    </row>
    <row r="974" spans="1:17" s="9" customFormat="1" ht="30" x14ac:dyDescent="0.25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440</v>
      </c>
      <c r="G974" s="48" t="s">
        <v>560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240</v>
      </c>
    </row>
    <row r="975" spans="1:17" s="9" customFormat="1" ht="30" x14ac:dyDescent="0.25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494</v>
      </c>
      <c r="G975" s="48" t="s">
        <v>560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240</v>
      </c>
    </row>
    <row r="976" spans="1:17" s="9" customFormat="1" ht="30" x14ac:dyDescent="0.25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241</v>
      </c>
      <c r="G976" s="48" t="s">
        <v>560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0</v>
      </c>
      <c r="P976" s="137">
        <f t="shared" si="73"/>
        <v>0</v>
      </c>
      <c r="Q976" s="13" t="s">
        <v>238</v>
      </c>
    </row>
    <row r="977" spans="1:17" s="9" customFormat="1" ht="30" x14ac:dyDescent="0.25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369</v>
      </c>
      <c r="G977" s="48" t="s">
        <v>560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242</v>
      </c>
    </row>
    <row r="978" spans="1:17" s="9" customFormat="1" ht="30" x14ac:dyDescent="0.25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560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243</v>
      </c>
    </row>
    <row r="979" spans="1:17" s="9" customFormat="1" ht="30" x14ac:dyDescent="0.25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442</v>
      </c>
      <c r="G979" s="48" t="s">
        <v>560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243</v>
      </c>
    </row>
    <row r="980" spans="1:17" s="9" customFormat="1" ht="30" x14ac:dyDescent="0.25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496</v>
      </c>
      <c r="G980" s="48" t="s">
        <v>560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243</v>
      </c>
    </row>
    <row r="981" spans="1:17" s="9" customFormat="1" ht="30" x14ac:dyDescent="0.25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540</v>
      </c>
      <c r="G981" s="48" t="s">
        <v>560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243</v>
      </c>
    </row>
    <row r="982" spans="1:17" s="9" customFormat="1" ht="30" x14ac:dyDescent="0.25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539</v>
      </c>
      <c r="G982" s="48" t="s">
        <v>560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244</v>
      </c>
    </row>
    <row r="983" spans="1:17" s="9" customFormat="1" ht="30" x14ac:dyDescent="0.25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560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246</v>
      </c>
    </row>
    <row r="984" spans="1:17" s="9" customFormat="1" ht="30" x14ac:dyDescent="0.25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493</v>
      </c>
      <c r="G984" s="48" t="s">
        <v>560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0</v>
      </c>
      <c r="P984" s="137">
        <f t="shared" si="73"/>
        <v>0</v>
      </c>
      <c r="Q984" s="13" t="s">
        <v>238</v>
      </c>
    </row>
    <row r="985" spans="1:17" s="9" customFormat="1" x14ac:dyDescent="0.25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560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541</v>
      </c>
    </row>
    <row r="986" spans="1:17" s="9" customFormat="1" ht="30" x14ac:dyDescent="0.25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560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245</v>
      </c>
    </row>
    <row r="987" spans="1:17" s="9" customFormat="1" ht="30" x14ac:dyDescent="0.25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560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245</v>
      </c>
    </row>
    <row r="988" spans="1:17" s="9" customFormat="1" ht="30" x14ac:dyDescent="0.25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560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245</v>
      </c>
    </row>
    <row r="989" spans="1:17" s="9" customFormat="1" ht="30" x14ac:dyDescent="0.25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560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245</v>
      </c>
    </row>
    <row r="990" spans="1:17" s="9" customFormat="1" ht="30" x14ac:dyDescent="0.25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560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245</v>
      </c>
    </row>
    <row r="991" spans="1:17" s="9" customFormat="1" ht="30" x14ac:dyDescent="0.25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560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0</v>
      </c>
      <c r="P991" s="137">
        <f t="shared" si="73"/>
        <v>0</v>
      </c>
      <c r="Q991" s="13" t="s">
        <v>238</v>
      </c>
    </row>
    <row r="992" spans="1:17" s="9" customFormat="1" ht="30" x14ac:dyDescent="0.25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432</v>
      </c>
      <c r="G992" s="48" t="s">
        <v>560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247</v>
      </c>
    </row>
    <row r="993" spans="1:17" s="9" customFormat="1" ht="30" x14ac:dyDescent="0.25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438</v>
      </c>
      <c r="G993" s="48" t="s">
        <v>560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245</v>
      </c>
    </row>
    <row r="994" spans="1:17" s="9" customFormat="1" ht="30" x14ac:dyDescent="0.25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434</v>
      </c>
      <c r="G994" s="48" t="s">
        <v>560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247</v>
      </c>
    </row>
    <row r="995" spans="1:17" s="9" customFormat="1" ht="30" x14ac:dyDescent="0.25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431</v>
      </c>
      <c r="G995" s="48" t="s">
        <v>560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247</v>
      </c>
    </row>
    <row r="996" spans="1:17" s="9" customFormat="1" x14ac:dyDescent="0.25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370</v>
      </c>
      <c r="G996" s="48" t="s">
        <v>560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250</v>
      </c>
    </row>
    <row r="997" spans="1:17" s="9" customFormat="1" x14ac:dyDescent="0.25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490</v>
      </c>
      <c r="G997" s="48" t="s">
        <v>560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248</v>
      </c>
    </row>
    <row r="998" spans="1:17" s="9" customFormat="1" ht="25.5" x14ac:dyDescent="0.25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436</v>
      </c>
      <c r="G998" s="48" t="s">
        <v>560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x14ac:dyDescent="0.25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491</v>
      </c>
      <c r="G999" s="48" t="s">
        <v>560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249</v>
      </c>
    </row>
    <row r="1000" spans="1:17" s="9" customFormat="1" ht="30" x14ac:dyDescent="0.25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371</v>
      </c>
      <c r="G1000" s="48" t="s">
        <v>560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259</v>
      </c>
    </row>
    <row r="1001" spans="1:17" s="9" customFormat="1" ht="30" x14ac:dyDescent="0.25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372</v>
      </c>
      <c r="G1001" s="48" t="s">
        <v>560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260</v>
      </c>
    </row>
    <row r="1002" spans="1:17" s="9" customFormat="1" ht="30" x14ac:dyDescent="0.25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560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259</v>
      </c>
    </row>
    <row r="1003" spans="1:17" s="9" customFormat="1" ht="30" x14ac:dyDescent="0.25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373</v>
      </c>
      <c r="G1003" s="48" t="s">
        <v>560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251</v>
      </c>
    </row>
    <row r="1004" spans="1:17" s="9" customFormat="1" ht="30" x14ac:dyDescent="0.25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444</v>
      </c>
      <c r="G1004" s="48" t="s">
        <v>560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252</v>
      </c>
    </row>
    <row r="1005" spans="1:17" s="9" customFormat="1" x14ac:dyDescent="0.25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374</v>
      </c>
      <c r="G1005" s="48" t="s">
        <v>560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253</v>
      </c>
    </row>
    <row r="1006" spans="1:17" s="9" customFormat="1" ht="30" x14ac:dyDescent="0.25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560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261</v>
      </c>
    </row>
    <row r="1007" spans="1:17" s="9" customFormat="1" ht="30" x14ac:dyDescent="0.25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375</v>
      </c>
      <c r="G1007" s="48" t="s">
        <v>560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262</v>
      </c>
    </row>
    <row r="1008" spans="1:17" s="9" customFormat="1" ht="30" x14ac:dyDescent="0.25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376</v>
      </c>
      <c r="G1008" s="48" t="s">
        <v>560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254</v>
      </c>
    </row>
    <row r="1009" spans="1:17" s="9" customFormat="1" ht="30" x14ac:dyDescent="0.25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542</v>
      </c>
      <c r="G1009" s="48" t="s">
        <v>560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261</v>
      </c>
    </row>
    <row r="1010" spans="1:17" s="9" customFormat="1" ht="30" x14ac:dyDescent="0.25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445</v>
      </c>
      <c r="G1010" s="48" t="s">
        <v>560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263</v>
      </c>
    </row>
    <row r="1011" spans="1:17" s="9" customFormat="1" ht="30" x14ac:dyDescent="0.25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377</v>
      </c>
      <c r="G1011" s="48" t="s">
        <v>560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264</v>
      </c>
    </row>
    <row r="1012" spans="1:17" s="9" customFormat="1" ht="30" x14ac:dyDescent="0.25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378</v>
      </c>
      <c r="G1012" s="48" t="s">
        <v>560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265</v>
      </c>
    </row>
    <row r="1013" spans="1:17" s="9" customFormat="1" ht="30" x14ac:dyDescent="0.25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447</v>
      </c>
      <c r="G1013" s="48" t="s">
        <v>560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264</v>
      </c>
    </row>
    <row r="1014" spans="1:17" s="9" customFormat="1" ht="30" x14ac:dyDescent="0.25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379</v>
      </c>
      <c r="G1014" s="48" t="s">
        <v>560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264</v>
      </c>
    </row>
    <row r="1015" spans="1:17" s="9" customFormat="1" ht="30" x14ac:dyDescent="0.25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380</v>
      </c>
      <c r="G1015" s="48" t="s">
        <v>560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255</v>
      </c>
    </row>
    <row r="1016" spans="1:17" s="9" customFormat="1" ht="30" x14ac:dyDescent="0.25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497</v>
      </c>
      <c r="G1016" s="48" t="s">
        <v>560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255</v>
      </c>
    </row>
    <row r="1017" spans="1:17" s="9" customFormat="1" ht="30" x14ac:dyDescent="0.25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381</v>
      </c>
      <c r="G1017" s="48" t="s">
        <v>560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265</v>
      </c>
    </row>
    <row r="1018" spans="1:17" s="9" customFormat="1" ht="30" x14ac:dyDescent="0.25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382</v>
      </c>
      <c r="G1018" s="48" t="s">
        <v>560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265</v>
      </c>
    </row>
    <row r="1019" spans="1:17" s="9" customFormat="1" ht="30" x14ac:dyDescent="0.25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383</v>
      </c>
      <c r="G1019" s="48" t="s">
        <v>560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265</v>
      </c>
    </row>
    <row r="1020" spans="1:17" s="9" customFormat="1" ht="30" x14ac:dyDescent="0.25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384</v>
      </c>
      <c r="G1020" s="48" t="s">
        <v>560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264</v>
      </c>
    </row>
    <row r="1021" spans="1:17" s="9" customFormat="1" ht="30" x14ac:dyDescent="0.25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385</v>
      </c>
      <c r="G1021" s="48" t="s">
        <v>560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264</v>
      </c>
    </row>
    <row r="1022" spans="1:17" s="9" customFormat="1" ht="30" x14ac:dyDescent="0.25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386</v>
      </c>
      <c r="G1022" s="48" t="s">
        <v>560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264</v>
      </c>
    </row>
    <row r="1023" spans="1:17" s="9" customFormat="1" ht="30" x14ac:dyDescent="0.25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498</v>
      </c>
      <c r="G1023" s="48" t="s">
        <v>560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266</v>
      </c>
    </row>
    <row r="1024" spans="1:17" s="9" customFormat="1" ht="30" x14ac:dyDescent="0.25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387</v>
      </c>
      <c r="G1024" s="48" t="s">
        <v>560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256</v>
      </c>
    </row>
    <row r="1025" spans="1:17" s="9" customFormat="1" ht="30" x14ac:dyDescent="0.25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560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247</v>
      </c>
    </row>
    <row r="1026" spans="1:17" s="9" customFormat="1" ht="30" x14ac:dyDescent="0.25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560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0</v>
      </c>
      <c r="P1026" s="137">
        <f t="shared" si="74"/>
        <v>0</v>
      </c>
      <c r="Q1026" s="13" t="s">
        <v>238</v>
      </c>
    </row>
    <row r="1027" spans="1:17" s="9" customFormat="1" ht="30" x14ac:dyDescent="0.25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560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256</v>
      </c>
    </row>
    <row r="1028" spans="1:17" s="9" customFormat="1" x14ac:dyDescent="0.25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389</v>
      </c>
      <c r="G1028" s="48" t="s">
        <v>560</v>
      </c>
      <c r="H1028" s="18"/>
      <c r="I1028" s="18"/>
      <c r="J1028" s="18"/>
      <c r="K1028" s="18"/>
      <c r="L1028" s="18"/>
      <c r="M1028" s="18"/>
      <c r="N1028" s="26">
        <f>$P$3</f>
        <v>60</v>
      </c>
      <c r="O1028" s="24">
        <f>N1028</f>
        <v>60</v>
      </c>
      <c r="P1028" s="137">
        <f t="shared" si="74"/>
        <v>60</v>
      </c>
      <c r="Q1028" s="13" t="s">
        <v>257</v>
      </c>
    </row>
    <row r="1029" spans="1:17" s="9" customFormat="1" x14ac:dyDescent="0.25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388</v>
      </c>
      <c r="G1029" s="48" t="s">
        <v>560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258</v>
      </c>
    </row>
    <row r="1030" spans="1:17" s="9" customFormat="1" ht="30" x14ac:dyDescent="0.25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560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256</v>
      </c>
    </row>
    <row r="1031" spans="1:17" s="9" customFormat="1" ht="30" x14ac:dyDescent="0.25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560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0</v>
      </c>
      <c r="P1031" s="137">
        <f t="shared" si="74"/>
        <v>0</v>
      </c>
      <c r="Q1031" s="13" t="s">
        <v>256</v>
      </c>
    </row>
    <row r="1032" spans="1:17" s="9" customFormat="1" ht="30" x14ac:dyDescent="0.25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560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0</v>
      </c>
      <c r="P1032" s="137">
        <f t="shared" si="74"/>
        <v>0</v>
      </c>
      <c r="Q1032" s="13" t="s">
        <v>256</v>
      </c>
    </row>
    <row r="1033" spans="1:17" s="9" customFormat="1" ht="30" x14ac:dyDescent="0.25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560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256</v>
      </c>
    </row>
    <row r="1034" spans="1:17" s="9" customFormat="1" ht="30" x14ac:dyDescent="0.25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449</v>
      </c>
      <c r="G1034" s="48" t="s">
        <v>560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267</v>
      </c>
    </row>
    <row r="1035" spans="1:17" s="9" customFormat="1" x14ac:dyDescent="0.25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448</v>
      </c>
      <c r="G1035" s="48" t="s">
        <v>560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30" x14ac:dyDescent="0.25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499</v>
      </c>
      <c r="G1036" s="48" t="s">
        <v>560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267</v>
      </c>
    </row>
    <row r="1037" spans="1:17" s="9" customFormat="1" ht="30" x14ac:dyDescent="0.25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450</v>
      </c>
      <c r="G1037" s="48" t="s">
        <v>560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267</v>
      </c>
    </row>
    <row r="1038" spans="1:17" s="9" customFormat="1" ht="30" x14ac:dyDescent="0.25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500</v>
      </c>
      <c r="G1038" s="48" t="s">
        <v>560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268</v>
      </c>
    </row>
    <row r="1039" spans="1:17" s="9" customFormat="1" ht="30" x14ac:dyDescent="0.25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390</v>
      </c>
      <c r="G1039" s="48" t="s">
        <v>560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256</v>
      </c>
    </row>
    <row r="1040" spans="1:17" s="9" customFormat="1" x14ac:dyDescent="0.25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391</v>
      </c>
      <c r="G1040" s="48" t="s">
        <v>560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269</v>
      </c>
    </row>
    <row r="1041" spans="1:17" s="9" customFormat="1" x14ac:dyDescent="0.25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453</v>
      </c>
      <c r="G1041" s="48" t="s">
        <v>560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269</v>
      </c>
    </row>
    <row r="1042" spans="1:17" s="9" customFormat="1" ht="30" x14ac:dyDescent="0.25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392</v>
      </c>
      <c r="G1042" s="48" t="s">
        <v>560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272</v>
      </c>
    </row>
    <row r="1043" spans="1:17" s="9" customFormat="1" x14ac:dyDescent="0.25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393</v>
      </c>
      <c r="G1043" s="48" t="s">
        <v>560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275</v>
      </c>
    </row>
    <row r="1044" spans="1:17" s="9" customFormat="1" ht="30" x14ac:dyDescent="0.25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421</v>
      </c>
      <c r="G1044" s="48" t="s">
        <v>560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422</v>
      </c>
    </row>
    <row r="1045" spans="1:17" s="9" customFormat="1" ht="30" x14ac:dyDescent="0.25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501</v>
      </c>
      <c r="G1045" s="48" t="s">
        <v>560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423</v>
      </c>
    </row>
    <row r="1046" spans="1:17" s="9" customFormat="1" ht="30" x14ac:dyDescent="0.25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560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276</v>
      </c>
    </row>
    <row r="1047" spans="1:17" s="9" customFormat="1" ht="45" x14ac:dyDescent="0.25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270</v>
      </c>
      <c r="G1047" s="48" t="s">
        <v>560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277</v>
      </c>
    </row>
    <row r="1048" spans="1:17" s="9" customFormat="1" x14ac:dyDescent="0.25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560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269</v>
      </c>
    </row>
    <row r="1049" spans="1:17" s="9" customFormat="1" x14ac:dyDescent="0.25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560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287</v>
      </c>
    </row>
    <row r="1050" spans="1:17" s="9" customFormat="1" ht="30" x14ac:dyDescent="0.25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560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0</v>
      </c>
      <c r="P1050" s="137">
        <f t="shared" si="76"/>
        <v>0</v>
      </c>
      <c r="Q1050" s="13" t="s">
        <v>273</v>
      </c>
    </row>
    <row r="1051" spans="1:17" s="9" customFormat="1" x14ac:dyDescent="0.25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560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x14ac:dyDescent="0.25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560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269</v>
      </c>
    </row>
    <row r="1053" spans="1:17" s="9" customFormat="1" x14ac:dyDescent="0.25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560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280</v>
      </c>
    </row>
    <row r="1054" spans="1:17" s="9" customFormat="1" ht="30" x14ac:dyDescent="0.25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560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271</v>
      </c>
    </row>
    <row r="1055" spans="1:17" s="9" customFormat="1" x14ac:dyDescent="0.25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394</v>
      </c>
      <c r="G1055" s="48" t="s">
        <v>560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282</v>
      </c>
    </row>
    <row r="1056" spans="1:17" s="9" customFormat="1" ht="30" x14ac:dyDescent="0.25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395</v>
      </c>
      <c r="G1056" s="48" t="s">
        <v>560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281</v>
      </c>
    </row>
    <row r="1057" spans="1:17" s="9" customFormat="1" ht="30" x14ac:dyDescent="0.25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396</v>
      </c>
      <c r="G1057" s="48" t="s">
        <v>560</v>
      </c>
      <c r="H1057" s="5"/>
      <c r="I1057" s="5"/>
      <c r="J1057" s="5"/>
      <c r="K1057" s="5"/>
      <c r="L1057" s="5"/>
      <c r="M1057" s="5"/>
      <c r="N1057" s="20">
        <f>'INFORMACION BASE'!$E$25+3</f>
        <v>6</v>
      </c>
      <c r="O1057" s="24">
        <f t="shared" si="77"/>
        <v>6</v>
      </c>
      <c r="P1057" s="137">
        <f t="shared" si="76"/>
        <v>6</v>
      </c>
      <c r="Q1057" s="13" t="s">
        <v>283</v>
      </c>
    </row>
    <row r="1058" spans="1:17" s="9" customFormat="1" x14ac:dyDescent="0.25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397</v>
      </c>
      <c r="G1058" s="48" t="s">
        <v>560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284</v>
      </c>
    </row>
    <row r="1059" spans="1:17" s="9" customFormat="1" x14ac:dyDescent="0.25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560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285</v>
      </c>
    </row>
    <row r="1060" spans="1:17" s="9" customFormat="1" x14ac:dyDescent="0.25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560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286</v>
      </c>
    </row>
    <row r="1061" spans="1:17" s="9" customFormat="1" ht="30" x14ac:dyDescent="0.25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560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267</v>
      </c>
    </row>
    <row r="1062" spans="1:17" s="9" customFormat="1" ht="30" x14ac:dyDescent="0.25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560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288</v>
      </c>
    </row>
    <row r="1063" spans="1:17" s="9" customFormat="1" ht="30" x14ac:dyDescent="0.25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455</v>
      </c>
      <c r="G1063" s="48" t="s">
        <v>560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289</v>
      </c>
    </row>
    <row r="1064" spans="1:17" s="9" customFormat="1" ht="30" x14ac:dyDescent="0.25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560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290</v>
      </c>
    </row>
    <row r="1065" spans="1:17" s="9" customFormat="1" x14ac:dyDescent="0.25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398</v>
      </c>
      <c r="G1065" s="48" t="s">
        <v>560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291</v>
      </c>
    </row>
    <row r="1066" spans="1:17" s="9" customFormat="1" ht="30" x14ac:dyDescent="0.25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399</v>
      </c>
      <c r="G1066" s="48" t="s">
        <v>560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267</v>
      </c>
    </row>
    <row r="1067" spans="1:17" s="9" customFormat="1" x14ac:dyDescent="0.25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560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292</v>
      </c>
    </row>
    <row r="1068" spans="1:17" s="9" customFormat="1" x14ac:dyDescent="0.25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400</v>
      </c>
      <c r="G1068" s="48" t="s">
        <v>560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293</v>
      </c>
    </row>
    <row r="1069" spans="1:17" s="9" customFormat="1" ht="30" x14ac:dyDescent="0.25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401</v>
      </c>
      <c r="G1069" s="48" t="s">
        <v>560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256</v>
      </c>
    </row>
    <row r="1070" spans="1:17" s="9" customFormat="1" ht="30" x14ac:dyDescent="0.25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402</v>
      </c>
      <c r="G1070" s="48" t="s">
        <v>560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256</v>
      </c>
    </row>
    <row r="1071" spans="1:17" s="9" customFormat="1" ht="30" x14ac:dyDescent="0.25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403</v>
      </c>
      <c r="G1071" s="48" t="s">
        <v>560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256</v>
      </c>
    </row>
    <row r="1072" spans="1:17" s="9" customFormat="1" ht="30" x14ac:dyDescent="0.25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404</v>
      </c>
      <c r="G1072" s="48" t="s">
        <v>560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294</v>
      </c>
    </row>
    <row r="1073" spans="1:17" s="9" customFormat="1" x14ac:dyDescent="0.25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405</v>
      </c>
      <c r="G1073" s="48" t="s">
        <v>560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298</v>
      </c>
    </row>
    <row r="1074" spans="1:17" s="9" customFormat="1" ht="30" x14ac:dyDescent="0.25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456</v>
      </c>
      <c r="G1074" s="48" t="s">
        <v>560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294</v>
      </c>
    </row>
    <row r="1075" spans="1:17" s="9" customFormat="1" ht="30" x14ac:dyDescent="0.25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534</v>
      </c>
      <c r="G1075" s="48" t="s">
        <v>560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290</v>
      </c>
    </row>
    <row r="1076" spans="1:17" s="9" customFormat="1" ht="30" x14ac:dyDescent="0.25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406</v>
      </c>
      <c r="G1076" s="48" t="s">
        <v>560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299</v>
      </c>
    </row>
    <row r="1077" spans="1:17" s="9" customFormat="1" ht="30" x14ac:dyDescent="0.25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279</v>
      </c>
      <c r="G1077" s="48" t="s">
        <v>560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300</v>
      </c>
    </row>
    <row r="1078" spans="1:17" s="9" customFormat="1" ht="30" x14ac:dyDescent="0.25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457</v>
      </c>
      <c r="G1078" s="48" t="s">
        <v>560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300</v>
      </c>
    </row>
    <row r="1079" spans="1:17" s="9" customFormat="1" ht="30" x14ac:dyDescent="0.25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560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301</v>
      </c>
    </row>
    <row r="1080" spans="1:17" s="9" customFormat="1" ht="30" x14ac:dyDescent="0.25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407</v>
      </c>
      <c r="G1080" s="48" t="s">
        <v>560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303</v>
      </c>
    </row>
    <row r="1081" spans="1:17" s="9" customFormat="1" ht="30" x14ac:dyDescent="0.25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408</v>
      </c>
      <c r="G1081" s="48" t="s">
        <v>560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256</v>
      </c>
    </row>
    <row r="1082" spans="1:17" s="9" customFormat="1" ht="30" x14ac:dyDescent="0.25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306</v>
      </c>
      <c r="G1082" s="48" t="s">
        <v>560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304</v>
      </c>
    </row>
    <row r="1083" spans="1:17" s="9" customFormat="1" ht="30" x14ac:dyDescent="0.25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307</v>
      </c>
      <c r="G1083" s="48" t="s">
        <v>560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305</v>
      </c>
    </row>
    <row r="1084" spans="1:17" s="9" customFormat="1" ht="30" x14ac:dyDescent="0.25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536</v>
      </c>
      <c r="G1084" s="48" t="s">
        <v>560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256</v>
      </c>
    </row>
    <row r="1085" spans="1:17" s="9" customFormat="1" ht="30" x14ac:dyDescent="0.25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560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308</v>
      </c>
    </row>
    <row r="1086" spans="1:17" s="9" customFormat="1" ht="30" x14ac:dyDescent="0.25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560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309</v>
      </c>
    </row>
    <row r="1087" spans="1:17" s="9" customFormat="1" ht="30" x14ac:dyDescent="0.25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560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309</v>
      </c>
    </row>
    <row r="1088" spans="1:17" s="9" customFormat="1" ht="30" x14ac:dyDescent="0.25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560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310</v>
      </c>
    </row>
    <row r="1089" spans="1:17" s="9" customFormat="1" ht="30" x14ac:dyDescent="0.25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560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256</v>
      </c>
    </row>
    <row r="1090" spans="1:17" s="9" customFormat="1" ht="30" x14ac:dyDescent="0.25">
      <c r="A1090" s="5">
        <v>132</v>
      </c>
      <c r="B1090" s="6">
        <v>654321</v>
      </c>
      <c r="C1090" s="30" t="s">
        <v>106</v>
      </c>
      <c r="D1090" s="11" t="s">
        <v>511</v>
      </c>
      <c r="E1090" s="7" t="s">
        <v>107</v>
      </c>
      <c r="F1090" s="8" t="s">
        <v>467</v>
      </c>
      <c r="G1090" s="48" t="s">
        <v>560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30" x14ac:dyDescent="0.25">
      <c r="A1091" s="5">
        <v>133</v>
      </c>
      <c r="B1091" s="6">
        <v>654321</v>
      </c>
      <c r="C1091" s="30" t="s">
        <v>106</v>
      </c>
      <c r="D1091" s="11" t="s">
        <v>506</v>
      </c>
      <c r="E1091" s="7" t="s">
        <v>107</v>
      </c>
      <c r="F1091" s="8" t="s">
        <v>505</v>
      </c>
      <c r="G1091" s="48" t="s">
        <v>560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30" x14ac:dyDescent="0.25">
      <c r="A1092" s="5">
        <v>134</v>
      </c>
      <c r="B1092" s="6">
        <v>654321</v>
      </c>
      <c r="C1092" s="30" t="s">
        <v>106</v>
      </c>
      <c r="D1092" s="11" t="s">
        <v>511</v>
      </c>
      <c r="E1092" s="7" t="s">
        <v>107</v>
      </c>
      <c r="F1092" s="8" t="s">
        <v>110</v>
      </c>
      <c r="G1092" s="48" t="s">
        <v>560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30" x14ac:dyDescent="0.25">
      <c r="A1093" s="5">
        <v>135</v>
      </c>
      <c r="B1093" s="6">
        <v>654321</v>
      </c>
      <c r="C1093" s="30" t="s">
        <v>106</v>
      </c>
      <c r="D1093" s="11" t="s">
        <v>511</v>
      </c>
      <c r="E1093" s="7" t="s">
        <v>107</v>
      </c>
      <c r="F1093" s="8" t="s">
        <v>111</v>
      </c>
      <c r="G1093" s="48" t="s">
        <v>560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30" x14ac:dyDescent="0.25">
      <c r="A1094" s="5">
        <v>136</v>
      </c>
      <c r="B1094" s="6">
        <v>654321</v>
      </c>
      <c r="C1094" s="30" t="s">
        <v>106</v>
      </c>
      <c r="D1094" s="11" t="s">
        <v>511</v>
      </c>
      <c r="E1094" s="7" t="s">
        <v>107</v>
      </c>
      <c r="F1094" s="8" t="s">
        <v>543</v>
      </c>
      <c r="G1094" s="48" t="s">
        <v>560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30" x14ac:dyDescent="0.25">
      <c r="A1095" s="5">
        <v>137</v>
      </c>
      <c r="B1095" s="6">
        <v>654321</v>
      </c>
      <c r="C1095" s="30" t="s">
        <v>106</v>
      </c>
      <c r="D1095" s="11" t="s">
        <v>511</v>
      </c>
      <c r="E1095" s="7" t="s">
        <v>107</v>
      </c>
      <c r="F1095" s="8" t="s">
        <v>544</v>
      </c>
      <c r="G1095" s="48" t="s">
        <v>560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0" x14ac:dyDescent="0.25">
      <c r="A1096" s="5">
        <v>138</v>
      </c>
      <c r="B1096" s="6">
        <v>654321</v>
      </c>
      <c r="C1096" s="30" t="s">
        <v>106</v>
      </c>
      <c r="D1096" s="11" t="s">
        <v>511</v>
      </c>
      <c r="E1096" s="7" t="s">
        <v>107</v>
      </c>
      <c r="F1096" s="8" t="s">
        <v>114</v>
      </c>
      <c r="G1096" s="48" t="s">
        <v>560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0" x14ac:dyDescent="0.25">
      <c r="A1097" s="5">
        <v>139</v>
      </c>
      <c r="B1097" s="6">
        <v>654321</v>
      </c>
      <c r="C1097" s="30" t="s">
        <v>106</v>
      </c>
      <c r="D1097" s="11" t="s">
        <v>511</v>
      </c>
      <c r="E1097" s="7" t="s">
        <v>107</v>
      </c>
      <c r="F1097" s="8" t="s">
        <v>116</v>
      </c>
      <c r="G1097" s="48" t="s">
        <v>560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311</v>
      </c>
    </row>
    <row r="1098" spans="1:17" s="9" customFormat="1" ht="30" x14ac:dyDescent="0.25">
      <c r="A1098" s="5">
        <v>140</v>
      </c>
      <c r="B1098" s="6">
        <v>654321</v>
      </c>
      <c r="C1098" s="30" t="s">
        <v>106</v>
      </c>
      <c r="D1098" s="11" t="s">
        <v>511</v>
      </c>
      <c r="E1098" s="7" t="s">
        <v>107</v>
      </c>
      <c r="F1098" s="8" t="s">
        <v>117</v>
      </c>
      <c r="G1098" s="48" t="s">
        <v>560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30" x14ac:dyDescent="0.25">
      <c r="A1099" s="5">
        <v>141</v>
      </c>
      <c r="B1099" s="6">
        <v>654321</v>
      </c>
      <c r="C1099" s="30" t="s">
        <v>106</v>
      </c>
      <c r="D1099" s="11" t="s">
        <v>511</v>
      </c>
      <c r="E1099" s="7" t="s">
        <v>107</v>
      </c>
      <c r="F1099" s="8" t="s">
        <v>119</v>
      </c>
      <c r="G1099" s="48" t="s">
        <v>560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30" x14ac:dyDescent="0.25">
      <c r="A1100" s="5">
        <v>142</v>
      </c>
      <c r="B1100" s="6">
        <v>654321</v>
      </c>
      <c r="C1100" s="30" t="s">
        <v>106</v>
      </c>
      <c r="D1100" s="11" t="s">
        <v>507</v>
      </c>
      <c r="E1100" s="7" t="s">
        <v>107</v>
      </c>
      <c r="F1100" s="8" t="s">
        <v>120</v>
      </c>
      <c r="G1100" s="48" t="s">
        <v>560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30" x14ac:dyDescent="0.25">
      <c r="A1101" s="5">
        <v>143</v>
      </c>
      <c r="B1101" s="6">
        <v>654321</v>
      </c>
      <c r="C1101" s="30" t="s">
        <v>106</v>
      </c>
      <c r="D1101" s="11" t="s">
        <v>504</v>
      </c>
      <c r="E1101" s="7" t="s">
        <v>121</v>
      </c>
      <c r="F1101" s="8" t="s">
        <v>122</v>
      </c>
      <c r="G1101" s="48" t="s">
        <v>560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30" x14ac:dyDescent="0.25">
      <c r="A1102" s="5">
        <v>144</v>
      </c>
      <c r="B1102" s="6">
        <v>654321</v>
      </c>
      <c r="C1102" s="30" t="s">
        <v>106</v>
      </c>
      <c r="D1102" s="11" t="s">
        <v>511</v>
      </c>
      <c r="E1102" s="7" t="s">
        <v>121</v>
      </c>
      <c r="F1102" s="8" t="s">
        <v>124</v>
      </c>
      <c r="G1102" s="48" t="s">
        <v>560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30" x14ac:dyDescent="0.25">
      <c r="A1103" s="5">
        <v>145</v>
      </c>
      <c r="B1103" s="6">
        <v>654321</v>
      </c>
      <c r="C1103" s="30" t="s">
        <v>106</v>
      </c>
      <c r="D1103" s="11" t="s">
        <v>504</v>
      </c>
      <c r="E1103" s="7" t="s">
        <v>126</v>
      </c>
      <c r="F1103" s="8" t="s">
        <v>127</v>
      </c>
      <c r="G1103" s="48" t="s">
        <v>560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30" x14ac:dyDescent="0.25">
      <c r="A1104" s="5">
        <v>146</v>
      </c>
      <c r="B1104" s="6">
        <v>654321</v>
      </c>
      <c r="C1104" s="30" t="s">
        <v>106</v>
      </c>
      <c r="D1104" s="11" t="s">
        <v>504</v>
      </c>
      <c r="E1104" s="7" t="s">
        <v>126</v>
      </c>
      <c r="F1104" s="8" t="s">
        <v>129</v>
      </c>
      <c r="G1104" s="48" t="s">
        <v>560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30" x14ac:dyDescent="0.25">
      <c r="A1105" s="5">
        <v>147</v>
      </c>
      <c r="B1105" s="6">
        <v>654321</v>
      </c>
      <c r="C1105" s="30" t="s">
        <v>106</v>
      </c>
      <c r="D1105" s="11" t="s">
        <v>511</v>
      </c>
      <c r="E1105" s="7" t="s">
        <v>126</v>
      </c>
      <c r="F1105" s="8" t="s">
        <v>131</v>
      </c>
      <c r="G1105" s="48" t="s">
        <v>560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30" x14ac:dyDescent="0.25">
      <c r="A1106" s="5">
        <v>148</v>
      </c>
      <c r="B1106" s="6">
        <v>654321</v>
      </c>
      <c r="C1106" s="30" t="s">
        <v>106</v>
      </c>
      <c r="D1106" s="11" t="s">
        <v>504</v>
      </c>
      <c r="E1106" s="7" t="s">
        <v>126</v>
      </c>
      <c r="F1106" s="8" t="s">
        <v>132</v>
      </c>
      <c r="G1106" s="48" t="s">
        <v>560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30" x14ac:dyDescent="0.25">
      <c r="A1107" s="5">
        <v>149</v>
      </c>
      <c r="B1107" s="6">
        <v>654321</v>
      </c>
      <c r="C1107" s="30" t="s">
        <v>106</v>
      </c>
      <c r="D1107" s="11" t="s">
        <v>504</v>
      </c>
      <c r="E1107" s="7" t="s">
        <v>126</v>
      </c>
      <c r="F1107" s="8" t="s">
        <v>133</v>
      </c>
      <c r="G1107" s="48" t="s">
        <v>560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30" x14ac:dyDescent="0.25">
      <c r="A1108" s="5">
        <v>150</v>
      </c>
      <c r="B1108" s="6">
        <v>654321</v>
      </c>
      <c r="C1108" s="30" t="s">
        <v>106</v>
      </c>
      <c r="D1108" s="11" t="s">
        <v>511</v>
      </c>
      <c r="E1108" s="7" t="s">
        <v>126</v>
      </c>
      <c r="F1108" s="8" t="s">
        <v>134</v>
      </c>
      <c r="G1108" s="48" t="s">
        <v>560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30" x14ac:dyDescent="0.25">
      <c r="A1109" s="5">
        <v>151</v>
      </c>
      <c r="B1109" s="6">
        <v>654321</v>
      </c>
      <c r="C1109" s="30" t="s">
        <v>106</v>
      </c>
      <c r="D1109" s="11" t="s">
        <v>511</v>
      </c>
      <c r="E1109" s="7" t="s">
        <v>135</v>
      </c>
      <c r="F1109" s="8" t="s">
        <v>530</v>
      </c>
      <c r="G1109" s="48" t="s">
        <v>560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30" x14ac:dyDescent="0.25">
      <c r="A1110" s="5">
        <v>152</v>
      </c>
      <c r="B1110" s="6">
        <v>654321</v>
      </c>
      <c r="C1110" s="30" t="s">
        <v>106</v>
      </c>
      <c r="D1110" s="11" t="s">
        <v>511</v>
      </c>
      <c r="E1110" s="7" t="s">
        <v>135</v>
      </c>
      <c r="F1110" s="8" t="s">
        <v>531</v>
      </c>
      <c r="G1110" s="48" t="s">
        <v>560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30" x14ac:dyDescent="0.25">
      <c r="A1111" s="5">
        <v>154</v>
      </c>
      <c r="B1111" s="6">
        <v>654321</v>
      </c>
      <c r="C1111" s="30" t="s">
        <v>106</v>
      </c>
      <c r="D1111" s="11" t="s">
        <v>510</v>
      </c>
      <c r="E1111" s="7" t="s">
        <v>107</v>
      </c>
      <c r="F1111" s="8" t="s">
        <v>503</v>
      </c>
      <c r="G1111" s="48" t="s">
        <v>560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312</v>
      </c>
    </row>
    <row r="1112" spans="1:17" s="9" customFormat="1" ht="30" x14ac:dyDescent="0.25">
      <c r="A1112" s="5">
        <v>155</v>
      </c>
      <c r="B1112" s="6">
        <v>654321</v>
      </c>
      <c r="C1112" s="30" t="s">
        <v>106</v>
      </c>
      <c r="D1112" s="11" t="s">
        <v>506</v>
      </c>
      <c r="E1112" s="7" t="s">
        <v>107</v>
      </c>
      <c r="F1112" s="8" t="s">
        <v>411</v>
      </c>
      <c r="G1112" s="48" t="s">
        <v>560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282</v>
      </c>
    </row>
    <row r="1113" spans="1:17" s="9" customFormat="1" ht="30" x14ac:dyDescent="0.25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560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315</v>
      </c>
    </row>
    <row r="1114" spans="1:17" s="9" customFormat="1" ht="30" x14ac:dyDescent="0.25">
      <c r="A1114" s="5">
        <v>157</v>
      </c>
      <c r="B1114" s="6">
        <v>654321</v>
      </c>
      <c r="C1114" s="30" t="s">
        <v>106</v>
      </c>
      <c r="D1114" s="11" t="s">
        <v>509</v>
      </c>
      <c r="E1114" s="7" t="s">
        <v>107</v>
      </c>
      <c r="F1114" s="8" t="s">
        <v>508</v>
      </c>
      <c r="G1114" s="48" t="s">
        <v>560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313</v>
      </c>
    </row>
    <row r="1115" spans="1:17" s="9" customFormat="1" ht="30" x14ac:dyDescent="0.25">
      <c r="A1115" s="5">
        <v>158</v>
      </c>
      <c r="B1115" s="6">
        <v>654321</v>
      </c>
      <c r="C1115" s="30" t="s">
        <v>106</v>
      </c>
      <c r="D1115" s="11" t="s">
        <v>510</v>
      </c>
      <c r="E1115" s="7" t="s">
        <v>107</v>
      </c>
      <c r="F1115" s="8" t="s">
        <v>140</v>
      </c>
      <c r="G1115" s="48" t="s">
        <v>560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314</v>
      </c>
    </row>
    <row r="1116" spans="1:17" s="9" customFormat="1" ht="30" x14ac:dyDescent="0.25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560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316</v>
      </c>
    </row>
    <row r="1117" spans="1:17" s="9" customFormat="1" ht="30" x14ac:dyDescent="0.25">
      <c r="A1117" s="5">
        <v>160</v>
      </c>
      <c r="B1117" s="6">
        <v>654321</v>
      </c>
      <c r="C1117" s="30" t="s">
        <v>106</v>
      </c>
      <c r="D1117" s="11" t="s">
        <v>509</v>
      </c>
      <c r="E1117" s="7" t="s">
        <v>107</v>
      </c>
      <c r="F1117" s="8" t="s">
        <v>139</v>
      </c>
      <c r="G1117" s="48" t="s">
        <v>560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321</v>
      </c>
    </row>
    <row r="1118" spans="1:17" s="9" customFormat="1" ht="30" x14ac:dyDescent="0.25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560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317</v>
      </c>
    </row>
    <row r="1119" spans="1:17" s="9" customFormat="1" ht="30" x14ac:dyDescent="0.25">
      <c r="A1119" s="5">
        <v>162</v>
      </c>
      <c r="B1119" s="6">
        <v>654321</v>
      </c>
      <c r="C1119" s="30" t="s">
        <v>106</v>
      </c>
      <c r="D1119" s="11" t="s">
        <v>510</v>
      </c>
      <c r="E1119" s="7" t="s">
        <v>107</v>
      </c>
      <c r="F1119" s="8" t="s">
        <v>468</v>
      </c>
      <c r="G1119" s="48" t="s">
        <v>560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318</v>
      </c>
    </row>
    <row r="1120" spans="1:17" s="9" customFormat="1" ht="30" x14ac:dyDescent="0.25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409</v>
      </c>
      <c r="G1120" s="48" t="s">
        <v>560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320</v>
      </c>
    </row>
    <row r="1121" spans="1:17" s="9" customFormat="1" ht="30" x14ac:dyDescent="0.25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410</v>
      </c>
      <c r="G1121" s="48" t="s">
        <v>560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320</v>
      </c>
    </row>
    <row r="1122" spans="1:17" s="9" customFormat="1" ht="30" x14ac:dyDescent="0.25">
      <c r="A1122" s="5">
        <v>165</v>
      </c>
      <c r="B1122" s="6">
        <v>654321</v>
      </c>
      <c r="C1122" s="30" t="s">
        <v>106</v>
      </c>
      <c r="D1122" s="11" t="s">
        <v>510</v>
      </c>
      <c r="E1122" s="7" t="s">
        <v>107</v>
      </c>
      <c r="F1122" s="8" t="s">
        <v>141</v>
      </c>
      <c r="G1122" s="48" t="s">
        <v>560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314</v>
      </c>
    </row>
    <row r="1123" spans="1:17" s="9" customFormat="1" ht="30" x14ac:dyDescent="0.25">
      <c r="A1123" s="5">
        <v>166</v>
      </c>
      <c r="B1123" s="6">
        <v>654321</v>
      </c>
      <c r="C1123" s="30" t="s">
        <v>106</v>
      </c>
      <c r="D1123" s="11" t="s">
        <v>515</v>
      </c>
      <c r="E1123" s="7" t="s">
        <v>121</v>
      </c>
      <c r="F1123" s="8" t="s">
        <v>470</v>
      </c>
      <c r="G1123" s="48" t="s">
        <v>560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331</v>
      </c>
    </row>
    <row r="1124" spans="1:17" s="9" customFormat="1" ht="30" x14ac:dyDescent="0.25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560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331</v>
      </c>
    </row>
    <row r="1125" spans="1:17" s="9" customFormat="1" ht="30" x14ac:dyDescent="0.25">
      <c r="A1125" s="5">
        <v>168</v>
      </c>
      <c r="B1125" s="6">
        <v>654321</v>
      </c>
      <c r="C1125" s="30" t="s">
        <v>106</v>
      </c>
      <c r="D1125" s="11" t="s">
        <v>519</v>
      </c>
      <c r="E1125" s="7" t="s">
        <v>121</v>
      </c>
      <c r="F1125" s="8" t="s">
        <v>145</v>
      </c>
      <c r="G1125" s="48" t="s">
        <v>560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331</v>
      </c>
    </row>
    <row r="1126" spans="1:17" s="9" customFormat="1" ht="30" x14ac:dyDescent="0.25">
      <c r="A1126" s="5">
        <v>169</v>
      </c>
      <c r="B1126" s="6">
        <v>654321</v>
      </c>
      <c r="C1126" s="30" t="s">
        <v>106</v>
      </c>
      <c r="D1126" s="11" t="s">
        <v>520</v>
      </c>
      <c r="E1126" s="7" t="s">
        <v>121</v>
      </c>
      <c r="F1126" s="8" t="s">
        <v>148</v>
      </c>
      <c r="G1126" s="48" t="s">
        <v>560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332</v>
      </c>
    </row>
    <row r="1127" spans="1:17" s="9" customFormat="1" ht="30" x14ac:dyDescent="0.25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473</v>
      </c>
      <c r="G1127" s="48" t="s">
        <v>560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331</v>
      </c>
    </row>
    <row r="1128" spans="1:17" s="9" customFormat="1" ht="30" x14ac:dyDescent="0.25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560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331</v>
      </c>
    </row>
    <row r="1129" spans="1:17" s="9" customFormat="1" ht="30" x14ac:dyDescent="0.25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560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331</v>
      </c>
    </row>
    <row r="1130" spans="1:17" s="9" customFormat="1" ht="30" x14ac:dyDescent="0.25">
      <c r="A1130" s="5">
        <v>173</v>
      </c>
      <c r="B1130" s="6">
        <v>654321</v>
      </c>
      <c r="C1130" s="30" t="s">
        <v>106</v>
      </c>
      <c r="D1130" s="11" t="s">
        <v>519</v>
      </c>
      <c r="E1130" s="7" t="s">
        <v>126</v>
      </c>
      <c r="F1130" s="8" t="s">
        <v>149</v>
      </c>
      <c r="G1130" s="48" t="s">
        <v>560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339</v>
      </c>
    </row>
    <row r="1131" spans="1:17" s="9" customFormat="1" ht="30" x14ac:dyDescent="0.25">
      <c r="A1131" s="5">
        <v>174</v>
      </c>
      <c r="B1131" s="6">
        <v>654321</v>
      </c>
      <c r="C1131" s="30" t="s">
        <v>106</v>
      </c>
      <c r="D1131" s="11" t="s">
        <v>509</v>
      </c>
      <c r="E1131" s="7" t="s">
        <v>126</v>
      </c>
      <c r="F1131" s="8" t="s">
        <v>150</v>
      </c>
      <c r="G1131" s="48" t="s">
        <v>560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339</v>
      </c>
    </row>
    <row r="1132" spans="1:17" s="9" customFormat="1" ht="30" x14ac:dyDescent="0.25">
      <c r="A1132" s="5">
        <v>175</v>
      </c>
      <c r="B1132" s="6">
        <v>654321</v>
      </c>
      <c r="C1132" s="30" t="s">
        <v>106</v>
      </c>
      <c r="D1132" s="11" t="s">
        <v>512</v>
      </c>
      <c r="E1132" s="7" t="s">
        <v>107</v>
      </c>
      <c r="F1132" s="8" t="s">
        <v>152</v>
      </c>
      <c r="G1132" s="48" t="s">
        <v>560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322</v>
      </c>
    </row>
    <row r="1133" spans="1:17" s="9" customFormat="1" ht="30" x14ac:dyDescent="0.25">
      <c r="A1133" s="5">
        <v>176</v>
      </c>
      <c r="B1133" s="6">
        <v>654321</v>
      </c>
      <c r="C1133" s="30" t="s">
        <v>106</v>
      </c>
      <c r="D1133" s="11" t="s">
        <v>513</v>
      </c>
      <c r="E1133" s="7" t="s">
        <v>107</v>
      </c>
      <c r="F1133" s="8" t="s">
        <v>153</v>
      </c>
      <c r="G1133" s="48" t="s">
        <v>560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322</v>
      </c>
    </row>
    <row r="1134" spans="1:17" s="9" customFormat="1" ht="30" x14ac:dyDescent="0.25">
      <c r="A1134" s="5">
        <v>177</v>
      </c>
      <c r="B1134" s="6">
        <v>654321</v>
      </c>
      <c r="C1134" s="30" t="s">
        <v>106</v>
      </c>
      <c r="D1134" s="11" t="s">
        <v>512</v>
      </c>
      <c r="E1134" s="7" t="s">
        <v>107</v>
      </c>
      <c r="F1134" s="8" t="s">
        <v>151</v>
      </c>
      <c r="G1134" s="48" t="s">
        <v>560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324</v>
      </c>
    </row>
    <row r="1135" spans="1:17" s="9" customFormat="1" ht="30" x14ac:dyDescent="0.25">
      <c r="A1135" s="5">
        <v>178</v>
      </c>
      <c r="B1135" s="6">
        <v>654321</v>
      </c>
      <c r="C1135" s="30" t="s">
        <v>106</v>
      </c>
      <c r="D1135" s="11" t="s">
        <v>512</v>
      </c>
      <c r="E1135" s="7" t="s">
        <v>121</v>
      </c>
      <c r="F1135" s="8" t="s">
        <v>143</v>
      </c>
      <c r="G1135" s="48" t="s">
        <v>560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333</v>
      </c>
    </row>
    <row r="1136" spans="1:17" s="9" customFormat="1" ht="30" x14ac:dyDescent="0.25">
      <c r="A1136" s="5">
        <v>179</v>
      </c>
      <c r="B1136" s="6">
        <v>654321</v>
      </c>
      <c r="C1136" s="30" t="s">
        <v>106</v>
      </c>
      <c r="D1136" s="11" t="s">
        <v>512</v>
      </c>
      <c r="E1136" s="7" t="s">
        <v>121</v>
      </c>
      <c r="F1136" s="8" t="s">
        <v>154</v>
      </c>
      <c r="G1136" s="48" t="s">
        <v>560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334</v>
      </c>
    </row>
    <row r="1137" spans="1:17" s="9" customFormat="1" ht="30" x14ac:dyDescent="0.25">
      <c r="A1137" s="5">
        <v>180</v>
      </c>
      <c r="B1137" s="6">
        <v>654321</v>
      </c>
      <c r="C1137" s="30" t="s">
        <v>106</v>
      </c>
      <c r="D1137" s="11" t="s">
        <v>504</v>
      </c>
      <c r="E1137" s="7" t="s">
        <v>155</v>
      </c>
      <c r="F1137" s="8" t="s">
        <v>524</v>
      </c>
      <c r="G1137" s="48" t="s">
        <v>560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348</v>
      </c>
    </row>
    <row r="1138" spans="1:17" s="9" customFormat="1" ht="30" x14ac:dyDescent="0.25">
      <c r="A1138" s="5">
        <v>181</v>
      </c>
      <c r="B1138" s="6">
        <v>654321</v>
      </c>
      <c r="C1138" s="30" t="s">
        <v>106</v>
      </c>
      <c r="D1138" s="11" t="s">
        <v>525</v>
      </c>
      <c r="E1138" s="7" t="s">
        <v>155</v>
      </c>
      <c r="F1138" s="8" t="s">
        <v>156</v>
      </c>
      <c r="G1138" s="48" t="s">
        <v>560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349</v>
      </c>
    </row>
    <row r="1139" spans="1:17" s="9" customFormat="1" ht="30" x14ac:dyDescent="0.25">
      <c r="A1139" s="5">
        <v>182</v>
      </c>
      <c r="B1139" s="6">
        <v>654321</v>
      </c>
      <c r="C1139" s="30" t="s">
        <v>106</v>
      </c>
      <c r="D1139" s="11" t="s">
        <v>525</v>
      </c>
      <c r="E1139" s="7" t="s">
        <v>155</v>
      </c>
      <c r="F1139" s="8" t="s">
        <v>412</v>
      </c>
      <c r="G1139" s="48" t="s">
        <v>560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347</v>
      </c>
    </row>
    <row r="1140" spans="1:17" s="9" customFormat="1" ht="30" x14ac:dyDescent="0.25">
      <c r="A1140" s="5">
        <v>183</v>
      </c>
      <c r="B1140" s="6">
        <v>654321</v>
      </c>
      <c r="C1140" s="30" t="s">
        <v>106</v>
      </c>
      <c r="D1140" s="11" t="s">
        <v>504</v>
      </c>
      <c r="E1140" s="7" t="s">
        <v>107</v>
      </c>
      <c r="F1140" s="8" t="s">
        <v>502</v>
      </c>
      <c r="G1140" s="48" t="s">
        <v>560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325</v>
      </c>
    </row>
    <row r="1141" spans="1:17" s="9" customFormat="1" ht="30" x14ac:dyDescent="0.25">
      <c r="A1141" s="5">
        <v>184</v>
      </c>
      <c r="B1141" s="6">
        <v>654321</v>
      </c>
      <c r="C1141" s="30" t="s">
        <v>106</v>
      </c>
      <c r="D1141" s="11" t="s">
        <v>504</v>
      </c>
      <c r="E1141" s="7" t="s">
        <v>107</v>
      </c>
      <c r="F1141" s="35" t="s">
        <v>460</v>
      </c>
      <c r="G1141" s="48" t="s">
        <v>560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323</v>
      </c>
    </row>
    <row r="1142" spans="1:17" s="9" customFormat="1" ht="30" x14ac:dyDescent="0.25">
      <c r="A1142" s="5">
        <v>185</v>
      </c>
      <c r="B1142" s="6">
        <v>654321</v>
      </c>
      <c r="C1142" s="30" t="s">
        <v>106</v>
      </c>
      <c r="D1142" s="11" t="s">
        <v>504</v>
      </c>
      <c r="E1142" s="7" t="s">
        <v>107</v>
      </c>
      <c r="F1142" s="8" t="s">
        <v>413</v>
      </c>
      <c r="G1142" s="48" t="s">
        <v>560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326</v>
      </c>
    </row>
    <row r="1143" spans="1:17" s="9" customFormat="1" ht="30" x14ac:dyDescent="0.25">
      <c r="A1143" s="5">
        <v>186</v>
      </c>
      <c r="B1143" s="6">
        <v>654321</v>
      </c>
      <c r="C1143" s="30" t="s">
        <v>106</v>
      </c>
      <c r="D1143" s="11" t="s">
        <v>504</v>
      </c>
      <c r="E1143" s="7" t="s">
        <v>107</v>
      </c>
      <c r="F1143" s="8" t="s">
        <v>161</v>
      </c>
      <c r="G1143" s="48" t="s">
        <v>560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327</v>
      </c>
    </row>
    <row r="1144" spans="1:17" s="9" customFormat="1" ht="30" x14ac:dyDescent="0.25">
      <c r="A1144" s="5">
        <v>187</v>
      </c>
      <c r="B1144" s="6">
        <v>654321</v>
      </c>
      <c r="C1144" s="30" t="s">
        <v>106</v>
      </c>
      <c r="D1144" s="11" t="s">
        <v>504</v>
      </c>
      <c r="E1144" s="7" t="s">
        <v>107</v>
      </c>
      <c r="F1144" s="8" t="s">
        <v>160</v>
      </c>
      <c r="G1144" s="48" t="s">
        <v>560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327</v>
      </c>
    </row>
    <row r="1145" spans="1:17" s="9" customFormat="1" ht="30" x14ac:dyDescent="0.25">
      <c r="A1145" s="5">
        <v>188</v>
      </c>
      <c r="B1145" s="6">
        <v>654321</v>
      </c>
      <c r="C1145" s="30" t="s">
        <v>106</v>
      </c>
      <c r="D1145" s="11" t="s">
        <v>504</v>
      </c>
      <c r="E1145" s="7" t="s">
        <v>107</v>
      </c>
      <c r="F1145" s="8" t="s">
        <v>465</v>
      </c>
      <c r="G1145" s="48" t="s">
        <v>560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328</v>
      </c>
    </row>
    <row r="1146" spans="1:17" s="9" customFormat="1" ht="30" x14ac:dyDescent="0.25">
      <c r="A1146" s="5">
        <v>189</v>
      </c>
      <c r="B1146" s="6">
        <v>654321</v>
      </c>
      <c r="C1146" s="30" t="s">
        <v>106</v>
      </c>
      <c r="D1146" s="11" t="s">
        <v>512</v>
      </c>
      <c r="E1146" s="7" t="s">
        <v>107</v>
      </c>
      <c r="F1146" s="8" t="s">
        <v>158</v>
      </c>
      <c r="G1146" s="48" t="s">
        <v>560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323</v>
      </c>
    </row>
    <row r="1147" spans="1:17" s="9" customFormat="1" ht="30" x14ac:dyDescent="0.25">
      <c r="A1147" s="5">
        <v>190</v>
      </c>
      <c r="B1147" s="6">
        <v>654321</v>
      </c>
      <c r="C1147" s="30" t="s">
        <v>106</v>
      </c>
      <c r="D1147" s="11" t="s">
        <v>511</v>
      </c>
      <c r="E1147" s="7" t="s">
        <v>107</v>
      </c>
      <c r="F1147" s="8" t="s">
        <v>466</v>
      </c>
      <c r="G1147" s="48" t="s">
        <v>560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319</v>
      </c>
    </row>
    <row r="1148" spans="1:17" s="9" customFormat="1" ht="30" x14ac:dyDescent="0.25">
      <c r="A1148" s="5">
        <v>191</v>
      </c>
      <c r="B1148" s="6">
        <v>654321</v>
      </c>
      <c r="C1148" s="30" t="s">
        <v>106</v>
      </c>
      <c r="D1148" s="11" t="s">
        <v>511</v>
      </c>
      <c r="E1148" s="7" t="s">
        <v>107</v>
      </c>
      <c r="F1148" s="8" t="s">
        <v>469</v>
      </c>
      <c r="G1148" s="48" t="s">
        <v>560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319</v>
      </c>
    </row>
    <row r="1149" spans="1:17" s="9" customFormat="1" ht="30" x14ac:dyDescent="0.25">
      <c r="A1149" s="5">
        <v>192</v>
      </c>
      <c r="B1149" s="6">
        <v>654321</v>
      </c>
      <c r="C1149" s="30" t="s">
        <v>106</v>
      </c>
      <c r="D1149" s="11" t="s">
        <v>511</v>
      </c>
      <c r="E1149" s="7" t="s">
        <v>107</v>
      </c>
      <c r="F1149" s="34" t="s">
        <v>118</v>
      </c>
      <c r="G1149" s="48" t="s">
        <v>560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30" x14ac:dyDescent="0.25">
      <c r="A1150" s="5">
        <v>193</v>
      </c>
      <c r="B1150" s="6">
        <v>654321</v>
      </c>
      <c r="C1150" s="30" t="s">
        <v>106</v>
      </c>
      <c r="D1150" s="11" t="s">
        <v>504</v>
      </c>
      <c r="E1150" s="7" t="s">
        <v>107</v>
      </c>
      <c r="F1150" s="8" t="s">
        <v>159</v>
      </c>
      <c r="G1150" s="48" t="s">
        <v>560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329</v>
      </c>
    </row>
    <row r="1151" spans="1:17" s="9" customFormat="1" ht="30" x14ac:dyDescent="0.25">
      <c r="A1151" s="5">
        <v>194</v>
      </c>
      <c r="B1151" s="6">
        <v>654321</v>
      </c>
      <c r="C1151" s="30" t="s">
        <v>106</v>
      </c>
      <c r="D1151" s="11" t="s">
        <v>504</v>
      </c>
      <c r="E1151" s="7" t="s">
        <v>121</v>
      </c>
      <c r="F1151" s="8" t="s">
        <v>164</v>
      </c>
      <c r="G1151" s="48" t="s">
        <v>560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335</v>
      </c>
    </row>
    <row r="1152" spans="1:17" s="9" customFormat="1" ht="30" x14ac:dyDescent="0.25">
      <c r="A1152" s="5">
        <v>195</v>
      </c>
      <c r="B1152" s="6">
        <v>654321</v>
      </c>
      <c r="C1152" s="30" t="s">
        <v>106</v>
      </c>
      <c r="D1152" s="11" t="s">
        <v>504</v>
      </c>
      <c r="E1152" s="7" t="s">
        <v>121</v>
      </c>
      <c r="F1152" s="8" t="s">
        <v>165</v>
      </c>
      <c r="G1152" s="48" t="s">
        <v>560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335</v>
      </c>
    </row>
    <row r="1153" spans="1:17" s="9" customFormat="1" ht="30" x14ac:dyDescent="0.25">
      <c r="A1153" s="5">
        <v>196</v>
      </c>
      <c r="B1153" s="6">
        <v>654321</v>
      </c>
      <c r="C1153" s="30" t="s">
        <v>106</v>
      </c>
      <c r="D1153" s="11" t="s">
        <v>504</v>
      </c>
      <c r="E1153" s="7" t="s">
        <v>121</v>
      </c>
      <c r="F1153" s="8" t="s">
        <v>166</v>
      </c>
      <c r="G1153" s="48" t="s">
        <v>560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336</v>
      </c>
    </row>
    <row r="1154" spans="1:17" s="9" customFormat="1" ht="30" x14ac:dyDescent="0.25">
      <c r="A1154" s="5">
        <v>197</v>
      </c>
      <c r="B1154" s="6">
        <v>654321</v>
      </c>
      <c r="C1154" s="30" t="s">
        <v>106</v>
      </c>
      <c r="D1154" s="11" t="s">
        <v>504</v>
      </c>
      <c r="E1154" s="7" t="s">
        <v>121</v>
      </c>
      <c r="F1154" s="8" t="s">
        <v>167</v>
      </c>
      <c r="G1154" s="48" t="s">
        <v>560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335</v>
      </c>
    </row>
    <row r="1155" spans="1:17" s="9" customFormat="1" ht="30" x14ac:dyDescent="0.25">
      <c r="A1155" s="5">
        <v>198</v>
      </c>
      <c r="B1155" s="6">
        <v>654321</v>
      </c>
      <c r="C1155" s="30" t="s">
        <v>106</v>
      </c>
      <c r="D1155" s="11" t="s">
        <v>512</v>
      </c>
      <c r="E1155" s="7" t="s">
        <v>155</v>
      </c>
      <c r="F1155" s="8" t="s">
        <v>168</v>
      </c>
      <c r="G1155" s="48" t="s">
        <v>560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351</v>
      </c>
    </row>
    <row r="1156" spans="1:17" s="9" customFormat="1" ht="30" x14ac:dyDescent="0.25">
      <c r="A1156" s="5">
        <v>199</v>
      </c>
      <c r="B1156" s="6">
        <v>654321</v>
      </c>
      <c r="C1156" s="30" t="s">
        <v>106</v>
      </c>
      <c r="D1156" s="11" t="s">
        <v>512</v>
      </c>
      <c r="E1156" s="7" t="s">
        <v>155</v>
      </c>
      <c r="F1156" s="8" t="s">
        <v>479</v>
      </c>
      <c r="G1156" s="48" t="s">
        <v>560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350</v>
      </c>
    </row>
    <row r="1157" spans="1:17" s="9" customFormat="1" ht="30" x14ac:dyDescent="0.25">
      <c r="A1157" s="5">
        <v>200</v>
      </c>
      <c r="B1157" s="6">
        <v>654321</v>
      </c>
      <c r="C1157" s="30" t="s">
        <v>106</v>
      </c>
      <c r="D1157" s="11" t="s">
        <v>526</v>
      </c>
      <c r="E1157" s="7" t="s">
        <v>155</v>
      </c>
      <c r="F1157" s="8" t="s">
        <v>414</v>
      </c>
      <c r="G1157" s="48" t="s">
        <v>560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350</v>
      </c>
    </row>
    <row r="1158" spans="1:17" s="9" customFormat="1" ht="30" x14ac:dyDescent="0.25">
      <c r="A1158" s="5">
        <v>201</v>
      </c>
      <c r="B1158" s="6">
        <v>654321</v>
      </c>
      <c r="C1158" s="30" t="s">
        <v>106</v>
      </c>
      <c r="D1158" s="11" t="s">
        <v>504</v>
      </c>
      <c r="E1158" s="7" t="s">
        <v>155</v>
      </c>
      <c r="F1158" s="8" t="s">
        <v>162</v>
      </c>
      <c r="G1158" s="48" t="s">
        <v>560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351</v>
      </c>
    </row>
    <row r="1159" spans="1:17" s="9" customFormat="1" ht="30" x14ac:dyDescent="0.25">
      <c r="A1159" s="5">
        <v>202</v>
      </c>
      <c r="B1159" s="6">
        <v>654321</v>
      </c>
      <c r="C1159" s="30" t="s">
        <v>106</v>
      </c>
      <c r="D1159" s="11" t="s">
        <v>504</v>
      </c>
      <c r="E1159" s="7" t="s">
        <v>155</v>
      </c>
      <c r="F1159" s="8" t="s">
        <v>163</v>
      </c>
      <c r="G1159" s="48" t="s">
        <v>560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351</v>
      </c>
    </row>
    <row r="1160" spans="1:17" s="9" customFormat="1" ht="30" x14ac:dyDescent="0.25">
      <c r="A1160" s="5">
        <v>203</v>
      </c>
      <c r="B1160" s="6">
        <v>654321</v>
      </c>
      <c r="C1160" s="30" t="s">
        <v>106</v>
      </c>
      <c r="D1160" s="11" t="s">
        <v>504</v>
      </c>
      <c r="E1160" s="7" t="s">
        <v>126</v>
      </c>
      <c r="F1160" s="8" t="s">
        <v>527</v>
      </c>
      <c r="G1160" s="48" t="s">
        <v>560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341</v>
      </c>
    </row>
    <row r="1161" spans="1:17" s="9" customFormat="1" ht="30" x14ac:dyDescent="0.25">
      <c r="A1161" s="5">
        <v>204</v>
      </c>
      <c r="B1161" s="6">
        <v>654321</v>
      </c>
      <c r="C1161" s="30" t="s">
        <v>106</v>
      </c>
      <c r="D1161" s="11" t="s">
        <v>504</v>
      </c>
      <c r="E1161" s="7" t="s">
        <v>126</v>
      </c>
      <c r="F1161" s="8" t="s">
        <v>173</v>
      </c>
      <c r="G1161" s="48" t="s">
        <v>560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342</v>
      </c>
    </row>
    <row r="1162" spans="1:17" s="9" customFormat="1" ht="30" x14ac:dyDescent="0.25">
      <c r="A1162" s="5">
        <v>205</v>
      </c>
      <c r="B1162" s="6">
        <v>654321</v>
      </c>
      <c r="C1162" s="30" t="s">
        <v>106</v>
      </c>
      <c r="D1162" s="11" t="s">
        <v>516</v>
      </c>
      <c r="E1162" s="7" t="s">
        <v>126</v>
      </c>
      <c r="F1162" s="8" t="s">
        <v>175</v>
      </c>
      <c r="G1162" s="48" t="s">
        <v>560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340</v>
      </c>
    </row>
    <row r="1163" spans="1:17" s="9" customFormat="1" ht="30" x14ac:dyDescent="0.25">
      <c r="A1163" s="5">
        <v>206</v>
      </c>
      <c r="B1163" s="6">
        <v>654321</v>
      </c>
      <c r="C1163" s="30" t="s">
        <v>106</v>
      </c>
      <c r="D1163" s="11" t="s">
        <v>504</v>
      </c>
      <c r="E1163" s="7" t="s">
        <v>126</v>
      </c>
      <c r="F1163" s="8" t="s">
        <v>176</v>
      </c>
      <c r="G1163" s="48" t="s">
        <v>560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340</v>
      </c>
    </row>
    <row r="1164" spans="1:17" s="9" customFormat="1" ht="30" x14ac:dyDescent="0.25">
      <c r="A1164" s="5">
        <v>207</v>
      </c>
      <c r="B1164" s="6">
        <v>654321</v>
      </c>
      <c r="C1164" s="30" t="s">
        <v>106</v>
      </c>
      <c r="D1164" s="11" t="s">
        <v>504</v>
      </c>
      <c r="E1164" s="7" t="s">
        <v>126</v>
      </c>
      <c r="F1164" s="8" t="s">
        <v>529</v>
      </c>
      <c r="G1164" s="48" t="s">
        <v>560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341</v>
      </c>
    </row>
    <row r="1165" spans="1:17" s="9" customFormat="1" ht="30" x14ac:dyDescent="0.25">
      <c r="A1165" s="5">
        <v>208</v>
      </c>
      <c r="B1165" s="6">
        <v>654321</v>
      </c>
      <c r="C1165" s="30" t="s">
        <v>106</v>
      </c>
      <c r="D1165" s="11" t="s">
        <v>504</v>
      </c>
      <c r="E1165" s="7" t="s">
        <v>126</v>
      </c>
      <c r="F1165" s="8" t="s">
        <v>169</v>
      </c>
      <c r="G1165" s="48" t="s">
        <v>560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343</v>
      </c>
    </row>
    <row r="1166" spans="1:17" s="9" customFormat="1" ht="30" x14ac:dyDescent="0.25">
      <c r="A1166" s="5">
        <v>209</v>
      </c>
      <c r="B1166" s="6">
        <v>654321</v>
      </c>
      <c r="C1166" s="30" t="s">
        <v>106</v>
      </c>
      <c r="D1166" s="11" t="s">
        <v>504</v>
      </c>
      <c r="E1166" s="7" t="s">
        <v>126</v>
      </c>
      <c r="F1166" s="8" t="s">
        <v>174</v>
      </c>
      <c r="G1166" s="48" t="s">
        <v>560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343</v>
      </c>
    </row>
    <row r="1167" spans="1:17" s="9" customFormat="1" ht="30" x14ac:dyDescent="0.25">
      <c r="A1167" s="5">
        <v>210</v>
      </c>
      <c r="B1167" s="6">
        <v>654321</v>
      </c>
      <c r="C1167" s="30" t="s">
        <v>106</v>
      </c>
      <c r="D1167" s="11" t="s">
        <v>504</v>
      </c>
      <c r="E1167" s="7" t="s">
        <v>126</v>
      </c>
      <c r="F1167" s="8" t="s">
        <v>545</v>
      </c>
      <c r="G1167" s="48" t="s">
        <v>560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342</v>
      </c>
    </row>
    <row r="1168" spans="1:17" s="9" customFormat="1" ht="30" x14ac:dyDescent="0.25">
      <c r="A1168" s="5">
        <v>211</v>
      </c>
      <c r="B1168" s="6">
        <v>654321</v>
      </c>
      <c r="C1168" s="30" t="s">
        <v>106</v>
      </c>
      <c r="D1168" s="11" t="s">
        <v>504</v>
      </c>
      <c r="E1168" s="7" t="s">
        <v>126</v>
      </c>
      <c r="F1168" s="8" t="s">
        <v>177</v>
      </c>
      <c r="G1168" s="48" t="s">
        <v>560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343</v>
      </c>
    </row>
    <row r="1169" spans="1:17" s="9" customFormat="1" ht="30" x14ac:dyDescent="0.25">
      <c r="A1169" s="5">
        <v>212</v>
      </c>
      <c r="B1169" s="6">
        <v>654321</v>
      </c>
      <c r="C1169" s="30" t="s">
        <v>106</v>
      </c>
      <c r="D1169" s="11" t="s">
        <v>504</v>
      </c>
      <c r="E1169" s="7" t="s">
        <v>126</v>
      </c>
      <c r="F1169" s="8" t="s">
        <v>170</v>
      </c>
      <c r="G1169" s="48" t="s">
        <v>560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342</v>
      </c>
    </row>
    <row r="1170" spans="1:17" s="9" customFormat="1" ht="30" x14ac:dyDescent="0.25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547</v>
      </c>
      <c r="G1170" s="48" t="s">
        <v>560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342</v>
      </c>
    </row>
    <row r="1171" spans="1:17" s="9" customFormat="1" ht="30" x14ac:dyDescent="0.25">
      <c r="A1171" s="5">
        <v>214</v>
      </c>
      <c r="B1171" s="6">
        <v>654321</v>
      </c>
      <c r="C1171" s="30" t="s">
        <v>106</v>
      </c>
      <c r="D1171" s="11" t="s">
        <v>504</v>
      </c>
      <c r="E1171" s="7" t="s">
        <v>126</v>
      </c>
      <c r="F1171" s="8" t="s">
        <v>172</v>
      </c>
      <c r="G1171" s="48" t="s">
        <v>560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340</v>
      </c>
    </row>
    <row r="1172" spans="1:17" s="9" customFormat="1" ht="30" x14ac:dyDescent="0.25">
      <c r="A1172" s="5">
        <v>215</v>
      </c>
      <c r="B1172" s="6">
        <v>654321</v>
      </c>
      <c r="C1172" s="30" t="s">
        <v>106</v>
      </c>
      <c r="D1172" s="11" t="s">
        <v>504</v>
      </c>
      <c r="E1172" s="7" t="s">
        <v>126</v>
      </c>
      <c r="F1172" s="8" t="s">
        <v>178</v>
      </c>
      <c r="G1172" s="48" t="s">
        <v>560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342</v>
      </c>
    </row>
    <row r="1173" spans="1:17" s="9" customFormat="1" ht="30" x14ac:dyDescent="0.25">
      <c r="A1173" s="5">
        <v>216</v>
      </c>
      <c r="B1173" s="6">
        <v>654321</v>
      </c>
      <c r="C1173" s="30" t="s">
        <v>106</v>
      </c>
      <c r="D1173" s="11" t="s">
        <v>504</v>
      </c>
      <c r="E1173" s="7" t="s">
        <v>126</v>
      </c>
      <c r="F1173" s="8" t="s">
        <v>171</v>
      </c>
      <c r="G1173" s="48" t="s">
        <v>560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342</v>
      </c>
    </row>
    <row r="1174" spans="1:17" s="9" customFormat="1" ht="30" x14ac:dyDescent="0.25">
      <c r="A1174" s="5">
        <v>217</v>
      </c>
      <c r="B1174" s="6">
        <v>654321</v>
      </c>
      <c r="C1174" s="30" t="s">
        <v>106</v>
      </c>
      <c r="D1174" s="11" t="s">
        <v>504</v>
      </c>
      <c r="E1174" s="7" t="s">
        <v>107</v>
      </c>
      <c r="F1174" s="8" t="s">
        <v>180</v>
      </c>
      <c r="G1174" s="48" t="s">
        <v>560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 ht="30" x14ac:dyDescent="0.25">
      <c r="A1175" s="5">
        <v>218</v>
      </c>
      <c r="B1175" s="6">
        <v>654321</v>
      </c>
      <c r="C1175" s="30" t="s">
        <v>106</v>
      </c>
      <c r="D1175" s="11" t="s">
        <v>507</v>
      </c>
      <c r="E1175" s="7" t="s">
        <v>107</v>
      </c>
      <c r="F1175" s="8" t="s">
        <v>463</v>
      </c>
      <c r="G1175" s="48" t="s">
        <v>560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 ht="30" x14ac:dyDescent="0.25">
      <c r="A1176" s="5">
        <v>219</v>
      </c>
      <c r="B1176" s="6">
        <v>654321</v>
      </c>
      <c r="C1176" s="30" t="s">
        <v>106</v>
      </c>
      <c r="D1176" s="11" t="s">
        <v>504</v>
      </c>
      <c r="E1176" s="7" t="s">
        <v>126</v>
      </c>
      <c r="F1176" s="8" t="s">
        <v>182</v>
      </c>
      <c r="G1176" s="48" t="s">
        <v>560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345</v>
      </c>
    </row>
    <row r="1177" spans="1:17" s="9" customFormat="1" ht="30" x14ac:dyDescent="0.25">
      <c r="A1177" s="5">
        <v>220</v>
      </c>
      <c r="B1177" s="6">
        <v>654321</v>
      </c>
      <c r="C1177" s="30" t="s">
        <v>106</v>
      </c>
      <c r="D1177" s="11" t="s">
        <v>504</v>
      </c>
      <c r="E1177" s="7" t="s">
        <v>107</v>
      </c>
      <c r="F1177" s="8" t="s">
        <v>179</v>
      </c>
      <c r="G1177" s="48" t="s">
        <v>560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330</v>
      </c>
    </row>
    <row r="1178" spans="1:17" s="9" customFormat="1" ht="30" x14ac:dyDescent="0.25">
      <c r="A1178" s="5">
        <v>221</v>
      </c>
      <c r="B1178" s="6">
        <v>654321</v>
      </c>
      <c r="C1178" s="30" t="s">
        <v>106</v>
      </c>
      <c r="D1178" s="11" t="s">
        <v>504</v>
      </c>
      <c r="E1178" s="7" t="s">
        <v>121</v>
      </c>
      <c r="F1178" s="8" t="s">
        <v>184</v>
      </c>
      <c r="G1178" s="48" t="s">
        <v>560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337</v>
      </c>
    </row>
    <row r="1179" spans="1:17" s="9" customFormat="1" ht="30" x14ac:dyDescent="0.25">
      <c r="A1179" s="5">
        <v>222</v>
      </c>
      <c r="B1179" s="6">
        <v>654321</v>
      </c>
      <c r="C1179" s="30" t="s">
        <v>106</v>
      </c>
      <c r="D1179" s="11" t="s">
        <v>516</v>
      </c>
      <c r="E1179" s="7" t="s">
        <v>121</v>
      </c>
      <c r="F1179" s="8" t="s">
        <v>185</v>
      </c>
      <c r="G1179" s="48" t="s">
        <v>560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338</v>
      </c>
    </row>
    <row r="1180" spans="1:17" s="9" customFormat="1" ht="30" x14ac:dyDescent="0.25">
      <c r="A1180" s="5">
        <v>223</v>
      </c>
      <c r="B1180" s="6">
        <v>654321</v>
      </c>
      <c r="C1180" s="30" t="s">
        <v>106</v>
      </c>
      <c r="D1180" s="11" t="s">
        <v>504</v>
      </c>
      <c r="E1180" s="7" t="s">
        <v>121</v>
      </c>
      <c r="F1180" s="8" t="s">
        <v>517</v>
      </c>
      <c r="G1180" s="48" t="s">
        <v>560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338</v>
      </c>
    </row>
    <row r="1181" spans="1:17" s="9" customFormat="1" ht="30" x14ac:dyDescent="0.25">
      <c r="A1181" s="5">
        <v>224</v>
      </c>
      <c r="B1181" s="6">
        <v>654321</v>
      </c>
      <c r="C1181" s="30" t="s">
        <v>106</v>
      </c>
      <c r="D1181" s="11" t="s">
        <v>504</v>
      </c>
      <c r="E1181" s="7" t="s">
        <v>121</v>
      </c>
      <c r="F1181" s="8" t="s">
        <v>518</v>
      </c>
      <c r="G1181" s="48" t="s">
        <v>560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338</v>
      </c>
    </row>
    <row r="1182" spans="1:17" s="9" customFormat="1" ht="30" x14ac:dyDescent="0.25">
      <c r="A1182" s="5">
        <v>225</v>
      </c>
      <c r="B1182" s="6">
        <v>654321</v>
      </c>
      <c r="C1182" s="30" t="s">
        <v>106</v>
      </c>
      <c r="D1182" s="11" t="s">
        <v>504</v>
      </c>
      <c r="E1182" s="7" t="s">
        <v>121</v>
      </c>
      <c r="F1182" s="8" t="s">
        <v>183</v>
      </c>
      <c r="G1182" s="48" t="s">
        <v>560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338</v>
      </c>
    </row>
    <row r="1183" spans="1:17" s="9" customFormat="1" ht="30" x14ac:dyDescent="0.25">
      <c r="A1183" s="5">
        <v>226</v>
      </c>
      <c r="B1183" s="6">
        <v>654321</v>
      </c>
      <c r="C1183" s="30" t="s">
        <v>106</v>
      </c>
      <c r="D1183" s="11" t="s">
        <v>504</v>
      </c>
      <c r="E1183" s="7" t="s">
        <v>121</v>
      </c>
      <c r="F1183" s="8" t="s">
        <v>521</v>
      </c>
      <c r="G1183" s="48" t="s">
        <v>560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338</v>
      </c>
    </row>
    <row r="1184" spans="1:17" s="9" customFormat="1" ht="30" x14ac:dyDescent="0.25">
      <c r="A1184" s="5">
        <v>227</v>
      </c>
      <c r="B1184" s="6">
        <v>654321</v>
      </c>
      <c r="C1184" s="30" t="s">
        <v>106</v>
      </c>
      <c r="D1184" s="11" t="s">
        <v>504</v>
      </c>
      <c r="E1184" s="7" t="s">
        <v>121</v>
      </c>
      <c r="F1184" s="8" t="s">
        <v>522</v>
      </c>
      <c r="G1184" s="48" t="s">
        <v>560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338</v>
      </c>
    </row>
    <row r="1185" spans="1:17" s="9" customFormat="1" ht="30" x14ac:dyDescent="0.25">
      <c r="A1185" s="5">
        <v>228</v>
      </c>
      <c r="B1185" s="6">
        <v>654321</v>
      </c>
      <c r="C1185" s="30" t="s">
        <v>106</v>
      </c>
      <c r="D1185" s="11" t="s">
        <v>504</v>
      </c>
      <c r="E1185" s="7" t="s">
        <v>121</v>
      </c>
      <c r="F1185" s="8" t="s">
        <v>523</v>
      </c>
      <c r="G1185" s="48" t="s">
        <v>560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338</v>
      </c>
    </row>
    <row r="1186" spans="1:17" s="9" customFormat="1" ht="30" x14ac:dyDescent="0.25">
      <c r="A1186" s="5">
        <v>229</v>
      </c>
      <c r="B1186" s="6">
        <v>654321</v>
      </c>
      <c r="C1186" s="30" t="s">
        <v>106</v>
      </c>
      <c r="D1186" s="11" t="s">
        <v>504</v>
      </c>
      <c r="E1186" s="7" t="s">
        <v>155</v>
      </c>
      <c r="F1186" s="8" t="s">
        <v>186</v>
      </c>
      <c r="G1186" s="48" t="s">
        <v>560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352</v>
      </c>
    </row>
    <row r="1187" spans="1:17" s="9" customFormat="1" ht="30" x14ac:dyDescent="0.25">
      <c r="A1187" s="5">
        <v>230</v>
      </c>
      <c r="B1187" s="6">
        <v>654321</v>
      </c>
      <c r="C1187" s="30" t="s">
        <v>106</v>
      </c>
      <c r="D1187" s="11" t="s">
        <v>504</v>
      </c>
      <c r="E1187" s="7" t="s">
        <v>155</v>
      </c>
      <c r="F1187" s="8" t="s">
        <v>181</v>
      </c>
      <c r="G1187" s="48" t="s">
        <v>560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352</v>
      </c>
    </row>
    <row r="1188" spans="1:17" s="9" customFormat="1" ht="30" x14ac:dyDescent="0.25">
      <c r="A1188" s="5">
        <v>231</v>
      </c>
      <c r="B1188" s="6">
        <v>654321</v>
      </c>
      <c r="C1188" s="30" t="s">
        <v>106</v>
      </c>
      <c r="D1188" s="11" t="s">
        <v>504</v>
      </c>
      <c r="E1188" s="7" t="s">
        <v>155</v>
      </c>
      <c r="F1188" s="8" t="s">
        <v>480</v>
      </c>
      <c r="G1188" s="48" t="s">
        <v>560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353</v>
      </c>
    </row>
    <row r="1189" spans="1:17" s="9" customFormat="1" ht="30" x14ac:dyDescent="0.25">
      <c r="A1189" s="5">
        <v>232</v>
      </c>
      <c r="B1189" s="6">
        <v>654321</v>
      </c>
      <c r="C1189" s="30" t="s">
        <v>106</v>
      </c>
      <c r="D1189" s="11" t="s">
        <v>504</v>
      </c>
      <c r="E1189" s="7" t="s">
        <v>126</v>
      </c>
      <c r="F1189" s="8" t="s">
        <v>546</v>
      </c>
      <c r="G1189" s="48" t="s">
        <v>560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346</v>
      </c>
    </row>
    <row r="1190" spans="1:17" s="9" customFormat="1" ht="30" x14ac:dyDescent="0.25">
      <c r="A1190" s="5">
        <v>233</v>
      </c>
      <c r="B1190" s="6">
        <v>654321</v>
      </c>
      <c r="C1190" s="30" t="s">
        <v>106</v>
      </c>
      <c r="D1190" s="11" t="s">
        <v>504</v>
      </c>
      <c r="E1190" s="7" t="s">
        <v>126</v>
      </c>
      <c r="F1190" s="8" t="s">
        <v>187</v>
      </c>
      <c r="G1190" s="48" t="s">
        <v>560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344</v>
      </c>
    </row>
    <row r="1191" spans="1:17" ht="30" x14ac:dyDescent="0.25">
      <c r="A1191" s="5">
        <v>234</v>
      </c>
      <c r="B1191" s="6">
        <v>654321</v>
      </c>
      <c r="C1191" s="30" t="s">
        <v>106</v>
      </c>
      <c r="D1191" s="11" t="s">
        <v>504</v>
      </c>
      <c r="E1191" s="7" t="s">
        <v>532</v>
      </c>
      <c r="F1191" s="32" t="s">
        <v>548</v>
      </c>
      <c r="G1191" s="48" t="s">
        <v>560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30" x14ac:dyDescent="0.25">
      <c r="A1192" s="5">
        <v>235</v>
      </c>
      <c r="B1192" s="6">
        <v>654321</v>
      </c>
      <c r="C1192" s="30" t="s">
        <v>106</v>
      </c>
      <c r="D1192" s="11" t="s">
        <v>504</v>
      </c>
      <c r="E1192" s="7" t="s">
        <v>532</v>
      </c>
      <c r="F1192" s="32" t="s">
        <v>481</v>
      </c>
      <c r="G1192" s="48" t="s">
        <v>560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30" x14ac:dyDescent="0.25">
      <c r="A1193" s="5">
        <v>236</v>
      </c>
      <c r="B1193" s="6">
        <v>654321</v>
      </c>
      <c r="C1193" s="30" t="s">
        <v>106</v>
      </c>
      <c r="D1193" s="11" t="s">
        <v>504</v>
      </c>
      <c r="E1193" s="7" t="s">
        <v>532</v>
      </c>
      <c r="F1193" s="32" t="s">
        <v>482</v>
      </c>
      <c r="G1193" s="48" t="s">
        <v>560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30" x14ac:dyDescent="0.25">
      <c r="A1194" s="5">
        <v>237</v>
      </c>
      <c r="B1194" s="6">
        <v>654321</v>
      </c>
      <c r="C1194" s="30" t="s">
        <v>106</v>
      </c>
      <c r="D1194" s="11" t="s">
        <v>504</v>
      </c>
      <c r="E1194" s="7" t="s">
        <v>532</v>
      </c>
      <c r="F1194" s="32" t="s">
        <v>484</v>
      </c>
      <c r="G1194" s="48" t="s">
        <v>560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30" x14ac:dyDescent="0.25">
      <c r="A1195" s="5">
        <v>238</v>
      </c>
      <c r="B1195" s="6">
        <v>654321</v>
      </c>
      <c r="C1195" s="30" t="s">
        <v>106</v>
      </c>
      <c r="D1195" s="11" t="s">
        <v>504</v>
      </c>
      <c r="E1195" s="7" t="s">
        <v>532</v>
      </c>
      <c r="F1195" s="32" t="s">
        <v>533</v>
      </c>
      <c r="G1195" s="48" t="s">
        <v>560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30" x14ac:dyDescent="0.25">
      <c r="A1196" s="5">
        <v>239</v>
      </c>
      <c r="B1196" s="6">
        <v>654321</v>
      </c>
      <c r="C1196" s="30" t="s">
        <v>106</v>
      </c>
      <c r="D1196" s="11" t="s">
        <v>504</v>
      </c>
      <c r="E1196" s="7" t="s">
        <v>532</v>
      </c>
      <c r="F1196" s="32" t="s">
        <v>485</v>
      </c>
      <c r="G1196" s="48" t="s">
        <v>560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30" x14ac:dyDescent="0.25">
      <c r="A1197" s="5">
        <v>240</v>
      </c>
      <c r="B1197" s="6">
        <v>654321</v>
      </c>
      <c r="C1197" s="30" t="s">
        <v>106</v>
      </c>
      <c r="D1197" s="11" t="s">
        <v>504</v>
      </c>
      <c r="E1197" s="7" t="s">
        <v>532</v>
      </c>
      <c r="F1197" s="32" t="s">
        <v>486</v>
      </c>
      <c r="G1197" s="48" t="s">
        <v>560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30" x14ac:dyDescent="0.25">
      <c r="A1198" s="5">
        <v>241</v>
      </c>
      <c r="B1198" s="6">
        <v>654321</v>
      </c>
      <c r="C1198" s="30" t="s">
        <v>106</v>
      </c>
      <c r="D1198" s="11" t="s">
        <v>504</v>
      </c>
      <c r="E1198" s="7" t="s">
        <v>532</v>
      </c>
      <c r="F1198" s="32" t="s">
        <v>487</v>
      </c>
      <c r="G1198" s="48" t="s">
        <v>560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 x14ac:dyDescent="0.25">
      <c r="N1199" s="80">
        <f>IF(P3&lt;&gt;101,(N4*2),0)</f>
        <v>2</v>
      </c>
    </row>
    <row r="1201" spans="14:14" x14ac:dyDescent="0.25">
      <c r="N1201" s="80">
        <f>IF(P3&lt;=100,1,IF(AND(P3&gt;=101,P3&lt;=200),2,IF(AND(P3&gt;=201,P3&lt;=300),3,0)))</f>
        <v>1</v>
      </c>
    </row>
    <row r="1202" spans="14:14" x14ac:dyDescent="0.25">
      <c r="N1202" s="80">
        <f>P3/20</f>
        <v>3</v>
      </c>
    </row>
  </sheetData>
  <sheetProtection selectLockedCells="1" selectUnlockedCells="1"/>
  <sortState xmlns:xlrd2="http://schemas.microsoft.com/office/spreadsheetml/2017/richdata2"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view="pageBreakPreview" topLeftCell="A3" zoomScale="91" zoomScaleNormal="91" zoomScaleSheetLayoutView="91" workbookViewId="0">
      <selection activeCell="D11" sqref="D11"/>
    </sheetView>
  </sheetViews>
  <sheetFormatPr baseColWidth="10" defaultColWidth="11.42578125" defaultRowHeight="12.75" x14ac:dyDescent="0.2"/>
  <cols>
    <col min="1" max="1" width="6.5703125" style="50" customWidth="1"/>
    <col min="2" max="2" width="14.42578125" style="50" customWidth="1"/>
    <col min="3" max="3" width="24.7109375" style="50" customWidth="1"/>
    <col min="4" max="4" width="27.85546875" style="50" bestFit="1" customWidth="1"/>
    <col min="5" max="5" width="44.28515625" style="50" customWidth="1"/>
    <col min="6" max="6" width="12" style="53" customWidth="1"/>
    <col min="7" max="7" width="18.5703125" style="50" customWidth="1"/>
    <col min="8" max="8" width="13.42578125" style="50" customWidth="1"/>
    <col min="9" max="14" width="11.42578125" style="50" hidden="1" customWidth="1"/>
    <col min="15" max="15" width="8.5703125" style="50" hidden="1" customWidth="1"/>
    <col min="16" max="16384" width="11.42578125" style="50"/>
  </cols>
  <sheetData>
    <row r="1" spans="1:15" ht="72" customHeight="1" thickBot="1" x14ac:dyDescent="0.25">
      <c r="A1" s="68"/>
      <c r="B1" s="69"/>
      <c r="C1" s="69"/>
      <c r="D1" s="69"/>
      <c r="E1" s="69"/>
      <c r="F1" s="70"/>
      <c r="G1" s="69"/>
      <c r="H1" s="71"/>
    </row>
    <row r="2" spans="1:15" x14ac:dyDescent="0.2">
      <c r="A2" s="213" t="s">
        <v>551</v>
      </c>
      <c r="B2" s="214"/>
      <c r="C2" s="214"/>
      <c r="D2" s="214"/>
      <c r="E2" s="214"/>
      <c r="F2" s="214"/>
      <c r="G2" s="214"/>
      <c r="H2" s="215"/>
    </row>
    <row r="3" spans="1:15" x14ac:dyDescent="0.2">
      <c r="A3" s="216" t="s">
        <v>418</v>
      </c>
      <c r="B3" s="217"/>
      <c r="C3" s="217"/>
      <c r="D3" s="217"/>
      <c r="E3" s="217"/>
      <c r="F3" s="217"/>
      <c r="G3" s="217"/>
      <c r="H3" s="218"/>
    </row>
    <row r="4" spans="1:15" ht="6.75" customHeight="1" thickBot="1" x14ac:dyDescent="0.25">
      <c r="A4" s="219"/>
      <c r="B4" s="220"/>
      <c r="C4" s="220"/>
      <c r="D4" s="220"/>
      <c r="E4" s="220"/>
      <c r="F4" s="220"/>
      <c r="G4" s="220"/>
      <c r="H4" s="221"/>
    </row>
    <row r="5" spans="1:15" ht="13.5" thickBot="1" x14ac:dyDescent="0.25">
      <c r="A5" s="222" t="s">
        <v>731</v>
      </c>
      <c r="B5" s="222"/>
      <c r="C5" s="222"/>
      <c r="D5" s="222"/>
      <c r="E5" s="222"/>
      <c r="F5" s="222"/>
      <c r="G5" s="222"/>
      <c r="H5" s="222"/>
    </row>
    <row r="6" spans="1:15" ht="16.5" customHeight="1" x14ac:dyDescent="0.2">
      <c r="A6" s="241" t="s">
        <v>732</v>
      </c>
      <c r="B6" s="242"/>
      <c r="C6" s="242"/>
      <c r="D6" s="242"/>
      <c r="E6" s="242"/>
      <c r="F6" s="242"/>
      <c r="G6" s="242"/>
      <c r="H6" s="243"/>
    </row>
    <row r="7" spans="1:15" ht="15.75" customHeight="1" thickBot="1" x14ac:dyDescent="0.25">
      <c r="A7" s="244"/>
      <c r="B7" s="245"/>
      <c r="C7" s="245"/>
      <c r="D7" s="245"/>
      <c r="E7" s="245"/>
      <c r="F7" s="245"/>
      <c r="G7" s="245"/>
      <c r="H7" s="246"/>
      <c r="I7" s="223" t="s">
        <v>415</v>
      </c>
      <c r="J7" s="223"/>
      <c r="K7" s="223" t="s">
        <v>416</v>
      </c>
      <c r="L7" s="223"/>
      <c r="M7" s="50" t="s">
        <v>417</v>
      </c>
      <c r="O7" s="50" t="s">
        <v>15</v>
      </c>
    </row>
    <row r="8" spans="1:15" ht="13.5" thickBot="1" x14ac:dyDescent="0.25">
      <c r="A8" s="275" t="s">
        <v>562</v>
      </c>
      <c r="B8" s="276"/>
      <c r="C8" s="310">
        <f ca="1">TODAY()</f>
        <v>43479</v>
      </c>
      <c r="D8" s="310"/>
      <c r="E8" s="310"/>
      <c r="F8" s="310"/>
      <c r="G8" s="310"/>
      <c r="H8" s="310"/>
      <c r="I8" s="51"/>
      <c r="J8" s="51"/>
      <c r="K8" s="51"/>
      <c r="L8" s="51"/>
    </row>
    <row r="9" spans="1:15" ht="13.5" thickBot="1" x14ac:dyDescent="0.25">
      <c r="A9" s="280" t="s">
        <v>729</v>
      </c>
      <c r="B9" s="281"/>
      <c r="C9" s="281"/>
      <c r="D9" s="282"/>
      <c r="E9" s="280" t="s">
        <v>561</v>
      </c>
      <c r="F9" s="281"/>
      <c r="G9" s="281"/>
      <c r="H9" s="282"/>
    </row>
    <row r="10" spans="1:15" ht="15" customHeight="1" thickBot="1" x14ac:dyDescent="0.25">
      <c r="A10" s="232" t="s">
        <v>188</v>
      </c>
      <c r="B10" s="233"/>
      <c r="C10" s="234"/>
      <c r="D10" s="140" t="str">
        <f>'INFORMACION BASE'!E11</f>
        <v>Atlántico</v>
      </c>
      <c r="E10" s="226" t="s">
        <v>213</v>
      </c>
      <c r="F10" s="227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 x14ac:dyDescent="0.2">
      <c r="A11" s="235" t="s">
        <v>419</v>
      </c>
      <c r="B11" s="236"/>
      <c r="C11" s="237"/>
      <c r="D11" s="141" t="str">
        <f>'INFORMACION BASE'!E12</f>
        <v>Campo de la Cruz- I.E La Inmaculada</v>
      </c>
      <c r="E11" s="228" t="s">
        <v>214</v>
      </c>
      <c r="F11" s="229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 x14ac:dyDescent="0.2">
      <c r="A12" s="238" t="s">
        <v>550</v>
      </c>
      <c r="B12" s="239"/>
      <c r="C12" s="240"/>
      <c r="D12" s="141" t="str">
        <f>'INFORMACION BASE'!E13</f>
        <v>Fundación Sembrando Esperanza</v>
      </c>
      <c r="E12" s="228" t="s">
        <v>215</v>
      </c>
      <c r="F12" s="229"/>
      <c r="G12" s="66">
        <f>'INFORMACION BASE'!D20</f>
        <v>0</v>
      </c>
      <c r="H12" s="67">
        <f>'INFORMACION BASE'!E20</f>
        <v>0</v>
      </c>
      <c r="I12" s="50" t="str">
        <f>IF((D12&gt;1),"CUMPLE","NO CUMPLE")</f>
        <v>CUMPLE</v>
      </c>
    </row>
    <row r="13" spans="1:15" ht="15" customHeight="1" x14ac:dyDescent="0.2">
      <c r="A13" s="235" t="s">
        <v>189</v>
      </c>
      <c r="B13" s="236"/>
      <c r="C13" s="237"/>
      <c r="D13" s="141" t="str">
        <f>'INFORMACION BASE'!E14</f>
        <v>SEMBRANDO HUELLAS 1</v>
      </c>
      <c r="E13" s="228" t="s">
        <v>216</v>
      </c>
      <c r="F13" s="229"/>
      <c r="G13" s="66">
        <f>'INFORMACION BASE'!D21</f>
        <v>20</v>
      </c>
      <c r="H13" s="67">
        <f>'INFORMACION BASE'!E21</f>
        <v>1</v>
      </c>
      <c r="I13" s="50" t="str">
        <f>IF((D13&gt;1),"CUMPLE","NO CUMPLE")</f>
        <v>CUMPLE</v>
      </c>
    </row>
    <row r="14" spans="1:15" x14ac:dyDescent="0.2">
      <c r="A14" s="263" t="s">
        <v>728</v>
      </c>
      <c r="B14" s="264"/>
      <c r="C14" s="265"/>
      <c r="D14" s="142" t="str">
        <f>'INFORMACION BASE'!E15</f>
        <v>Por Definir</v>
      </c>
      <c r="E14" s="230" t="s">
        <v>217</v>
      </c>
      <c r="F14" s="231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 x14ac:dyDescent="0.2">
      <c r="A15" s="235" t="s">
        <v>222</v>
      </c>
      <c r="B15" s="236"/>
      <c r="C15" s="237"/>
      <c r="D15" s="141" t="str">
        <f>'INFORMACION BASE'!E30</f>
        <v>Cálido</v>
      </c>
      <c r="E15" s="228" t="s">
        <v>218</v>
      </c>
      <c r="F15" s="229"/>
      <c r="G15" s="66">
        <f>'INFORMACION BASE'!D23</f>
        <v>20</v>
      </c>
      <c r="H15" s="67">
        <f>'INFORMACION BASE'!E23</f>
        <v>1</v>
      </c>
      <c r="I15" s="50"/>
    </row>
    <row r="16" spans="1:15" s="52" customFormat="1" ht="13.5" thickBot="1" x14ac:dyDescent="0.25">
      <c r="A16" s="235" t="s">
        <v>302</v>
      </c>
      <c r="B16" s="236"/>
      <c r="C16" s="237"/>
      <c r="D16" s="141">
        <f>'INFORMACION BASE'!E29</f>
        <v>75.8</v>
      </c>
      <c r="E16" s="228" t="s">
        <v>225</v>
      </c>
      <c r="F16" s="229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3.5" thickBot="1" x14ac:dyDescent="0.25">
      <c r="A17" s="266" t="s">
        <v>355</v>
      </c>
      <c r="B17" s="267"/>
      <c r="C17" s="268"/>
      <c r="D17" s="143">
        <f>'INFORMACION BASE'!E28</f>
        <v>322.43</v>
      </c>
      <c r="E17" s="224" t="s">
        <v>226</v>
      </c>
      <c r="F17" s="225"/>
      <c r="G17" s="146">
        <f>'INFORMACION BASE'!D25</f>
        <v>60</v>
      </c>
      <c r="H17" s="147">
        <f>'INFORMACION BASE'!E25</f>
        <v>3</v>
      </c>
      <c r="I17" s="50"/>
    </row>
    <row r="18" spans="1:13" s="52" customFormat="1" ht="13.5" thickBot="1" x14ac:dyDescent="0.25">
      <c r="A18" s="253" t="s">
        <v>733</v>
      </c>
      <c r="B18" s="253"/>
      <c r="C18" s="253"/>
      <c r="D18" s="253"/>
      <c r="E18" s="253"/>
      <c r="F18" s="253"/>
      <c r="G18" s="253"/>
      <c r="H18" s="253"/>
      <c r="I18" s="50"/>
    </row>
    <row r="19" spans="1:13" s="52" customFormat="1" ht="15" customHeight="1" thickBot="1" x14ac:dyDescent="0.25">
      <c r="A19" s="283" t="s">
        <v>424</v>
      </c>
      <c r="B19" s="284"/>
      <c r="C19" s="284"/>
      <c r="D19" s="285"/>
      <c r="E19" s="257" t="s">
        <v>229</v>
      </c>
      <c r="F19" s="258"/>
      <c r="G19" s="258"/>
      <c r="H19" s="259"/>
      <c r="I19" s="50"/>
    </row>
    <row r="20" spans="1:13" s="52" customFormat="1" ht="15" customHeight="1" x14ac:dyDescent="0.2">
      <c r="A20" s="254" t="s">
        <v>230</v>
      </c>
      <c r="B20" s="255"/>
      <c r="C20" s="255"/>
      <c r="D20" s="256"/>
      <c r="E20" s="260">
        <f>SUM(F31:F39)</f>
        <v>14</v>
      </c>
      <c r="F20" s="261"/>
      <c r="G20" s="261"/>
      <c r="H20" s="262"/>
      <c r="I20" s="50"/>
    </row>
    <row r="21" spans="1:13" s="52" customFormat="1" ht="15" customHeight="1" x14ac:dyDescent="0.2">
      <c r="A21" s="254" t="s">
        <v>231</v>
      </c>
      <c r="B21" s="255"/>
      <c r="C21" s="255"/>
      <c r="D21" s="256"/>
      <c r="E21" s="247">
        <f>SUM(F40:F99)</f>
        <v>181</v>
      </c>
      <c r="F21" s="248"/>
      <c r="G21" s="248"/>
      <c r="H21" s="249"/>
      <c r="I21" s="50"/>
    </row>
    <row r="22" spans="1:13" s="52" customFormat="1" ht="15" customHeight="1" x14ac:dyDescent="0.2">
      <c r="A22" s="254" t="s">
        <v>735</v>
      </c>
      <c r="B22" s="255"/>
      <c r="C22" s="255"/>
      <c r="D22" s="256"/>
      <c r="E22" s="247">
        <f>SUM(F100:F103)</f>
        <v>4</v>
      </c>
      <c r="F22" s="248"/>
      <c r="G22" s="248"/>
      <c r="H22" s="249"/>
      <c r="I22" s="50"/>
    </row>
    <row r="23" spans="1:13" s="52" customFormat="1" ht="15" customHeight="1" x14ac:dyDescent="0.2">
      <c r="A23" s="254" t="s">
        <v>232</v>
      </c>
      <c r="B23" s="255"/>
      <c r="C23" s="255"/>
      <c r="D23" s="256"/>
      <c r="E23" s="247">
        <f>SUM(F104:F109)</f>
        <v>13</v>
      </c>
      <c r="F23" s="248"/>
      <c r="G23" s="248"/>
      <c r="H23" s="249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 x14ac:dyDescent="0.2">
      <c r="A24" s="254" t="s">
        <v>233</v>
      </c>
      <c r="B24" s="255"/>
      <c r="C24" s="255"/>
      <c r="D24" s="256"/>
      <c r="E24" s="247">
        <f>SUM(F110:F120)</f>
        <v>182</v>
      </c>
      <c r="F24" s="248"/>
      <c r="G24" s="248"/>
      <c r="H24" s="249"/>
      <c r="I24" s="50"/>
    </row>
    <row r="25" spans="1:13" s="52" customFormat="1" ht="15" customHeight="1" x14ac:dyDescent="0.2">
      <c r="A25" s="254" t="s">
        <v>736</v>
      </c>
      <c r="B25" s="255"/>
      <c r="C25" s="255"/>
      <c r="D25" s="256"/>
      <c r="E25" s="247">
        <f>SUM(F160:F271)</f>
        <v>309.5</v>
      </c>
      <c r="F25" s="248"/>
      <c r="G25" s="248"/>
      <c r="H25" s="249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 x14ac:dyDescent="0.2">
      <c r="A26" s="254" t="s">
        <v>234</v>
      </c>
      <c r="B26" s="255"/>
      <c r="C26" s="255"/>
      <c r="D26" s="256"/>
      <c r="E26" s="247">
        <f>SUM(F121:F149)</f>
        <v>231</v>
      </c>
      <c r="F26" s="248"/>
      <c r="G26" s="248"/>
      <c r="H26" s="249"/>
      <c r="I26" s="50" t="str">
        <f>IF((D16&gt;=0),"CUMPLE","NO CUMPLE")</f>
        <v>CUMPLE</v>
      </c>
    </row>
    <row r="27" spans="1:13" s="52" customFormat="1" ht="15" customHeight="1" thickBot="1" x14ac:dyDescent="0.25">
      <c r="A27" s="254" t="s">
        <v>278</v>
      </c>
      <c r="B27" s="255"/>
      <c r="C27" s="255"/>
      <c r="D27" s="256"/>
      <c r="E27" s="247">
        <f>SUM(F150:F159)</f>
        <v>13</v>
      </c>
      <c r="F27" s="248"/>
      <c r="G27" s="248"/>
      <c r="H27" s="249"/>
      <c r="I27" s="50" t="str">
        <f>IF((D17&gt;1),"CUMPLE","NO CUMPLE")</f>
        <v>CUMPLE</v>
      </c>
    </row>
    <row r="28" spans="1:13" s="52" customFormat="1" ht="15" customHeight="1" thickBot="1" x14ac:dyDescent="0.25">
      <c r="A28" s="286" t="s">
        <v>15</v>
      </c>
      <c r="B28" s="287"/>
      <c r="C28" s="287"/>
      <c r="D28" s="288"/>
      <c r="E28" s="250">
        <f>SUM(E20:E27)</f>
        <v>947.5</v>
      </c>
      <c r="F28" s="251"/>
      <c r="G28" s="251"/>
      <c r="H28" s="252"/>
      <c r="I28" s="50"/>
    </row>
    <row r="29" spans="1:13" s="52" customFormat="1" ht="13.5" thickBot="1" x14ac:dyDescent="0.25">
      <c r="A29" s="277" t="s">
        <v>734</v>
      </c>
      <c r="B29" s="278"/>
      <c r="C29" s="278"/>
      <c r="D29" s="278"/>
      <c r="E29" s="278"/>
      <c r="F29" s="278"/>
      <c r="G29" s="278"/>
      <c r="H29" s="279"/>
    </row>
    <row r="30" spans="1:13" ht="22.5" customHeight="1" x14ac:dyDescent="0.2">
      <c r="A30" s="77" t="s">
        <v>569</v>
      </c>
      <c r="B30" s="77" t="s">
        <v>555</v>
      </c>
      <c r="C30" s="77" t="s">
        <v>563</v>
      </c>
      <c r="D30" s="77" t="s">
        <v>586</v>
      </c>
      <c r="E30" s="77" t="s">
        <v>5</v>
      </c>
      <c r="F30" s="272" t="s">
        <v>229</v>
      </c>
      <c r="G30" s="273"/>
      <c r="H30" s="274"/>
    </row>
    <row r="31" spans="1:13" x14ac:dyDescent="0.2">
      <c r="A31" s="54">
        <v>1</v>
      </c>
      <c r="B31" s="72" t="s">
        <v>556</v>
      </c>
      <c r="C31" s="96" t="s">
        <v>16</v>
      </c>
      <c r="D31" s="96" t="s">
        <v>296</v>
      </c>
      <c r="E31" s="97" t="s">
        <v>420</v>
      </c>
      <c r="F31" s="269">
        <f>FORMULACION!$P$4</f>
        <v>1</v>
      </c>
      <c r="G31" s="270"/>
      <c r="H31" s="271"/>
    </row>
    <row r="32" spans="1:13" x14ac:dyDescent="0.2">
      <c r="A32" s="54">
        <v>2</v>
      </c>
      <c r="B32" s="72" t="s">
        <v>556</v>
      </c>
      <c r="C32" s="96" t="s">
        <v>16</v>
      </c>
      <c r="D32" s="96" t="s">
        <v>296</v>
      </c>
      <c r="E32" s="97" t="s">
        <v>19</v>
      </c>
      <c r="F32" s="269">
        <f>FORMULACION!P5</f>
        <v>1</v>
      </c>
      <c r="G32" s="270"/>
      <c r="H32" s="271"/>
    </row>
    <row r="33" spans="1:10" x14ac:dyDescent="0.2">
      <c r="A33" s="54">
        <v>3</v>
      </c>
      <c r="B33" s="72" t="s">
        <v>556</v>
      </c>
      <c r="C33" s="96" t="s">
        <v>16</v>
      </c>
      <c r="D33" s="96" t="s">
        <v>296</v>
      </c>
      <c r="E33" s="97" t="s">
        <v>549</v>
      </c>
      <c r="F33" s="269">
        <f>FORMULACION!P6</f>
        <v>1</v>
      </c>
      <c r="G33" s="270"/>
      <c r="H33" s="271">
        <f t="shared" ref="H33" si="0">F33*G33</f>
        <v>0</v>
      </c>
    </row>
    <row r="34" spans="1:10" x14ac:dyDescent="0.2">
      <c r="A34" s="54">
        <v>4</v>
      </c>
      <c r="B34" s="72" t="s">
        <v>556</v>
      </c>
      <c r="C34" s="96" t="s">
        <v>16</v>
      </c>
      <c r="D34" s="96" t="s">
        <v>296</v>
      </c>
      <c r="E34" s="97" t="s">
        <v>489</v>
      </c>
      <c r="F34" s="269">
        <f>FORMULACION!P7</f>
        <v>1</v>
      </c>
      <c r="G34" s="270"/>
      <c r="H34" s="271"/>
    </row>
    <row r="35" spans="1:10" x14ac:dyDescent="0.2">
      <c r="A35" s="54">
        <v>5</v>
      </c>
      <c r="B35" s="72" t="s">
        <v>556</v>
      </c>
      <c r="C35" s="96" t="s">
        <v>16</v>
      </c>
      <c r="D35" s="96" t="s">
        <v>296</v>
      </c>
      <c r="E35" s="97" t="s">
        <v>554</v>
      </c>
      <c r="F35" s="269">
        <f>FORMULACION!P8</f>
        <v>1</v>
      </c>
      <c r="G35" s="270"/>
      <c r="H35" s="271">
        <f t="shared" ref="H35:H51" si="1">F35*G35</f>
        <v>0</v>
      </c>
      <c r="J35" s="50">
        <f>14*3</f>
        <v>42</v>
      </c>
    </row>
    <row r="36" spans="1:10" x14ac:dyDescent="0.2">
      <c r="A36" s="54">
        <v>6</v>
      </c>
      <c r="B36" s="72" t="s">
        <v>556</v>
      </c>
      <c r="C36" s="96" t="s">
        <v>16</v>
      </c>
      <c r="D36" s="96" t="s">
        <v>296</v>
      </c>
      <c r="E36" s="97" t="s">
        <v>570</v>
      </c>
      <c r="F36" s="269">
        <f>FORMULACION!P9</f>
        <v>3</v>
      </c>
      <c r="G36" s="270"/>
      <c r="H36" s="271">
        <f t="shared" si="1"/>
        <v>0</v>
      </c>
    </row>
    <row r="37" spans="1:10" x14ac:dyDescent="0.2">
      <c r="A37" s="54">
        <v>7</v>
      </c>
      <c r="B37" s="72" t="s">
        <v>556</v>
      </c>
      <c r="C37" s="96" t="s">
        <v>16</v>
      </c>
      <c r="D37" s="96" t="s">
        <v>296</v>
      </c>
      <c r="E37" s="97" t="s">
        <v>439</v>
      </c>
      <c r="F37" s="269">
        <f>FORMULACION!P10</f>
        <v>3</v>
      </c>
      <c r="G37" s="270"/>
      <c r="H37" s="271">
        <f t="shared" si="1"/>
        <v>0</v>
      </c>
    </row>
    <row r="38" spans="1:10" x14ac:dyDescent="0.2">
      <c r="A38" s="54">
        <v>8</v>
      </c>
      <c r="B38" s="72" t="s">
        <v>556</v>
      </c>
      <c r="C38" s="96" t="s">
        <v>16</v>
      </c>
      <c r="D38" s="96" t="s">
        <v>296</v>
      </c>
      <c r="E38" s="97" t="s">
        <v>368</v>
      </c>
      <c r="F38" s="269">
        <f>FORMULACION!P11</f>
        <v>1</v>
      </c>
      <c r="G38" s="270"/>
      <c r="H38" s="271">
        <f t="shared" si="1"/>
        <v>0</v>
      </c>
    </row>
    <row r="39" spans="1:10" x14ac:dyDescent="0.2">
      <c r="A39" s="54">
        <v>9</v>
      </c>
      <c r="B39" s="72" t="s">
        <v>556</v>
      </c>
      <c r="C39" s="96" t="s">
        <v>16</v>
      </c>
      <c r="D39" s="96" t="s">
        <v>296</v>
      </c>
      <c r="E39" s="97" t="s">
        <v>366</v>
      </c>
      <c r="F39" s="269">
        <f>FORMULACION!P12</f>
        <v>2</v>
      </c>
      <c r="G39" s="270"/>
      <c r="H39" s="271">
        <f t="shared" si="1"/>
        <v>0</v>
      </c>
    </row>
    <row r="40" spans="1:10" x14ac:dyDescent="0.2">
      <c r="A40" s="54">
        <v>10</v>
      </c>
      <c r="B40" s="72" t="s">
        <v>556</v>
      </c>
      <c r="C40" s="98" t="s">
        <v>22</v>
      </c>
      <c r="D40" s="98" t="s">
        <v>296</v>
      </c>
      <c r="E40" s="99" t="s">
        <v>707</v>
      </c>
      <c r="F40" s="289">
        <f>FORMULACION!P13</f>
        <v>1</v>
      </c>
      <c r="G40" s="290"/>
      <c r="H40" s="291">
        <f t="shared" si="1"/>
        <v>0</v>
      </c>
    </row>
    <row r="41" spans="1:10" x14ac:dyDescent="0.2">
      <c r="A41" s="54">
        <v>11</v>
      </c>
      <c r="B41" s="72" t="s">
        <v>556</v>
      </c>
      <c r="C41" s="98" t="s">
        <v>22</v>
      </c>
      <c r="D41" s="98" t="s">
        <v>296</v>
      </c>
      <c r="E41" s="99" t="s">
        <v>35</v>
      </c>
      <c r="F41" s="289">
        <f>FORMULACION!P14</f>
        <v>1</v>
      </c>
      <c r="G41" s="290"/>
      <c r="H41" s="291">
        <f t="shared" si="1"/>
        <v>0</v>
      </c>
    </row>
    <row r="42" spans="1:10" x14ac:dyDescent="0.2">
      <c r="A42" s="54">
        <v>12</v>
      </c>
      <c r="B42" s="72" t="s">
        <v>556</v>
      </c>
      <c r="C42" s="98" t="s">
        <v>22</v>
      </c>
      <c r="D42" s="98" t="s">
        <v>296</v>
      </c>
      <c r="E42" s="99" t="s">
        <v>34</v>
      </c>
      <c r="F42" s="289">
        <f>FORMULACION!P15</f>
        <v>1</v>
      </c>
      <c r="G42" s="290"/>
      <c r="H42" s="291">
        <f t="shared" si="1"/>
        <v>0</v>
      </c>
    </row>
    <row r="43" spans="1:10" x14ac:dyDescent="0.2">
      <c r="A43" s="54">
        <v>13</v>
      </c>
      <c r="B43" s="72" t="s">
        <v>556</v>
      </c>
      <c r="C43" s="98" t="s">
        <v>22</v>
      </c>
      <c r="D43" s="98" t="s">
        <v>296</v>
      </c>
      <c r="E43" s="99" t="s">
        <v>40</v>
      </c>
      <c r="F43" s="289">
        <f>FORMULACION!P16</f>
        <v>0</v>
      </c>
      <c r="G43" s="290"/>
      <c r="H43" s="291">
        <f t="shared" si="1"/>
        <v>0</v>
      </c>
    </row>
    <row r="44" spans="1:10" x14ac:dyDescent="0.2">
      <c r="A44" s="54">
        <v>14</v>
      </c>
      <c r="B44" s="72" t="s">
        <v>556</v>
      </c>
      <c r="C44" s="98" t="s">
        <v>22</v>
      </c>
      <c r="D44" s="98" t="s">
        <v>296</v>
      </c>
      <c r="E44" s="99" t="s">
        <v>36</v>
      </c>
      <c r="F44" s="289">
        <f>FORMULACION!P17</f>
        <v>1</v>
      </c>
      <c r="G44" s="290"/>
      <c r="H44" s="291">
        <f t="shared" si="1"/>
        <v>0</v>
      </c>
    </row>
    <row r="45" spans="1:10" x14ac:dyDescent="0.2">
      <c r="A45" s="54">
        <v>15</v>
      </c>
      <c r="B45" s="72" t="s">
        <v>556</v>
      </c>
      <c r="C45" s="98" t="s">
        <v>22</v>
      </c>
      <c r="D45" s="98" t="s">
        <v>296</v>
      </c>
      <c r="E45" s="99" t="s">
        <v>37</v>
      </c>
      <c r="F45" s="289">
        <f>FORMULACION!P18</f>
        <v>1</v>
      </c>
      <c r="G45" s="290"/>
      <c r="H45" s="291">
        <f t="shared" si="1"/>
        <v>0</v>
      </c>
    </row>
    <row r="46" spans="1:10" x14ac:dyDescent="0.2">
      <c r="A46" s="54">
        <v>16</v>
      </c>
      <c r="B46" s="72" t="s">
        <v>556</v>
      </c>
      <c r="C46" s="98" t="s">
        <v>22</v>
      </c>
      <c r="D46" s="98" t="s">
        <v>296</v>
      </c>
      <c r="E46" s="99" t="s">
        <v>38</v>
      </c>
      <c r="F46" s="289">
        <f>FORMULACION!P19</f>
        <v>1</v>
      </c>
      <c r="G46" s="290"/>
      <c r="H46" s="291">
        <f t="shared" si="1"/>
        <v>0</v>
      </c>
    </row>
    <row r="47" spans="1:10" x14ac:dyDescent="0.2">
      <c r="A47" s="54">
        <v>17</v>
      </c>
      <c r="B47" s="72" t="s">
        <v>556</v>
      </c>
      <c r="C47" s="98" t="s">
        <v>22</v>
      </c>
      <c r="D47" s="98" t="s">
        <v>296</v>
      </c>
      <c r="E47" s="99" t="s">
        <v>39</v>
      </c>
      <c r="F47" s="289">
        <f>FORMULACION!P20</f>
        <v>1</v>
      </c>
      <c r="G47" s="290"/>
      <c r="H47" s="291">
        <f t="shared" si="1"/>
        <v>0</v>
      </c>
    </row>
    <row r="48" spans="1:10" x14ac:dyDescent="0.2">
      <c r="A48" s="54">
        <v>18</v>
      </c>
      <c r="B48" s="72" t="s">
        <v>556</v>
      </c>
      <c r="C48" s="98" t="s">
        <v>22</v>
      </c>
      <c r="D48" s="98" t="s">
        <v>296</v>
      </c>
      <c r="E48" s="99" t="s">
        <v>432</v>
      </c>
      <c r="F48" s="289">
        <f>FORMULACION!P21</f>
        <v>1</v>
      </c>
      <c r="G48" s="290"/>
      <c r="H48" s="291">
        <f t="shared" si="1"/>
        <v>0</v>
      </c>
    </row>
    <row r="49" spans="1:8" x14ac:dyDescent="0.2">
      <c r="A49" s="54">
        <v>19</v>
      </c>
      <c r="B49" s="72" t="s">
        <v>556</v>
      </c>
      <c r="C49" s="98" t="s">
        <v>22</v>
      </c>
      <c r="D49" s="98" t="s">
        <v>296</v>
      </c>
      <c r="E49" s="99" t="s">
        <v>438</v>
      </c>
      <c r="F49" s="289">
        <f>FORMULACION!P22</f>
        <v>1</v>
      </c>
      <c r="G49" s="290"/>
      <c r="H49" s="291">
        <f t="shared" si="1"/>
        <v>0</v>
      </c>
    </row>
    <row r="50" spans="1:8" x14ac:dyDescent="0.2">
      <c r="A50" s="54">
        <v>20</v>
      </c>
      <c r="B50" s="72" t="s">
        <v>556</v>
      </c>
      <c r="C50" s="98" t="s">
        <v>22</v>
      </c>
      <c r="D50" s="98" t="s">
        <v>296</v>
      </c>
      <c r="E50" s="99" t="s">
        <v>434</v>
      </c>
      <c r="F50" s="289">
        <f>FORMULACION!P23</f>
        <v>1</v>
      </c>
      <c r="G50" s="290"/>
      <c r="H50" s="291">
        <f t="shared" si="1"/>
        <v>0</v>
      </c>
    </row>
    <row r="51" spans="1:8" x14ac:dyDescent="0.2">
      <c r="A51" s="54">
        <v>21</v>
      </c>
      <c r="B51" s="72" t="s">
        <v>556</v>
      </c>
      <c r="C51" s="98" t="s">
        <v>22</v>
      </c>
      <c r="D51" s="98" t="s">
        <v>296</v>
      </c>
      <c r="E51" s="99" t="s">
        <v>490</v>
      </c>
      <c r="F51" s="289">
        <f>FORMULACION!P24</f>
        <v>40</v>
      </c>
      <c r="G51" s="290"/>
      <c r="H51" s="291">
        <f t="shared" si="1"/>
        <v>0</v>
      </c>
    </row>
    <row r="52" spans="1:8" x14ac:dyDescent="0.2">
      <c r="A52" s="54">
        <v>22</v>
      </c>
      <c r="B52" s="72" t="s">
        <v>556</v>
      </c>
      <c r="C52" s="98" t="s">
        <v>22</v>
      </c>
      <c r="D52" s="98" t="s">
        <v>296</v>
      </c>
      <c r="E52" s="100" t="s">
        <v>436</v>
      </c>
      <c r="F52" s="289">
        <f>FORMULACION!P25</f>
        <v>20</v>
      </c>
      <c r="G52" s="290"/>
      <c r="H52" s="291"/>
    </row>
    <row r="53" spans="1:8" x14ac:dyDescent="0.2">
      <c r="A53" s="54">
        <v>23</v>
      </c>
      <c r="B53" s="72" t="s">
        <v>556</v>
      </c>
      <c r="C53" s="98" t="s">
        <v>22</v>
      </c>
      <c r="D53" s="98" t="s">
        <v>296</v>
      </c>
      <c r="E53" s="101" t="s">
        <v>491</v>
      </c>
      <c r="F53" s="289">
        <f>FORMULACION!P26</f>
        <v>0</v>
      </c>
      <c r="G53" s="290"/>
      <c r="H53" s="291">
        <f t="shared" ref="H53:H84" si="2">F53*G53</f>
        <v>0</v>
      </c>
    </row>
    <row r="54" spans="1:8" x14ac:dyDescent="0.2">
      <c r="A54" s="54">
        <v>24</v>
      </c>
      <c r="B54" s="72" t="s">
        <v>556</v>
      </c>
      <c r="C54" s="98" t="s">
        <v>22</v>
      </c>
      <c r="D54" s="98" t="s">
        <v>296</v>
      </c>
      <c r="E54" s="99" t="s">
        <v>370</v>
      </c>
      <c r="F54" s="289">
        <f>FORMULACION!P27</f>
        <v>8</v>
      </c>
      <c r="G54" s="290"/>
      <c r="H54" s="291">
        <f t="shared" si="2"/>
        <v>0</v>
      </c>
    </row>
    <row r="55" spans="1:8" x14ac:dyDescent="0.2">
      <c r="A55" s="54">
        <v>25</v>
      </c>
      <c r="B55" s="72" t="s">
        <v>556</v>
      </c>
      <c r="C55" s="98" t="s">
        <v>22</v>
      </c>
      <c r="D55" s="98" t="s">
        <v>296</v>
      </c>
      <c r="E55" s="99" t="s">
        <v>493</v>
      </c>
      <c r="F55" s="289">
        <f>FORMULACION!P28</f>
        <v>0</v>
      </c>
      <c r="G55" s="290"/>
      <c r="H55" s="291">
        <f t="shared" si="2"/>
        <v>0</v>
      </c>
    </row>
    <row r="56" spans="1:8" x14ac:dyDescent="0.2">
      <c r="A56" s="54">
        <v>26</v>
      </c>
      <c r="B56" s="72" t="s">
        <v>556</v>
      </c>
      <c r="C56" s="98" t="s">
        <v>22</v>
      </c>
      <c r="D56" s="98" t="s">
        <v>296</v>
      </c>
      <c r="E56" s="99" t="s">
        <v>26</v>
      </c>
      <c r="F56" s="289">
        <f>FORMULACION!P29</f>
        <v>0</v>
      </c>
      <c r="G56" s="290"/>
      <c r="H56" s="291">
        <f t="shared" si="2"/>
        <v>0</v>
      </c>
    </row>
    <row r="57" spans="1:8" x14ac:dyDescent="0.2">
      <c r="A57" s="54">
        <v>27</v>
      </c>
      <c r="B57" s="72" t="s">
        <v>556</v>
      </c>
      <c r="C57" s="98" t="s">
        <v>22</v>
      </c>
      <c r="D57" s="98" t="s">
        <v>296</v>
      </c>
      <c r="E57" s="99" t="s">
        <v>236</v>
      </c>
      <c r="F57" s="289">
        <f>FORMULACION!P30</f>
        <v>1</v>
      </c>
      <c r="G57" s="290"/>
      <c r="H57" s="291">
        <f t="shared" si="2"/>
        <v>0</v>
      </c>
    </row>
    <row r="58" spans="1:8" x14ac:dyDescent="0.2">
      <c r="A58" s="54">
        <v>28</v>
      </c>
      <c r="B58" s="72" t="s">
        <v>556</v>
      </c>
      <c r="C58" s="98" t="s">
        <v>22</v>
      </c>
      <c r="D58" s="98" t="s">
        <v>296</v>
      </c>
      <c r="E58" s="99" t="s">
        <v>25</v>
      </c>
      <c r="F58" s="289">
        <f>FORMULACION!P31</f>
        <v>0</v>
      </c>
      <c r="G58" s="290"/>
      <c r="H58" s="291">
        <f t="shared" si="2"/>
        <v>0</v>
      </c>
    </row>
    <row r="59" spans="1:8" x14ac:dyDescent="0.2">
      <c r="A59" s="54">
        <v>29</v>
      </c>
      <c r="B59" s="72" t="s">
        <v>556</v>
      </c>
      <c r="C59" s="98" t="s">
        <v>22</v>
      </c>
      <c r="D59" s="98" t="s">
        <v>296</v>
      </c>
      <c r="E59" s="99" t="s">
        <v>440</v>
      </c>
      <c r="F59" s="289">
        <f>FORMULACION!P32</f>
        <v>1</v>
      </c>
      <c r="G59" s="290"/>
      <c r="H59" s="291">
        <f t="shared" si="2"/>
        <v>0</v>
      </c>
    </row>
    <row r="60" spans="1:8" x14ac:dyDescent="0.2">
      <c r="A60" s="54">
        <v>30</v>
      </c>
      <c r="B60" s="72" t="s">
        <v>556</v>
      </c>
      <c r="C60" s="98" t="s">
        <v>22</v>
      </c>
      <c r="D60" s="98" t="s">
        <v>296</v>
      </c>
      <c r="E60" s="99" t="s">
        <v>365</v>
      </c>
      <c r="F60" s="289">
        <f>FORMULACION!P33</f>
        <v>0</v>
      </c>
      <c r="G60" s="290"/>
      <c r="H60" s="291">
        <f t="shared" si="2"/>
        <v>0</v>
      </c>
    </row>
    <row r="61" spans="1:8" x14ac:dyDescent="0.2">
      <c r="A61" s="54">
        <v>31</v>
      </c>
      <c r="B61" s="72" t="s">
        <v>556</v>
      </c>
      <c r="C61" s="98" t="s">
        <v>22</v>
      </c>
      <c r="D61" s="98" t="s">
        <v>296</v>
      </c>
      <c r="E61" s="99" t="s">
        <v>241</v>
      </c>
      <c r="F61" s="289">
        <f>FORMULACION!P34</f>
        <v>0</v>
      </c>
      <c r="G61" s="290"/>
      <c r="H61" s="291">
        <f t="shared" si="2"/>
        <v>0</v>
      </c>
    </row>
    <row r="62" spans="1:8" x14ac:dyDescent="0.2">
      <c r="A62" s="54">
        <v>32</v>
      </c>
      <c r="B62" s="72" t="s">
        <v>556</v>
      </c>
      <c r="C62" s="98" t="s">
        <v>22</v>
      </c>
      <c r="D62" s="98" t="s">
        <v>296</v>
      </c>
      <c r="E62" s="99" t="s">
        <v>494</v>
      </c>
      <c r="F62" s="289">
        <f>FORMULACION!P35</f>
        <v>1</v>
      </c>
      <c r="G62" s="290"/>
      <c r="H62" s="291">
        <f t="shared" si="2"/>
        <v>0</v>
      </c>
    </row>
    <row r="63" spans="1:8" x14ac:dyDescent="0.2">
      <c r="A63" s="54">
        <v>33</v>
      </c>
      <c r="B63" s="72" t="s">
        <v>556</v>
      </c>
      <c r="C63" s="98" t="s">
        <v>22</v>
      </c>
      <c r="D63" s="98" t="s">
        <v>297</v>
      </c>
      <c r="E63" s="99" t="s">
        <v>708</v>
      </c>
      <c r="F63" s="289">
        <f>FORMULACION!P36</f>
        <v>1</v>
      </c>
      <c r="G63" s="290"/>
      <c r="H63" s="291">
        <f t="shared" si="2"/>
        <v>0</v>
      </c>
    </row>
    <row r="64" spans="1:8" x14ac:dyDescent="0.2">
      <c r="A64" s="54">
        <v>34</v>
      </c>
      <c r="B64" s="72" t="s">
        <v>556</v>
      </c>
      <c r="C64" s="98" t="s">
        <v>22</v>
      </c>
      <c r="D64" s="98" t="s">
        <v>296</v>
      </c>
      <c r="E64" s="99" t="s">
        <v>442</v>
      </c>
      <c r="F64" s="289">
        <f>FORMULACION!P37</f>
        <v>1</v>
      </c>
      <c r="G64" s="290"/>
      <c r="H64" s="291">
        <f t="shared" si="2"/>
        <v>0</v>
      </c>
    </row>
    <row r="65" spans="1:8" x14ac:dyDescent="0.2">
      <c r="A65" s="54">
        <v>35</v>
      </c>
      <c r="B65" s="72" t="s">
        <v>556</v>
      </c>
      <c r="C65" s="98" t="s">
        <v>22</v>
      </c>
      <c r="D65" s="98" t="s">
        <v>296</v>
      </c>
      <c r="E65" s="99" t="s">
        <v>369</v>
      </c>
      <c r="F65" s="289">
        <f>FORMULACION!P38</f>
        <v>1</v>
      </c>
      <c r="G65" s="290"/>
      <c r="H65" s="291">
        <f t="shared" si="2"/>
        <v>0</v>
      </c>
    </row>
    <row r="66" spans="1:8" x14ac:dyDescent="0.2">
      <c r="A66" s="54">
        <v>36</v>
      </c>
      <c r="B66" s="72" t="s">
        <v>556</v>
      </c>
      <c r="C66" s="98" t="s">
        <v>22</v>
      </c>
      <c r="D66" s="98" t="s">
        <v>296</v>
      </c>
      <c r="E66" s="99" t="s">
        <v>539</v>
      </c>
      <c r="F66" s="289">
        <f>FORMULACION!P39</f>
        <v>0</v>
      </c>
      <c r="G66" s="290"/>
      <c r="H66" s="291">
        <f t="shared" si="2"/>
        <v>0</v>
      </c>
    </row>
    <row r="67" spans="1:8" x14ac:dyDescent="0.2">
      <c r="A67" s="54">
        <v>37</v>
      </c>
      <c r="B67" s="72" t="s">
        <v>556</v>
      </c>
      <c r="C67" s="98" t="s">
        <v>22</v>
      </c>
      <c r="D67" s="98" t="s">
        <v>296</v>
      </c>
      <c r="E67" s="99" t="s">
        <v>540</v>
      </c>
      <c r="F67" s="289">
        <f>FORMULACION!P40</f>
        <v>1</v>
      </c>
      <c r="G67" s="290"/>
      <c r="H67" s="291">
        <f t="shared" si="2"/>
        <v>0</v>
      </c>
    </row>
    <row r="68" spans="1:8" x14ac:dyDescent="0.2">
      <c r="A68" s="54">
        <v>38</v>
      </c>
      <c r="B68" s="72" t="s">
        <v>556</v>
      </c>
      <c r="C68" s="98" t="s">
        <v>22</v>
      </c>
      <c r="D68" s="98" t="s">
        <v>296</v>
      </c>
      <c r="E68" s="99" t="s">
        <v>496</v>
      </c>
      <c r="F68" s="289">
        <f>FORMULACION!P41</f>
        <v>1</v>
      </c>
      <c r="G68" s="290"/>
      <c r="H68" s="291">
        <f t="shared" si="2"/>
        <v>0</v>
      </c>
    </row>
    <row r="69" spans="1:8" x14ac:dyDescent="0.2">
      <c r="A69" s="54">
        <v>39</v>
      </c>
      <c r="B69" s="72" t="s">
        <v>556</v>
      </c>
      <c r="C69" s="98" t="s">
        <v>22</v>
      </c>
      <c r="D69" s="98" t="s">
        <v>296</v>
      </c>
      <c r="E69" s="99" t="s">
        <v>31</v>
      </c>
      <c r="F69" s="289">
        <f>FORMULACION!P42</f>
        <v>0</v>
      </c>
      <c r="G69" s="290"/>
      <c r="H69" s="291">
        <f t="shared" si="2"/>
        <v>0</v>
      </c>
    </row>
    <row r="70" spans="1:8" x14ac:dyDescent="0.2">
      <c r="A70" s="54">
        <v>40</v>
      </c>
      <c r="B70" s="72" t="s">
        <v>556</v>
      </c>
      <c r="C70" s="98" t="s">
        <v>22</v>
      </c>
      <c r="D70" s="98" t="s">
        <v>296</v>
      </c>
      <c r="E70" s="99" t="s">
        <v>374</v>
      </c>
      <c r="F70" s="289">
        <f>FORMULACION!P43</f>
        <v>1</v>
      </c>
      <c r="G70" s="290"/>
      <c r="H70" s="291">
        <f t="shared" si="2"/>
        <v>0</v>
      </c>
    </row>
    <row r="71" spans="1:8" x14ac:dyDescent="0.2">
      <c r="A71" s="54">
        <v>41</v>
      </c>
      <c r="B71" s="72" t="s">
        <v>556</v>
      </c>
      <c r="C71" s="98" t="s">
        <v>22</v>
      </c>
      <c r="D71" s="98" t="s">
        <v>297</v>
      </c>
      <c r="E71" s="99" t="s">
        <v>444</v>
      </c>
      <c r="F71" s="289">
        <f>FORMULACION!P44</f>
        <v>2</v>
      </c>
      <c r="G71" s="290"/>
      <c r="H71" s="291">
        <f t="shared" si="2"/>
        <v>0</v>
      </c>
    </row>
    <row r="72" spans="1:8" x14ac:dyDescent="0.2">
      <c r="A72" s="54">
        <v>42</v>
      </c>
      <c r="B72" s="72" t="s">
        <v>556</v>
      </c>
      <c r="C72" s="98" t="s">
        <v>22</v>
      </c>
      <c r="D72" s="98" t="s">
        <v>296</v>
      </c>
      <c r="E72" s="99" t="s">
        <v>43</v>
      </c>
      <c r="F72" s="289">
        <f>FORMULACION!P45</f>
        <v>2</v>
      </c>
      <c r="G72" s="290"/>
      <c r="H72" s="291">
        <f t="shared" si="2"/>
        <v>0</v>
      </c>
    </row>
    <row r="73" spans="1:8" x14ac:dyDescent="0.2">
      <c r="A73" s="54">
        <v>43</v>
      </c>
      <c r="B73" s="72" t="s">
        <v>556</v>
      </c>
      <c r="C73" s="98" t="s">
        <v>22</v>
      </c>
      <c r="D73" s="98" t="s">
        <v>297</v>
      </c>
      <c r="E73" s="99" t="s">
        <v>373</v>
      </c>
      <c r="F73" s="289">
        <f>FORMULACION!P46</f>
        <v>1</v>
      </c>
      <c r="G73" s="290"/>
      <c r="H73" s="291">
        <f t="shared" si="2"/>
        <v>0</v>
      </c>
    </row>
    <row r="74" spans="1:8" x14ac:dyDescent="0.2">
      <c r="A74" s="54">
        <v>44</v>
      </c>
      <c r="B74" s="72" t="s">
        <v>556</v>
      </c>
      <c r="C74" s="98" t="s">
        <v>22</v>
      </c>
      <c r="D74" s="98" t="s">
        <v>297</v>
      </c>
      <c r="E74" s="99" t="s">
        <v>44</v>
      </c>
      <c r="F74" s="289">
        <f>FORMULACION!P47</f>
        <v>1</v>
      </c>
      <c r="G74" s="290"/>
      <c r="H74" s="291">
        <f t="shared" si="2"/>
        <v>0</v>
      </c>
    </row>
    <row r="75" spans="1:8" x14ac:dyDescent="0.2">
      <c r="A75" s="54">
        <v>45</v>
      </c>
      <c r="B75" s="72" t="s">
        <v>556</v>
      </c>
      <c r="C75" s="98" t="s">
        <v>22</v>
      </c>
      <c r="D75" s="98" t="s">
        <v>297</v>
      </c>
      <c r="E75" s="99" t="s">
        <v>371</v>
      </c>
      <c r="F75" s="289">
        <f>FORMULACION!P48</f>
        <v>1</v>
      </c>
      <c r="G75" s="290"/>
      <c r="H75" s="291">
        <f t="shared" si="2"/>
        <v>0</v>
      </c>
    </row>
    <row r="76" spans="1:8" x14ac:dyDescent="0.2">
      <c r="A76" s="54">
        <v>46</v>
      </c>
      <c r="B76" s="72" t="s">
        <v>556</v>
      </c>
      <c r="C76" s="98" t="s">
        <v>22</v>
      </c>
      <c r="D76" s="98" t="s">
        <v>297</v>
      </c>
      <c r="E76" s="99" t="s">
        <v>372</v>
      </c>
      <c r="F76" s="289">
        <f>FORMULACION!P49</f>
        <v>1</v>
      </c>
      <c r="G76" s="290"/>
      <c r="H76" s="291">
        <f t="shared" si="2"/>
        <v>0</v>
      </c>
    </row>
    <row r="77" spans="1:8" x14ac:dyDescent="0.2">
      <c r="A77" s="54">
        <v>47</v>
      </c>
      <c r="B77" s="72" t="s">
        <v>556</v>
      </c>
      <c r="C77" s="98" t="s">
        <v>22</v>
      </c>
      <c r="D77" s="98" t="s">
        <v>296</v>
      </c>
      <c r="E77" s="99" t="s">
        <v>47</v>
      </c>
      <c r="F77" s="289">
        <f>FORMULACION!P50</f>
        <v>0</v>
      </c>
      <c r="G77" s="290"/>
      <c r="H77" s="291">
        <f t="shared" si="2"/>
        <v>0</v>
      </c>
    </row>
    <row r="78" spans="1:8" x14ac:dyDescent="0.2">
      <c r="A78" s="54">
        <v>48</v>
      </c>
      <c r="B78" s="72" t="s">
        <v>556</v>
      </c>
      <c r="C78" s="98" t="s">
        <v>22</v>
      </c>
      <c r="D78" s="98" t="s">
        <v>296</v>
      </c>
      <c r="E78" s="99" t="s">
        <v>376</v>
      </c>
      <c r="F78" s="289">
        <f>FORMULACION!P51</f>
        <v>3</v>
      </c>
      <c r="G78" s="290"/>
      <c r="H78" s="291">
        <f t="shared" si="2"/>
        <v>0</v>
      </c>
    </row>
    <row r="79" spans="1:8" x14ac:dyDescent="0.2">
      <c r="A79" s="54">
        <v>49</v>
      </c>
      <c r="B79" s="72" t="s">
        <v>556</v>
      </c>
      <c r="C79" s="98" t="s">
        <v>22</v>
      </c>
      <c r="D79" s="98" t="s">
        <v>296</v>
      </c>
      <c r="E79" s="99" t="s">
        <v>445</v>
      </c>
      <c r="F79" s="289">
        <f>FORMULACION!P52</f>
        <v>2</v>
      </c>
      <c r="G79" s="290"/>
      <c r="H79" s="291">
        <f t="shared" si="2"/>
        <v>0</v>
      </c>
    </row>
    <row r="80" spans="1:8" x14ac:dyDescent="0.2">
      <c r="A80" s="54">
        <v>50</v>
      </c>
      <c r="B80" s="72" t="s">
        <v>556</v>
      </c>
      <c r="C80" s="98" t="s">
        <v>22</v>
      </c>
      <c r="D80" s="98" t="s">
        <v>296</v>
      </c>
      <c r="E80" s="99" t="s">
        <v>381</v>
      </c>
      <c r="F80" s="289">
        <f>FORMULACION!P53</f>
        <v>2</v>
      </c>
      <c r="G80" s="290"/>
      <c r="H80" s="291">
        <f t="shared" si="2"/>
        <v>0</v>
      </c>
    </row>
    <row r="81" spans="1:8" x14ac:dyDescent="0.2">
      <c r="A81" s="54">
        <v>51</v>
      </c>
      <c r="B81" s="72" t="s">
        <v>556</v>
      </c>
      <c r="C81" s="98" t="s">
        <v>22</v>
      </c>
      <c r="D81" s="98" t="s">
        <v>296</v>
      </c>
      <c r="E81" s="99" t="s">
        <v>383</v>
      </c>
      <c r="F81" s="289">
        <f>FORMULACION!P54</f>
        <v>1</v>
      </c>
      <c r="G81" s="290"/>
      <c r="H81" s="291">
        <f t="shared" si="2"/>
        <v>0</v>
      </c>
    </row>
    <row r="82" spans="1:8" x14ac:dyDescent="0.2">
      <c r="A82" s="54">
        <v>52</v>
      </c>
      <c r="B82" s="72" t="s">
        <v>556</v>
      </c>
      <c r="C82" s="98" t="s">
        <v>22</v>
      </c>
      <c r="D82" s="98" t="s">
        <v>296</v>
      </c>
      <c r="E82" s="99" t="s">
        <v>382</v>
      </c>
      <c r="F82" s="289">
        <f>FORMULACION!P55</f>
        <v>1</v>
      </c>
      <c r="G82" s="290"/>
      <c r="H82" s="291">
        <f t="shared" si="2"/>
        <v>0</v>
      </c>
    </row>
    <row r="83" spans="1:8" x14ac:dyDescent="0.2">
      <c r="A83" s="54">
        <v>53</v>
      </c>
      <c r="B83" s="72" t="s">
        <v>556</v>
      </c>
      <c r="C83" s="98" t="s">
        <v>22</v>
      </c>
      <c r="D83" s="98" t="s">
        <v>296</v>
      </c>
      <c r="E83" s="99" t="s">
        <v>384</v>
      </c>
      <c r="F83" s="289">
        <f>FORMULACION!P56</f>
        <v>1</v>
      </c>
      <c r="G83" s="290"/>
      <c r="H83" s="291">
        <f t="shared" si="2"/>
        <v>0</v>
      </c>
    </row>
    <row r="84" spans="1:8" x14ac:dyDescent="0.2">
      <c r="A84" s="54">
        <v>54</v>
      </c>
      <c r="B84" s="72" t="s">
        <v>556</v>
      </c>
      <c r="C84" s="98" t="s">
        <v>22</v>
      </c>
      <c r="D84" s="98" t="s">
        <v>296</v>
      </c>
      <c r="E84" s="99" t="s">
        <v>380</v>
      </c>
      <c r="F84" s="289">
        <f>FORMULACION!P57</f>
        <v>1</v>
      </c>
      <c r="G84" s="290"/>
      <c r="H84" s="291">
        <f t="shared" si="2"/>
        <v>0</v>
      </c>
    </row>
    <row r="85" spans="1:8" x14ac:dyDescent="0.2">
      <c r="A85" s="54">
        <v>55</v>
      </c>
      <c r="B85" s="72" t="s">
        <v>556</v>
      </c>
      <c r="C85" s="98" t="s">
        <v>22</v>
      </c>
      <c r="D85" s="98" t="s">
        <v>296</v>
      </c>
      <c r="E85" s="99" t="s">
        <v>497</v>
      </c>
      <c r="F85" s="289">
        <f>FORMULACION!P58</f>
        <v>1</v>
      </c>
      <c r="G85" s="290"/>
      <c r="H85" s="291">
        <f t="shared" ref="H85:H110" si="3">F85*G85</f>
        <v>0</v>
      </c>
    </row>
    <row r="86" spans="1:8" x14ac:dyDescent="0.2">
      <c r="A86" s="54">
        <v>56</v>
      </c>
      <c r="B86" s="72" t="s">
        <v>556</v>
      </c>
      <c r="C86" s="98" t="s">
        <v>22</v>
      </c>
      <c r="D86" s="98" t="s">
        <v>296</v>
      </c>
      <c r="E86" s="99" t="s">
        <v>386</v>
      </c>
      <c r="F86" s="289">
        <f>FORMULACION!P59</f>
        <v>1</v>
      </c>
      <c r="G86" s="290"/>
      <c r="H86" s="291">
        <f t="shared" si="3"/>
        <v>0</v>
      </c>
    </row>
    <row r="87" spans="1:8" x14ac:dyDescent="0.2">
      <c r="A87" s="54">
        <v>57</v>
      </c>
      <c r="B87" s="72" t="s">
        <v>556</v>
      </c>
      <c r="C87" s="98" t="s">
        <v>22</v>
      </c>
      <c r="D87" s="98" t="s">
        <v>296</v>
      </c>
      <c r="E87" s="99" t="s">
        <v>542</v>
      </c>
      <c r="F87" s="289">
        <f>FORMULACION!P60</f>
        <v>1</v>
      </c>
      <c r="G87" s="290"/>
      <c r="H87" s="291">
        <f t="shared" si="3"/>
        <v>0</v>
      </c>
    </row>
    <row r="88" spans="1:8" x14ac:dyDescent="0.2">
      <c r="A88" s="54">
        <v>58</v>
      </c>
      <c r="B88" s="72" t="s">
        <v>556</v>
      </c>
      <c r="C88" s="98" t="s">
        <v>22</v>
      </c>
      <c r="D88" s="98" t="s">
        <v>296</v>
      </c>
      <c r="E88" s="99" t="s">
        <v>375</v>
      </c>
      <c r="F88" s="289">
        <f>FORMULACION!P61</f>
        <v>1</v>
      </c>
      <c r="G88" s="290"/>
      <c r="H88" s="291">
        <f t="shared" si="3"/>
        <v>0</v>
      </c>
    </row>
    <row r="89" spans="1:8" x14ac:dyDescent="0.2">
      <c r="A89" s="54">
        <v>59</v>
      </c>
      <c r="B89" s="72" t="s">
        <v>556</v>
      </c>
      <c r="C89" s="98" t="s">
        <v>22</v>
      </c>
      <c r="D89" s="98" t="s">
        <v>296</v>
      </c>
      <c r="E89" s="99" t="s">
        <v>387</v>
      </c>
      <c r="F89" s="289">
        <f>FORMULACION!P62</f>
        <v>1</v>
      </c>
      <c r="G89" s="290"/>
      <c r="H89" s="291">
        <f t="shared" si="3"/>
        <v>0</v>
      </c>
    </row>
    <row r="90" spans="1:8" x14ac:dyDescent="0.2">
      <c r="A90" s="54">
        <v>60</v>
      </c>
      <c r="B90" s="72" t="s">
        <v>556</v>
      </c>
      <c r="C90" s="98" t="s">
        <v>22</v>
      </c>
      <c r="D90" s="98" t="s">
        <v>296</v>
      </c>
      <c r="E90" s="99" t="s">
        <v>378</v>
      </c>
      <c r="F90" s="289">
        <f>FORMULACION!P63</f>
        <v>1</v>
      </c>
      <c r="G90" s="290"/>
      <c r="H90" s="291">
        <f t="shared" si="3"/>
        <v>0</v>
      </c>
    </row>
    <row r="91" spans="1:8" x14ac:dyDescent="0.2">
      <c r="A91" s="54">
        <v>61</v>
      </c>
      <c r="B91" s="72" t="s">
        <v>556</v>
      </c>
      <c r="C91" s="98" t="s">
        <v>22</v>
      </c>
      <c r="D91" s="98" t="s">
        <v>296</v>
      </c>
      <c r="E91" s="99" t="s">
        <v>498</v>
      </c>
      <c r="F91" s="289">
        <f>FORMULACION!P64</f>
        <v>1</v>
      </c>
      <c r="G91" s="290"/>
      <c r="H91" s="291">
        <f t="shared" si="3"/>
        <v>0</v>
      </c>
    </row>
    <row r="92" spans="1:8" x14ac:dyDescent="0.2">
      <c r="A92" s="54">
        <v>62</v>
      </c>
      <c r="B92" s="72" t="s">
        <v>556</v>
      </c>
      <c r="C92" s="98" t="s">
        <v>22</v>
      </c>
      <c r="D92" s="98" t="s">
        <v>296</v>
      </c>
      <c r="E92" s="99" t="s">
        <v>46</v>
      </c>
      <c r="F92" s="289">
        <f>FORMULACION!P65</f>
        <v>1</v>
      </c>
      <c r="G92" s="290"/>
      <c r="H92" s="291">
        <f t="shared" si="3"/>
        <v>0</v>
      </c>
    </row>
    <row r="93" spans="1:8" x14ac:dyDescent="0.2">
      <c r="A93" s="54">
        <v>63</v>
      </c>
      <c r="B93" s="72" t="s">
        <v>556</v>
      </c>
      <c r="C93" s="98" t="s">
        <v>22</v>
      </c>
      <c r="D93" s="98" t="s">
        <v>296</v>
      </c>
      <c r="E93" s="99" t="s">
        <v>379</v>
      </c>
      <c r="F93" s="289">
        <f>FORMULACION!P66</f>
        <v>1</v>
      </c>
      <c r="G93" s="290"/>
      <c r="H93" s="291">
        <f t="shared" si="3"/>
        <v>0</v>
      </c>
    </row>
    <row r="94" spans="1:8" x14ac:dyDescent="0.2">
      <c r="A94" s="54">
        <v>64</v>
      </c>
      <c r="B94" s="72" t="s">
        <v>556</v>
      </c>
      <c r="C94" s="98" t="s">
        <v>22</v>
      </c>
      <c r="D94" s="98" t="s">
        <v>296</v>
      </c>
      <c r="E94" s="99" t="s">
        <v>377</v>
      </c>
      <c r="F94" s="289">
        <f>FORMULACION!P67</f>
        <v>1</v>
      </c>
      <c r="G94" s="290"/>
      <c r="H94" s="291">
        <f t="shared" si="3"/>
        <v>0</v>
      </c>
    </row>
    <row r="95" spans="1:8" x14ac:dyDescent="0.2">
      <c r="A95" s="54">
        <v>65</v>
      </c>
      <c r="B95" s="72" t="s">
        <v>556</v>
      </c>
      <c r="C95" s="98" t="s">
        <v>22</v>
      </c>
      <c r="D95" s="98" t="s">
        <v>296</v>
      </c>
      <c r="E95" s="99" t="s">
        <v>385</v>
      </c>
      <c r="F95" s="289">
        <f>FORMULACION!P68</f>
        <v>1</v>
      </c>
      <c r="G95" s="290"/>
      <c r="H95" s="291">
        <f t="shared" si="3"/>
        <v>0</v>
      </c>
    </row>
    <row r="96" spans="1:8" x14ac:dyDescent="0.2">
      <c r="A96" s="54">
        <v>66</v>
      </c>
      <c r="B96" s="72" t="s">
        <v>556</v>
      </c>
      <c r="C96" s="98" t="s">
        <v>22</v>
      </c>
      <c r="D96" s="98" t="s">
        <v>296</v>
      </c>
      <c r="E96" s="99" t="s">
        <v>447</v>
      </c>
      <c r="F96" s="289">
        <f>FORMULACION!P69</f>
        <v>1</v>
      </c>
      <c r="G96" s="290"/>
      <c r="H96" s="291">
        <f t="shared" si="3"/>
        <v>0</v>
      </c>
    </row>
    <row r="97" spans="1:8" x14ac:dyDescent="0.2">
      <c r="A97" s="54">
        <v>67</v>
      </c>
      <c r="B97" s="72" t="s">
        <v>556</v>
      </c>
      <c r="C97" s="98" t="s">
        <v>22</v>
      </c>
      <c r="D97" s="98" t="s">
        <v>296</v>
      </c>
      <c r="E97" s="99" t="s">
        <v>48</v>
      </c>
      <c r="F97" s="289">
        <f>FORMULACION!P70</f>
        <v>1</v>
      </c>
      <c r="G97" s="290"/>
      <c r="H97" s="291">
        <f t="shared" si="3"/>
        <v>0</v>
      </c>
    </row>
    <row r="98" spans="1:8" x14ac:dyDescent="0.2">
      <c r="A98" s="54">
        <v>68</v>
      </c>
      <c r="B98" s="72" t="s">
        <v>556</v>
      </c>
      <c r="C98" s="98" t="s">
        <v>22</v>
      </c>
      <c r="D98" s="98" t="s">
        <v>296</v>
      </c>
      <c r="E98" s="99" t="s">
        <v>388</v>
      </c>
      <c r="F98" s="289">
        <f>FORMULACION!P71</f>
        <v>2</v>
      </c>
      <c r="G98" s="290"/>
      <c r="H98" s="291">
        <f t="shared" si="3"/>
        <v>0</v>
      </c>
    </row>
    <row r="99" spans="1:8" x14ac:dyDescent="0.2">
      <c r="A99" s="54">
        <v>69</v>
      </c>
      <c r="B99" s="72" t="s">
        <v>556</v>
      </c>
      <c r="C99" s="98" t="s">
        <v>22</v>
      </c>
      <c r="D99" s="98" t="s">
        <v>296</v>
      </c>
      <c r="E99" s="99" t="s">
        <v>389</v>
      </c>
      <c r="F99" s="289">
        <f>FORMULACION!P72</f>
        <v>60</v>
      </c>
      <c r="G99" s="290"/>
      <c r="H99" s="291">
        <f t="shared" si="3"/>
        <v>0</v>
      </c>
    </row>
    <row r="100" spans="1:8" x14ac:dyDescent="0.2">
      <c r="A100" s="54">
        <v>70</v>
      </c>
      <c r="B100" s="72" t="s">
        <v>556</v>
      </c>
      <c r="C100" s="94" t="s">
        <v>50</v>
      </c>
      <c r="D100" s="94" t="s">
        <v>296</v>
      </c>
      <c r="E100" s="95" t="s">
        <v>51</v>
      </c>
      <c r="F100" s="295">
        <f>FORMULACION!P73</f>
        <v>1</v>
      </c>
      <c r="G100" s="296"/>
      <c r="H100" s="297">
        <f t="shared" si="3"/>
        <v>0</v>
      </c>
    </row>
    <row r="101" spans="1:8" x14ac:dyDescent="0.2">
      <c r="A101" s="54">
        <v>71</v>
      </c>
      <c r="B101" s="72" t="s">
        <v>556</v>
      </c>
      <c r="C101" s="94" t="s">
        <v>50</v>
      </c>
      <c r="D101" s="94" t="s">
        <v>296</v>
      </c>
      <c r="E101" s="95" t="s">
        <v>52</v>
      </c>
      <c r="F101" s="295">
        <f>FORMULACION!P74</f>
        <v>1</v>
      </c>
      <c r="G101" s="296"/>
      <c r="H101" s="297">
        <f t="shared" si="3"/>
        <v>0</v>
      </c>
    </row>
    <row r="102" spans="1:8" x14ac:dyDescent="0.2">
      <c r="A102" s="54">
        <v>72</v>
      </c>
      <c r="B102" s="72" t="s">
        <v>556</v>
      </c>
      <c r="C102" s="94" t="s">
        <v>50</v>
      </c>
      <c r="D102" s="94" t="s">
        <v>296</v>
      </c>
      <c r="E102" s="95" t="s">
        <v>53</v>
      </c>
      <c r="F102" s="295">
        <f>FORMULACION!P75</f>
        <v>1</v>
      </c>
      <c r="G102" s="296"/>
      <c r="H102" s="297">
        <f t="shared" si="3"/>
        <v>0</v>
      </c>
    </row>
    <row r="103" spans="1:8" x14ac:dyDescent="0.2">
      <c r="A103" s="54">
        <v>73</v>
      </c>
      <c r="B103" s="72" t="s">
        <v>556</v>
      </c>
      <c r="C103" s="94" t="s">
        <v>50</v>
      </c>
      <c r="D103" s="94" t="s">
        <v>296</v>
      </c>
      <c r="E103" s="95" t="s">
        <v>54</v>
      </c>
      <c r="F103" s="295">
        <f>FORMULACION!P76</f>
        <v>1</v>
      </c>
      <c r="G103" s="296"/>
      <c r="H103" s="297">
        <f t="shared" si="3"/>
        <v>0</v>
      </c>
    </row>
    <row r="104" spans="1:8" x14ac:dyDescent="0.2">
      <c r="A104" s="54">
        <v>74</v>
      </c>
      <c r="B104" s="72" t="s">
        <v>556</v>
      </c>
      <c r="C104" s="102" t="s">
        <v>55</v>
      </c>
      <c r="D104" s="102" t="s">
        <v>296</v>
      </c>
      <c r="E104" s="103" t="s">
        <v>448</v>
      </c>
      <c r="F104" s="292">
        <f>FORMULACION!P77</f>
        <v>3</v>
      </c>
      <c r="G104" s="293"/>
      <c r="H104" s="294">
        <f t="shared" si="3"/>
        <v>0</v>
      </c>
    </row>
    <row r="105" spans="1:8" x14ac:dyDescent="0.2">
      <c r="A105" s="54">
        <v>75</v>
      </c>
      <c r="B105" s="72" t="s">
        <v>556</v>
      </c>
      <c r="C105" s="102" t="s">
        <v>55</v>
      </c>
      <c r="D105" s="102" t="s">
        <v>296</v>
      </c>
      <c r="E105" s="103" t="s">
        <v>449</v>
      </c>
      <c r="F105" s="292">
        <f>FORMULACION!P78</f>
        <v>1</v>
      </c>
      <c r="G105" s="293"/>
      <c r="H105" s="294">
        <f t="shared" si="3"/>
        <v>0</v>
      </c>
    </row>
    <row r="106" spans="1:8" x14ac:dyDescent="0.2">
      <c r="A106" s="54">
        <v>76</v>
      </c>
      <c r="B106" s="72" t="s">
        <v>556</v>
      </c>
      <c r="C106" s="102" t="s">
        <v>55</v>
      </c>
      <c r="D106" s="102" t="s">
        <v>296</v>
      </c>
      <c r="E106" s="103" t="s">
        <v>450</v>
      </c>
      <c r="F106" s="292">
        <f>FORMULACION!P79</f>
        <v>1</v>
      </c>
      <c r="G106" s="293"/>
      <c r="H106" s="294">
        <f t="shared" si="3"/>
        <v>0</v>
      </c>
    </row>
    <row r="107" spans="1:8" x14ac:dyDescent="0.2">
      <c r="A107" s="54">
        <v>77</v>
      </c>
      <c r="B107" s="72" t="s">
        <v>556</v>
      </c>
      <c r="C107" s="102" t="s">
        <v>55</v>
      </c>
      <c r="D107" s="102" t="s">
        <v>296</v>
      </c>
      <c r="E107" s="103" t="s">
        <v>499</v>
      </c>
      <c r="F107" s="292">
        <f>FORMULACION!P80</f>
        <v>1</v>
      </c>
      <c r="G107" s="293"/>
      <c r="H107" s="294">
        <f t="shared" si="3"/>
        <v>0</v>
      </c>
    </row>
    <row r="108" spans="1:8" x14ac:dyDescent="0.2">
      <c r="A108" s="54">
        <v>78</v>
      </c>
      <c r="B108" s="72" t="s">
        <v>556</v>
      </c>
      <c r="C108" s="102" t="s">
        <v>55</v>
      </c>
      <c r="D108" s="102" t="s">
        <v>296</v>
      </c>
      <c r="E108" s="103" t="s">
        <v>500</v>
      </c>
      <c r="F108" s="292">
        <f>FORMULACION!P81</f>
        <v>6</v>
      </c>
      <c r="G108" s="293"/>
      <c r="H108" s="294">
        <f t="shared" si="3"/>
        <v>0</v>
      </c>
    </row>
    <row r="109" spans="1:8" x14ac:dyDescent="0.2">
      <c r="A109" s="54">
        <v>79</v>
      </c>
      <c r="B109" s="72" t="s">
        <v>556</v>
      </c>
      <c r="C109" s="102" t="s">
        <v>55</v>
      </c>
      <c r="D109" s="102" t="s">
        <v>296</v>
      </c>
      <c r="E109" s="103" t="s">
        <v>390</v>
      </c>
      <c r="F109" s="292">
        <f>FORMULACION!P82</f>
        <v>1</v>
      </c>
      <c r="G109" s="293"/>
      <c r="H109" s="294">
        <f t="shared" si="3"/>
        <v>0</v>
      </c>
    </row>
    <row r="110" spans="1:8" x14ac:dyDescent="0.2">
      <c r="A110" s="54">
        <v>80</v>
      </c>
      <c r="B110" s="72" t="s">
        <v>556</v>
      </c>
      <c r="C110" s="104" t="s">
        <v>61</v>
      </c>
      <c r="D110" s="104" t="s">
        <v>296</v>
      </c>
      <c r="E110" s="105" t="s">
        <v>391</v>
      </c>
      <c r="F110" s="298">
        <f>FORMULACION!P83</f>
        <v>0</v>
      </c>
      <c r="G110" s="299"/>
      <c r="H110" s="300">
        <f t="shared" si="3"/>
        <v>0</v>
      </c>
    </row>
    <row r="111" spans="1:8" x14ac:dyDescent="0.2">
      <c r="A111" s="54">
        <v>81</v>
      </c>
      <c r="B111" s="72" t="s">
        <v>556</v>
      </c>
      <c r="C111" s="104" t="s">
        <v>61</v>
      </c>
      <c r="D111" s="104" t="s">
        <v>296</v>
      </c>
      <c r="E111" s="106" t="s">
        <v>453</v>
      </c>
      <c r="F111" s="298">
        <f>FORMULACION!P84</f>
        <v>60</v>
      </c>
      <c r="G111" s="299"/>
      <c r="H111" s="300"/>
    </row>
    <row r="112" spans="1:8" x14ac:dyDescent="0.2">
      <c r="A112" s="54">
        <v>82</v>
      </c>
      <c r="B112" s="72" t="s">
        <v>556</v>
      </c>
      <c r="C112" s="104" t="s">
        <v>61</v>
      </c>
      <c r="D112" s="104" t="s">
        <v>296</v>
      </c>
      <c r="E112" s="105" t="s">
        <v>392</v>
      </c>
      <c r="F112" s="298">
        <f>FORMULACION!P85</f>
        <v>1</v>
      </c>
      <c r="G112" s="299"/>
      <c r="H112" s="300">
        <f t="shared" ref="H112:H133" si="4">F112*G112</f>
        <v>0</v>
      </c>
    </row>
    <row r="113" spans="1:8" x14ac:dyDescent="0.2">
      <c r="A113" s="54">
        <v>83</v>
      </c>
      <c r="B113" s="72" t="s">
        <v>556</v>
      </c>
      <c r="C113" s="104" t="s">
        <v>61</v>
      </c>
      <c r="D113" s="104" t="s">
        <v>296</v>
      </c>
      <c r="E113" s="105" t="s">
        <v>73</v>
      </c>
      <c r="F113" s="298">
        <f>FORMULACION!P86</f>
        <v>1</v>
      </c>
      <c r="G113" s="299"/>
      <c r="H113" s="300">
        <f t="shared" si="4"/>
        <v>0</v>
      </c>
    </row>
    <row r="114" spans="1:8" x14ac:dyDescent="0.2">
      <c r="A114" s="54">
        <v>84</v>
      </c>
      <c r="B114" s="72" t="s">
        <v>556</v>
      </c>
      <c r="C114" s="104" t="s">
        <v>61</v>
      </c>
      <c r="D114" s="104" t="s">
        <v>296</v>
      </c>
      <c r="E114" s="105" t="s">
        <v>72</v>
      </c>
      <c r="F114" s="298">
        <f>FORMULACION!P87</f>
        <v>0</v>
      </c>
      <c r="G114" s="299"/>
      <c r="H114" s="300">
        <f t="shared" si="4"/>
        <v>0</v>
      </c>
    </row>
    <row r="115" spans="1:8" x14ac:dyDescent="0.2">
      <c r="A115" s="54">
        <v>85</v>
      </c>
      <c r="B115" s="72" t="s">
        <v>556</v>
      </c>
      <c r="C115" s="104" t="s">
        <v>61</v>
      </c>
      <c r="D115" s="104" t="s">
        <v>296</v>
      </c>
      <c r="E115" s="105" t="s">
        <v>393</v>
      </c>
      <c r="F115" s="298">
        <f>FORMULACION!P88</f>
        <v>0</v>
      </c>
      <c r="G115" s="299"/>
      <c r="H115" s="300">
        <f t="shared" si="4"/>
        <v>0</v>
      </c>
    </row>
    <row r="116" spans="1:8" x14ac:dyDescent="0.2">
      <c r="A116" s="54">
        <v>86</v>
      </c>
      <c r="B116" s="72" t="s">
        <v>556</v>
      </c>
      <c r="C116" s="104" t="s">
        <v>61</v>
      </c>
      <c r="D116" s="104" t="s">
        <v>297</v>
      </c>
      <c r="E116" s="105" t="s">
        <v>70</v>
      </c>
      <c r="F116" s="298">
        <f>FORMULACION!P89</f>
        <v>0</v>
      </c>
      <c r="G116" s="299"/>
      <c r="H116" s="300">
        <f t="shared" si="4"/>
        <v>0</v>
      </c>
    </row>
    <row r="117" spans="1:8" x14ac:dyDescent="0.2">
      <c r="A117" s="54">
        <v>87</v>
      </c>
      <c r="B117" s="72" t="s">
        <v>556</v>
      </c>
      <c r="C117" s="104" t="s">
        <v>61</v>
      </c>
      <c r="D117" s="104" t="s">
        <v>296</v>
      </c>
      <c r="E117" s="105" t="s">
        <v>723</v>
      </c>
      <c r="F117" s="298">
        <f>FORMULACION!P90</f>
        <v>0</v>
      </c>
      <c r="G117" s="299"/>
      <c r="H117" s="300">
        <f t="shared" si="4"/>
        <v>0</v>
      </c>
    </row>
    <row r="118" spans="1:8" x14ac:dyDescent="0.2">
      <c r="A118" s="54">
        <v>88</v>
      </c>
      <c r="B118" s="72" t="s">
        <v>556</v>
      </c>
      <c r="C118" s="104" t="s">
        <v>61</v>
      </c>
      <c r="D118" s="104" t="s">
        <v>296</v>
      </c>
      <c r="E118" s="105" t="s">
        <v>501</v>
      </c>
      <c r="F118" s="298">
        <f>FORMULACION!P91</f>
        <v>0</v>
      </c>
      <c r="G118" s="299"/>
      <c r="H118" s="300">
        <f t="shared" si="4"/>
        <v>0</v>
      </c>
    </row>
    <row r="119" spans="1:8" x14ac:dyDescent="0.2">
      <c r="A119" s="54">
        <v>89</v>
      </c>
      <c r="B119" s="72" t="s">
        <v>556</v>
      </c>
      <c r="C119" s="104" t="s">
        <v>61</v>
      </c>
      <c r="D119" s="104" t="s">
        <v>296</v>
      </c>
      <c r="E119" s="105" t="s">
        <v>270</v>
      </c>
      <c r="F119" s="298">
        <f>FORMULACION!P92</f>
        <v>120</v>
      </c>
      <c r="G119" s="299"/>
      <c r="H119" s="300">
        <f t="shared" si="4"/>
        <v>0</v>
      </c>
    </row>
    <row r="120" spans="1:8" x14ac:dyDescent="0.2">
      <c r="A120" s="54">
        <v>90</v>
      </c>
      <c r="B120" s="72" t="s">
        <v>556</v>
      </c>
      <c r="C120" s="104" t="s">
        <v>61</v>
      </c>
      <c r="D120" s="104" t="s">
        <v>296</v>
      </c>
      <c r="E120" s="105" t="s">
        <v>68</v>
      </c>
      <c r="F120" s="298">
        <f>FORMULACION!P93</f>
        <v>0</v>
      </c>
      <c r="G120" s="299"/>
      <c r="H120" s="300">
        <f t="shared" si="4"/>
        <v>0</v>
      </c>
    </row>
    <row r="121" spans="1:8" x14ac:dyDescent="0.2">
      <c r="A121" s="54">
        <v>91</v>
      </c>
      <c r="B121" s="72" t="s">
        <v>556</v>
      </c>
      <c r="C121" s="107" t="s">
        <v>74</v>
      </c>
      <c r="D121" s="107" t="s">
        <v>296</v>
      </c>
      <c r="E121" s="108" t="s">
        <v>82</v>
      </c>
      <c r="F121" s="301">
        <f>FORMULACION!P94</f>
        <v>20</v>
      </c>
      <c r="G121" s="302"/>
      <c r="H121" s="303">
        <f t="shared" si="4"/>
        <v>0</v>
      </c>
    </row>
    <row r="122" spans="1:8" x14ac:dyDescent="0.2">
      <c r="A122" s="54">
        <v>92</v>
      </c>
      <c r="B122" s="72" t="s">
        <v>556</v>
      </c>
      <c r="C122" s="107" t="s">
        <v>74</v>
      </c>
      <c r="D122" s="107" t="s">
        <v>297</v>
      </c>
      <c r="E122" s="108" t="s">
        <v>395</v>
      </c>
      <c r="F122" s="301">
        <f>FORMULACION!P95</f>
        <v>60</v>
      </c>
      <c r="G122" s="302"/>
      <c r="H122" s="303">
        <f t="shared" si="4"/>
        <v>0</v>
      </c>
    </row>
    <row r="123" spans="1:8" x14ac:dyDescent="0.2">
      <c r="A123" s="54">
        <v>93</v>
      </c>
      <c r="B123" s="72" t="s">
        <v>556</v>
      </c>
      <c r="C123" s="107" t="s">
        <v>74</v>
      </c>
      <c r="D123" s="107" t="s">
        <v>297</v>
      </c>
      <c r="E123" s="108" t="s">
        <v>83</v>
      </c>
      <c r="F123" s="301">
        <f>FORMULACION!P96</f>
        <v>1</v>
      </c>
      <c r="G123" s="302"/>
      <c r="H123" s="303">
        <f t="shared" si="4"/>
        <v>0</v>
      </c>
    </row>
    <row r="124" spans="1:8" x14ac:dyDescent="0.2">
      <c r="A124" s="54">
        <v>94</v>
      </c>
      <c r="B124" s="72" t="s">
        <v>556</v>
      </c>
      <c r="C124" s="107" t="s">
        <v>74</v>
      </c>
      <c r="D124" s="107" t="s">
        <v>296</v>
      </c>
      <c r="E124" s="108" t="s">
        <v>78</v>
      </c>
      <c r="F124" s="301">
        <f>FORMULACION!P97</f>
        <v>0</v>
      </c>
      <c r="G124" s="302"/>
      <c r="H124" s="303">
        <f t="shared" si="4"/>
        <v>0</v>
      </c>
    </row>
    <row r="125" spans="1:8" x14ac:dyDescent="0.2">
      <c r="A125" s="54">
        <v>95</v>
      </c>
      <c r="B125" s="72" t="s">
        <v>556</v>
      </c>
      <c r="C125" s="107" t="s">
        <v>74</v>
      </c>
      <c r="D125" s="107" t="s">
        <v>296</v>
      </c>
      <c r="E125" s="108" t="s">
        <v>79</v>
      </c>
      <c r="F125" s="301">
        <f>FORMULACION!P98</f>
        <v>3</v>
      </c>
      <c r="G125" s="302"/>
      <c r="H125" s="303">
        <f t="shared" si="4"/>
        <v>0</v>
      </c>
    </row>
    <row r="126" spans="1:8" x14ac:dyDescent="0.2">
      <c r="A126" s="54">
        <v>96</v>
      </c>
      <c r="B126" s="72" t="s">
        <v>556</v>
      </c>
      <c r="C126" s="107" t="s">
        <v>74</v>
      </c>
      <c r="D126" s="107" t="s">
        <v>296</v>
      </c>
      <c r="E126" s="108" t="s">
        <v>397</v>
      </c>
      <c r="F126" s="301">
        <f>FORMULACION!P99</f>
        <v>3</v>
      </c>
      <c r="G126" s="302"/>
      <c r="H126" s="303">
        <f t="shared" si="4"/>
        <v>0</v>
      </c>
    </row>
    <row r="127" spans="1:8" x14ac:dyDescent="0.2">
      <c r="A127" s="54">
        <v>97</v>
      </c>
      <c r="B127" s="72" t="s">
        <v>556</v>
      </c>
      <c r="C127" s="107" t="s">
        <v>74</v>
      </c>
      <c r="D127" s="107" t="s">
        <v>297</v>
      </c>
      <c r="E127" s="108" t="s">
        <v>396</v>
      </c>
      <c r="F127" s="301">
        <f>FORMULACION!P100</f>
        <v>3</v>
      </c>
      <c r="G127" s="302"/>
      <c r="H127" s="303">
        <f t="shared" si="4"/>
        <v>0</v>
      </c>
    </row>
    <row r="128" spans="1:8" x14ac:dyDescent="0.2">
      <c r="A128" s="54">
        <v>98</v>
      </c>
      <c r="B128" s="72" t="s">
        <v>556</v>
      </c>
      <c r="C128" s="107" t="s">
        <v>74</v>
      </c>
      <c r="D128" s="107" t="s">
        <v>296</v>
      </c>
      <c r="E128" s="108" t="s">
        <v>81</v>
      </c>
      <c r="F128" s="301">
        <f>FORMULACION!P101</f>
        <v>0</v>
      </c>
      <c r="G128" s="302"/>
      <c r="H128" s="303">
        <f t="shared" si="4"/>
        <v>0</v>
      </c>
    </row>
    <row r="129" spans="1:8" x14ac:dyDescent="0.2">
      <c r="A129" s="54">
        <v>99</v>
      </c>
      <c r="B129" s="72" t="s">
        <v>556</v>
      </c>
      <c r="C129" s="107" t="s">
        <v>74</v>
      </c>
      <c r="D129" s="107" t="s">
        <v>296</v>
      </c>
      <c r="E129" s="108" t="s">
        <v>77</v>
      </c>
      <c r="F129" s="301">
        <f>FORMULACION!P102</f>
        <v>3</v>
      </c>
      <c r="G129" s="302"/>
      <c r="H129" s="303">
        <f t="shared" si="4"/>
        <v>0</v>
      </c>
    </row>
    <row r="130" spans="1:8" x14ac:dyDescent="0.2">
      <c r="A130" s="54">
        <v>100</v>
      </c>
      <c r="B130" s="72" t="s">
        <v>556</v>
      </c>
      <c r="C130" s="107" t="s">
        <v>74</v>
      </c>
      <c r="D130" s="107" t="s">
        <v>296</v>
      </c>
      <c r="E130" s="108" t="s">
        <v>394</v>
      </c>
      <c r="F130" s="301">
        <f>FORMULACION!P103</f>
        <v>0</v>
      </c>
      <c r="G130" s="302"/>
      <c r="H130" s="303">
        <f t="shared" si="4"/>
        <v>0</v>
      </c>
    </row>
    <row r="131" spans="1:8" x14ac:dyDescent="0.2">
      <c r="A131" s="54">
        <v>101</v>
      </c>
      <c r="B131" s="72" t="s">
        <v>556</v>
      </c>
      <c r="C131" s="107" t="s">
        <v>74</v>
      </c>
      <c r="D131" s="107" t="s">
        <v>296</v>
      </c>
      <c r="E131" s="108" t="s">
        <v>455</v>
      </c>
      <c r="F131" s="301">
        <f>FORMULACION!P104</f>
        <v>2</v>
      </c>
      <c r="G131" s="302"/>
      <c r="H131" s="303">
        <f t="shared" si="4"/>
        <v>0</v>
      </c>
    </row>
    <row r="132" spans="1:8" x14ac:dyDescent="0.2">
      <c r="A132" s="54">
        <v>102</v>
      </c>
      <c r="B132" s="72" t="s">
        <v>556</v>
      </c>
      <c r="C132" s="107" t="s">
        <v>74</v>
      </c>
      <c r="D132" s="107" t="s">
        <v>296</v>
      </c>
      <c r="E132" s="108" t="s">
        <v>86</v>
      </c>
      <c r="F132" s="301">
        <f>FORMULACION!P105</f>
        <v>2</v>
      </c>
      <c r="G132" s="302"/>
      <c r="H132" s="303">
        <f t="shared" si="4"/>
        <v>0</v>
      </c>
    </row>
    <row r="133" spans="1:8" x14ac:dyDescent="0.2">
      <c r="A133" s="54">
        <v>103</v>
      </c>
      <c r="B133" s="72" t="s">
        <v>556</v>
      </c>
      <c r="C133" s="107" t="s">
        <v>74</v>
      </c>
      <c r="D133" s="107" t="s">
        <v>296</v>
      </c>
      <c r="E133" s="108" t="s">
        <v>88</v>
      </c>
      <c r="F133" s="301">
        <f>FORMULACION!P106</f>
        <v>2</v>
      </c>
      <c r="G133" s="302"/>
      <c r="H133" s="303">
        <f t="shared" si="4"/>
        <v>0</v>
      </c>
    </row>
    <row r="134" spans="1:8" x14ac:dyDescent="0.2">
      <c r="A134" s="54">
        <v>104</v>
      </c>
      <c r="B134" s="72" t="s">
        <v>556</v>
      </c>
      <c r="C134" s="107" t="s">
        <v>74</v>
      </c>
      <c r="D134" s="107" t="s">
        <v>296</v>
      </c>
      <c r="E134" s="108" t="s">
        <v>87</v>
      </c>
      <c r="F134" s="301">
        <f>FORMULACION!P107</f>
        <v>2</v>
      </c>
      <c r="G134" s="302"/>
      <c r="H134" s="303"/>
    </row>
    <row r="135" spans="1:8" x14ac:dyDescent="0.2">
      <c r="A135" s="54">
        <v>105</v>
      </c>
      <c r="B135" s="72" t="s">
        <v>556</v>
      </c>
      <c r="C135" s="107" t="s">
        <v>74</v>
      </c>
      <c r="D135" s="107" t="s">
        <v>296</v>
      </c>
      <c r="E135" s="108" t="s">
        <v>399</v>
      </c>
      <c r="F135" s="301">
        <f>FORMULACION!P108</f>
        <v>2</v>
      </c>
      <c r="G135" s="302"/>
      <c r="H135" s="303">
        <f t="shared" ref="H135:H166" si="5">F135*G135</f>
        <v>0</v>
      </c>
    </row>
    <row r="136" spans="1:8" x14ac:dyDescent="0.2">
      <c r="A136" s="54">
        <v>106</v>
      </c>
      <c r="B136" s="72" t="s">
        <v>556</v>
      </c>
      <c r="C136" s="107" t="s">
        <v>74</v>
      </c>
      <c r="D136" s="107" t="s">
        <v>296</v>
      </c>
      <c r="E136" s="108" t="s">
        <v>90</v>
      </c>
      <c r="F136" s="301">
        <f>FORMULACION!P109</f>
        <v>17</v>
      </c>
      <c r="G136" s="302"/>
      <c r="H136" s="303">
        <f t="shared" si="5"/>
        <v>0</v>
      </c>
    </row>
    <row r="137" spans="1:8" x14ac:dyDescent="0.2">
      <c r="A137" s="54">
        <v>107</v>
      </c>
      <c r="B137" s="72" t="s">
        <v>556</v>
      </c>
      <c r="C137" s="107" t="s">
        <v>74</v>
      </c>
      <c r="D137" s="107" t="s">
        <v>296</v>
      </c>
      <c r="E137" s="108" t="s">
        <v>398</v>
      </c>
      <c r="F137" s="301">
        <f>FORMULACION!P110</f>
        <v>0</v>
      </c>
      <c r="G137" s="302"/>
      <c r="H137" s="303">
        <f t="shared" si="5"/>
        <v>0</v>
      </c>
    </row>
    <row r="138" spans="1:8" x14ac:dyDescent="0.2">
      <c r="A138" s="54">
        <v>108</v>
      </c>
      <c r="B138" s="72" t="s">
        <v>556</v>
      </c>
      <c r="C138" s="107" t="s">
        <v>74</v>
      </c>
      <c r="D138" s="107" t="s">
        <v>296</v>
      </c>
      <c r="E138" s="108" t="s">
        <v>400</v>
      </c>
      <c r="F138" s="301">
        <f>FORMULACION!P111</f>
        <v>60</v>
      </c>
      <c r="G138" s="302"/>
      <c r="H138" s="303">
        <f t="shared" si="5"/>
        <v>0</v>
      </c>
    </row>
    <row r="139" spans="1:8" x14ac:dyDescent="0.2">
      <c r="A139" s="54">
        <v>109</v>
      </c>
      <c r="B139" s="72" t="s">
        <v>556</v>
      </c>
      <c r="C139" s="107" t="s">
        <v>74</v>
      </c>
      <c r="D139" s="107" t="s">
        <v>296</v>
      </c>
      <c r="E139" s="108" t="s">
        <v>401</v>
      </c>
      <c r="F139" s="301">
        <f>FORMULACION!P112</f>
        <v>1</v>
      </c>
      <c r="G139" s="302"/>
      <c r="H139" s="303">
        <f t="shared" si="5"/>
        <v>0</v>
      </c>
    </row>
    <row r="140" spans="1:8" x14ac:dyDescent="0.2">
      <c r="A140" s="54">
        <v>110</v>
      </c>
      <c r="B140" s="72" t="s">
        <v>556</v>
      </c>
      <c r="C140" s="107" t="s">
        <v>74</v>
      </c>
      <c r="D140" s="107" t="s">
        <v>296</v>
      </c>
      <c r="E140" s="108" t="s">
        <v>403</v>
      </c>
      <c r="F140" s="301">
        <f>FORMULACION!P113</f>
        <v>1</v>
      </c>
      <c r="G140" s="302"/>
      <c r="H140" s="303">
        <f t="shared" si="5"/>
        <v>0</v>
      </c>
    </row>
    <row r="141" spans="1:8" x14ac:dyDescent="0.2">
      <c r="A141" s="54">
        <v>111</v>
      </c>
      <c r="B141" s="72" t="s">
        <v>556</v>
      </c>
      <c r="C141" s="107" t="s">
        <v>74</v>
      </c>
      <c r="D141" s="107" t="s">
        <v>296</v>
      </c>
      <c r="E141" s="108" t="s">
        <v>402</v>
      </c>
      <c r="F141" s="301">
        <f>FORMULACION!P114</f>
        <v>1</v>
      </c>
      <c r="G141" s="302"/>
      <c r="H141" s="303">
        <f t="shared" si="5"/>
        <v>0</v>
      </c>
    </row>
    <row r="142" spans="1:8" x14ac:dyDescent="0.2">
      <c r="A142" s="54">
        <v>112</v>
      </c>
      <c r="B142" s="72" t="s">
        <v>556</v>
      </c>
      <c r="C142" s="107" t="s">
        <v>74</v>
      </c>
      <c r="D142" s="107" t="s">
        <v>296</v>
      </c>
      <c r="E142" s="108" t="s">
        <v>456</v>
      </c>
      <c r="F142" s="301">
        <f>FORMULACION!P115</f>
        <v>3</v>
      </c>
      <c r="G142" s="302"/>
      <c r="H142" s="303">
        <f t="shared" si="5"/>
        <v>0</v>
      </c>
    </row>
    <row r="143" spans="1:8" x14ac:dyDescent="0.2">
      <c r="A143" s="54">
        <v>113</v>
      </c>
      <c r="B143" s="72" t="s">
        <v>556</v>
      </c>
      <c r="C143" s="107" t="s">
        <v>74</v>
      </c>
      <c r="D143" s="107" t="s">
        <v>296</v>
      </c>
      <c r="E143" s="108" t="s">
        <v>404</v>
      </c>
      <c r="F143" s="301">
        <f>FORMULACION!P116</f>
        <v>3</v>
      </c>
      <c r="G143" s="302"/>
      <c r="H143" s="303">
        <f t="shared" si="5"/>
        <v>0</v>
      </c>
    </row>
    <row r="144" spans="1:8" x14ac:dyDescent="0.2">
      <c r="A144" s="54">
        <v>114</v>
      </c>
      <c r="B144" s="72" t="s">
        <v>556</v>
      </c>
      <c r="C144" s="107" t="s">
        <v>74</v>
      </c>
      <c r="D144" s="107" t="s">
        <v>296</v>
      </c>
      <c r="E144" s="108" t="s">
        <v>406</v>
      </c>
      <c r="F144" s="301">
        <f>FORMULACION!P117</f>
        <v>1</v>
      </c>
      <c r="G144" s="302"/>
      <c r="H144" s="303">
        <f t="shared" si="5"/>
        <v>0</v>
      </c>
    </row>
    <row r="145" spans="1:8" x14ac:dyDescent="0.2">
      <c r="A145" s="54">
        <v>115</v>
      </c>
      <c r="B145" s="72" t="s">
        <v>556</v>
      </c>
      <c r="C145" s="107" t="s">
        <v>74</v>
      </c>
      <c r="D145" s="107" t="s">
        <v>296</v>
      </c>
      <c r="E145" s="108" t="s">
        <v>279</v>
      </c>
      <c r="F145" s="301">
        <f>FORMULACION!P118</f>
        <v>1</v>
      </c>
      <c r="G145" s="302"/>
      <c r="H145" s="303">
        <f t="shared" si="5"/>
        <v>0</v>
      </c>
    </row>
    <row r="146" spans="1:8" x14ac:dyDescent="0.2">
      <c r="A146" s="54">
        <v>116</v>
      </c>
      <c r="B146" s="72" t="s">
        <v>556</v>
      </c>
      <c r="C146" s="107" t="s">
        <v>74</v>
      </c>
      <c r="D146" s="107" t="s">
        <v>296</v>
      </c>
      <c r="E146" s="108" t="s">
        <v>534</v>
      </c>
      <c r="F146" s="301">
        <f>FORMULACION!P119</f>
        <v>1</v>
      </c>
      <c r="G146" s="302"/>
      <c r="H146" s="303">
        <f t="shared" si="5"/>
        <v>0</v>
      </c>
    </row>
    <row r="147" spans="1:8" x14ac:dyDescent="0.2">
      <c r="A147" s="54">
        <v>117</v>
      </c>
      <c r="B147" s="72" t="s">
        <v>556</v>
      </c>
      <c r="C147" s="107" t="s">
        <v>74</v>
      </c>
      <c r="D147" s="107" t="s">
        <v>296</v>
      </c>
      <c r="E147" s="108" t="s">
        <v>457</v>
      </c>
      <c r="F147" s="301">
        <f>FORMULACION!P120</f>
        <v>1</v>
      </c>
      <c r="G147" s="302"/>
      <c r="H147" s="303">
        <f t="shared" si="5"/>
        <v>0</v>
      </c>
    </row>
    <row r="148" spans="1:8" x14ac:dyDescent="0.2">
      <c r="A148" s="54">
        <v>118</v>
      </c>
      <c r="B148" s="72" t="s">
        <v>556</v>
      </c>
      <c r="C148" s="107" t="s">
        <v>74</v>
      </c>
      <c r="D148" s="107" t="s">
        <v>296</v>
      </c>
      <c r="E148" s="108" t="s">
        <v>94</v>
      </c>
      <c r="F148" s="301">
        <f>FORMULACION!P121</f>
        <v>2</v>
      </c>
      <c r="G148" s="302"/>
      <c r="H148" s="303">
        <f t="shared" si="5"/>
        <v>0</v>
      </c>
    </row>
    <row r="149" spans="1:8" x14ac:dyDescent="0.2">
      <c r="A149" s="54">
        <v>119</v>
      </c>
      <c r="B149" s="72" t="s">
        <v>556</v>
      </c>
      <c r="C149" s="107" t="s">
        <v>74</v>
      </c>
      <c r="D149" s="107" t="s">
        <v>296</v>
      </c>
      <c r="E149" s="108" t="s">
        <v>405</v>
      </c>
      <c r="F149" s="301">
        <f>FORMULACION!P122</f>
        <v>36</v>
      </c>
      <c r="G149" s="302"/>
      <c r="H149" s="303">
        <f t="shared" si="5"/>
        <v>0</v>
      </c>
    </row>
    <row r="150" spans="1:8" x14ac:dyDescent="0.2">
      <c r="A150" s="54">
        <v>120</v>
      </c>
      <c r="B150" s="72" t="s">
        <v>556</v>
      </c>
      <c r="C150" s="109" t="s">
        <v>95</v>
      </c>
      <c r="D150" s="109" t="s">
        <v>296</v>
      </c>
      <c r="E150" s="110" t="s">
        <v>407</v>
      </c>
      <c r="F150" s="304">
        <f>FORMULACION!P123</f>
        <v>3</v>
      </c>
      <c r="G150" s="305"/>
      <c r="H150" s="306">
        <f t="shared" si="5"/>
        <v>0</v>
      </c>
    </row>
    <row r="151" spans="1:8" x14ac:dyDescent="0.2">
      <c r="A151" s="54">
        <v>121</v>
      </c>
      <c r="B151" s="72" t="s">
        <v>556</v>
      </c>
      <c r="C151" s="109" t="s">
        <v>95</v>
      </c>
      <c r="D151" s="109" t="s">
        <v>296</v>
      </c>
      <c r="E151" s="110" t="s">
        <v>408</v>
      </c>
      <c r="F151" s="304">
        <f>FORMULACION!P124</f>
        <v>1</v>
      </c>
      <c r="G151" s="305"/>
      <c r="H151" s="306">
        <f t="shared" si="5"/>
        <v>0</v>
      </c>
    </row>
    <row r="152" spans="1:8" x14ac:dyDescent="0.2">
      <c r="A152" s="54">
        <v>122</v>
      </c>
      <c r="B152" s="72" t="s">
        <v>556</v>
      </c>
      <c r="C152" s="109" t="s">
        <v>95</v>
      </c>
      <c r="D152" s="109" t="s">
        <v>296</v>
      </c>
      <c r="E152" s="110" t="s">
        <v>306</v>
      </c>
      <c r="F152" s="304">
        <f>FORMULACION!P125</f>
        <v>1</v>
      </c>
      <c r="G152" s="305"/>
      <c r="H152" s="306">
        <f t="shared" si="5"/>
        <v>0</v>
      </c>
    </row>
    <row r="153" spans="1:8" x14ac:dyDescent="0.2">
      <c r="A153" s="54">
        <v>123</v>
      </c>
      <c r="B153" s="72" t="s">
        <v>556</v>
      </c>
      <c r="C153" s="109" t="s">
        <v>95</v>
      </c>
      <c r="D153" s="109" t="s">
        <v>296</v>
      </c>
      <c r="E153" s="110" t="s">
        <v>307</v>
      </c>
      <c r="F153" s="304">
        <f>FORMULACION!P126</f>
        <v>0</v>
      </c>
      <c r="G153" s="305"/>
      <c r="H153" s="306">
        <f t="shared" si="5"/>
        <v>0</v>
      </c>
    </row>
    <row r="154" spans="1:8" x14ac:dyDescent="0.2">
      <c r="A154" s="54">
        <v>124</v>
      </c>
      <c r="B154" s="72" t="s">
        <v>556</v>
      </c>
      <c r="C154" s="109" t="s">
        <v>95</v>
      </c>
      <c r="D154" s="109" t="s">
        <v>296</v>
      </c>
      <c r="E154" s="110" t="s">
        <v>536</v>
      </c>
      <c r="F154" s="304">
        <f>FORMULACION!P127</f>
        <v>1</v>
      </c>
      <c r="G154" s="305"/>
      <c r="H154" s="306">
        <f t="shared" si="5"/>
        <v>0</v>
      </c>
    </row>
    <row r="155" spans="1:8" x14ac:dyDescent="0.2">
      <c r="A155" s="54">
        <v>125</v>
      </c>
      <c r="B155" s="72" t="s">
        <v>556</v>
      </c>
      <c r="C155" s="109" t="s">
        <v>95</v>
      </c>
      <c r="D155" s="109" t="s">
        <v>296</v>
      </c>
      <c r="E155" s="110" t="s">
        <v>104</v>
      </c>
      <c r="F155" s="304">
        <f>FORMULACION!P128</f>
        <v>3</v>
      </c>
      <c r="G155" s="305"/>
      <c r="H155" s="306">
        <f t="shared" si="5"/>
        <v>0</v>
      </c>
    </row>
    <row r="156" spans="1:8" x14ac:dyDescent="0.2">
      <c r="A156" s="54">
        <v>126</v>
      </c>
      <c r="B156" s="72" t="s">
        <v>556</v>
      </c>
      <c r="C156" s="109" t="s">
        <v>95</v>
      </c>
      <c r="D156" s="109" t="s">
        <v>296</v>
      </c>
      <c r="E156" s="110" t="s">
        <v>105</v>
      </c>
      <c r="F156" s="304">
        <f>FORMULACION!P129</f>
        <v>1</v>
      </c>
      <c r="G156" s="305"/>
      <c r="H156" s="306">
        <f t="shared" si="5"/>
        <v>0</v>
      </c>
    </row>
    <row r="157" spans="1:8" x14ac:dyDescent="0.2">
      <c r="A157" s="54">
        <v>127</v>
      </c>
      <c r="B157" s="72" t="s">
        <v>556</v>
      </c>
      <c r="C157" s="109" t="s">
        <v>95</v>
      </c>
      <c r="D157" s="109" t="s">
        <v>296</v>
      </c>
      <c r="E157" s="110" t="s">
        <v>103</v>
      </c>
      <c r="F157" s="304">
        <f>FORMULACION!P130</f>
        <v>1</v>
      </c>
      <c r="G157" s="305"/>
      <c r="H157" s="306">
        <f t="shared" si="5"/>
        <v>0</v>
      </c>
    </row>
    <row r="158" spans="1:8" x14ac:dyDescent="0.2">
      <c r="A158" s="54">
        <v>128</v>
      </c>
      <c r="B158" s="72" t="s">
        <v>556</v>
      </c>
      <c r="C158" s="109" t="s">
        <v>95</v>
      </c>
      <c r="D158" s="109" t="s">
        <v>296</v>
      </c>
      <c r="E158" s="110" t="s">
        <v>101</v>
      </c>
      <c r="F158" s="304">
        <f>FORMULACION!P131</f>
        <v>1</v>
      </c>
      <c r="G158" s="305"/>
      <c r="H158" s="306">
        <f t="shared" si="5"/>
        <v>0</v>
      </c>
    </row>
    <row r="159" spans="1:8" x14ac:dyDescent="0.2">
      <c r="A159" s="54">
        <v>129</v>
      </c>
      <c r="B159" s="72" t="s">
        <v>556</v>
      </c>
      <c r="C159" s="109" t="s">
        <v>95</v>
      </c>
      <c r="D159" s="109" t="s">
        <v>296</v>
      </c>
      <c r="E159" s="110" t="s">
        <v>102</v>
      </c>
      <c r="F159" s="304">
        <f>FORMULACION!P132</f>
        <v>1</v>
      </c>
      <c r="G159" s="305"/>
      <c r="H159" s="306">
        <f t="shared" si="5"/>
        <v>0</v>
      </c>
    </row>
    <row r="160" spans="1:8" x14ac:dyDescent="0.2">
      <c r="A160" s="54">
        <v>130</v>
      </c>
      <c r="B160" s="72" t="s">
        <v>556</v>
      </c>
      <c r="C160" s="111" t="s">
        <v>106</v>
      </c>
      <c r="D160" s="111" t="s">
        <v>296</v>
      </c>
      <c r="E160" s="112" t="s">
        <v>180</v>
      </c>
      <c r="F160" s="307">
        <f>FORMULACION!P133</f>
        <v>3</v>
      </c>
      <c r="G160" s="308"/>
      <c r="H160" s="309">
        <f t="shared" si="5"/>
        <v>0</v>
      </c>
    </row>
    <row r="161" spans="1:8" x14ac:dyDescent="0.2">
      <c r="A161" s="54">
        <v>131</v>
      </c>
      <c r="B161" s="72" t="s">
        <v>556</v>
      </c>
      <c r="C161" s="111" t="s">
        <v>106</v>
      </c>
      <c r="D161" s="111" t="s">
        <v>296</v>
      </c>
      <c r="E161" s="112" t="s">
        <v>622</v>
      </c>
      <c r="F161" s="307">
        <f>FORMULACION!P134</f>
        <v>3</v>
      </c>
      <c r="G161" s="308"/>
      <c r="H161" s="309">
        <f t="shared" si="5"/>
        <v>0</v>
      </c>
    </row>
    <row r="162" spans="1:8" x14ac:dyDescent="0.2">
      <c r="A162" s="54">
        <v>132</v>
      </c>
      <c r="B162" s="72" t="s">
        <v>556</v>
      </c>
      <c r="C162" s="111" t="s">
        <v>106</v>
      </c>
      <c r="D162" s="111" t="s">
        <v>296</v>
      </c>
      <c r="E162" s="112" t="s">
        <v>460</v>
      </c>
      <c r="F162" s="307">
        <f>FORMULACION!P135</f>
        <v>6</v>
      </c>
      <c r="G162" s="308"/>
      <c r="H162" s="309">
        <f t="shared" si="5"/>
        <v>0</v>
      </c>
    </row>
    <row r="163" spans="1:8" x14ac:dyDescent="0.2">
      <c r="A163" s="54">
        <v>133</v>
      </c>
      <c r="B163" s="72" t="s">
        <v>556</v>
      </c>
      <c r="C163" s="111" t="s">
        <v>106</v>
      </c>
      <c r="D163" s="111" t="s">
        <v>296</v>
      </c>
      <c r="E163" s="112" t="s">
        <v>721</v>
      </c>
      <c r="F163" s="307">
        <f>FORMULACION!P136</f>
        <v>3</v>
      </c>
      <c r="G163" s="308"/>
      <c r="H163" s="309">
        <f t="shared" si="5"/>
        <v>0</v>
      </c>
    </row>
    <row r="164" spans="1:8" x14ac:dyDescent="0.2">
      <c r="A164" s="54">
        <v>134</v>
      </c>
      <c r="B164" s="72" t="s">
        <v>556</v>
      </c>
      <c r="C164" s="111" t="s">
        <v>106</v>
      </c>
      <c r="D164" s="111" t="s">
        <v>296</v>
      </c>
      <c r="E164" s="112" t="s">
        <v>413</v>
      </c>
      <c r="F164" s="307">
        <f>FORMULACION!P137</f>
        <v>1</v>
      </c>
      <c r="G164" s="308"/>
      <c r="H164" s="309">
        <f t="shared" si="5"/>
        <v>0</v>
      </c>
    </row>
    <row r="165" spans="1:8" x14ac:dyDescent="0.2">
      <c r="A165" s="54">
        <v>135</v>
      </c>
      <c r="B165" s="72" t="s">
        <v>556</v>
      </c>
      <c r="C165" s="111" t="s">
        <v>106</v>
      </c>
      <c r="D165" s="111" t="s">
        <v>297</v>
      </c>
      <c r="E165" s="112" t="s">
        <v>462</v>
      </c>
      <c r="F165" s="307">
        <f>FORMULACION!P138</f>
        <v>1</v>
      </c>
      <c r="G165" s="308"/>
      <c r="H165" s="309">
        <f t="shared" si="5"/>
        <v>0</v>
      </c>
    </row>
    <row r="166" spans="1:8" x14ac:dyDescent="0.2">
      <c r="A166" s="54">
        <v>136</v>
      </c>
      <c r="B166" s="72" t="s">
        <v>556</v>
      </c>
      <c r="C166" s="111" t="s">
        <v>106</v>
      </c>
      <c r="D166" s="111" t="s">
        <v>297</v>
      </c>
      <c r="E166" s="112" t="s">
        <v>411</v>
      </c>
      <c r="F166" s="307">
        <f>FORMULACION!P139</f>
        <v>3</v>
      </c>
      <c r="G166" s="308"/>
      <c r="H166" s="309">
        <f t="shared" si="5"/>
        <v>0</v>
      </c>
    </row>
    <row r="167" spans="1:8" x14ac:dyDescent="0.2">
      <c r="A167" s="54">
        <v>137</v>
      </c>
      <c r="B167" s="72" t="s">
        <v>556</v>
      </c>
      <c r="C167" s="111" t="s">
        <v>106</v>
      </c>
      <c r="D167" s="111" t="s">
        <v>297</v>
      </c>
      <c r="E167" s="112" t="s">
        <v>120</v>
      </c>
      <c r="F167" s="307">
        <f>FORMULACION!P140</f>
        <v>1</v>
      </c>
      <c r="G167" s="308"/>
      <c r="H167" s="309">
        <f t="shared" ref="H167:H198" si="6">F167*G167</f>
        <v>0</v>
      </c>
    </row>
    <row r="168" spans="1:8" x14ac:dyDescent="0.2">
      <c r="A168" s="54">
        <v>138</v>
      </c>
      <c r="B168" s="72" t="s">
        <v>556</v>
      </c>
      <c r="C168" s="111" t="s">
        <v>106</v>
      </c>
      <c r="D168" s="111" t="s">
        <v>296</v>
      </c>
      <c r="E168" s="112" t="s">
        <v>463</v>
      </c>
      <c r="F168" s="307">
        <f>FORMULACION!P141</f>
        <v>3</v>
      </c>
      <c r="G168" s="308"/>
      <c r="H168" s="309">
        <f t="shared" si="6"/>
        <v>0</v>
      </c>
    </row>
    <row r="169" spans="1:8" x14ac:dyDescent="0.2">
      <c r="A169" s="54">
        <v>139</v>
      </c>
      <c r="B169" s="72" t="s">
        <v>556</v>
      </c>
      <c r="C169" s="111" t="s">
        <v>106</v>
      </c>
      <c r="D169" s="111" t="s">
        <v>296</v>
      </c>
      <c r="E169" s="112" t="s">
        <v>137</v>
      </c>
      <c r="F169" s="307">
        <f>FORMULACION!P142</f>
        <v>0</v>
      </c>
      <c r="G169" s="308"/>
      <c r="H169" s="309">
        <f t="shared" si="6"/>
        <v>0</v>
      </c>
    </row>
    <row r="170" spans="1:8" x14ac:dyDescent="0.2">
      <c r="A170" s="54">
        <v>140</v>
      </c>
      <c r="B170" s="72" t="s">
        <v>556</v>
      </c>
      <c r="C170" s="111" t="s">
        <v>106</v>
      </c>
      <c r="D170" s="111" t="s">
        <v>296</v>
      </c>
      <c r="E170" s="112" t="s">
        <v>631</v>
      </c>
      <c r="F170" s="307">
        <f>FORMULACION!P143</f>
        <v>1</v>
      </c>
      <c r="G170" s="308"/>
      <c r="H170" s="309">
        <f t="shared" si="6"/>
        <v>0</v>
      </c>
    </row>
    <row r="171" spans="1:8" x14ac:dyDescent="0.2">
      <c r="A171" s="54">
        <v>141</v>
      </c>
      <c r="B171" s="72" t="s">
        <v>556</v>
      </c>
      <c r="C171" s="111" t="s">
        <v>106</v>
      </c>
      <c r="D171" s="111" t="s">
        <v>296</v>
      </c>
      <c r="E171" s="112" t="s">
        <v>161</v>
      </c>
      <c r="F171" s="307">
        <f>FORMULACION!P144</f>
        <v>3</v>
      </c>
      <c r="G171" s="308"/>
      <c r="H171" s="309">
        <f t="shared" si="6"/>
        <v>0</v>
      </c>
    </row>
    <row r="172" spans="1:8" x14ac:dyDescent="0.2">
      <c r="A172" s="54">
        <v>142</v>
      </c>
      <c r="B172" s="72" t="s">
        <v>556</v>
      </c>
      <c r="C172" s="111" t="s">
        <v>106</v>
      </c>
      <c r="D172" s="111" t="s">
        <v>296</v>
      </c>
      <c r="E172" s="112" t="s">
        <v>160</v>
      </c>
      <c r="F172" s="307">
        <f>FORMULACION!P145</f>
        <v>3</v>
      </c>
      <c r="G172" s="308"/>
      <c r="H172" s="309">
        <f t="shared" si="6"/>
        <v>0</v>
      </c>
    </row>
    <row r="173" spans="1:8" x14ac:dyDescent="0.2">
      <c r="A173" s="54">
        <v>143</v>
      </c>
      <c r="B173" s="72" t="s">
        <v>556</v>
      </c>
      <c r="C173" s="111" t="s">
        <v>106</v>
      </c>
      <c r="D173" s="111" t="s">
        <v>296</v>
      </c>
      <c r="E173" s="112" t="s">
        <v>465</v>
      </c>
      <c r="F173" s="307">
        <f>FORMULACION!P146</f>
        <v>3</v>
      </c>
      <c r="G173" s="308"/>
      <c r="H173" s="309">
        <f t="shared" si="6"/>
        <v>0</v>
      </c>
    </row>
    <row r="174" spans="1:8" x14ac:dyDescent="0.2">
      <c r="A174" s="54">
        <v>144</v>
      </c>
      <c r="B174" s="72" t="s">
        <v>556</v>
      </c>
      <c r="C174" s="111" t="s">
        <v>106</v>
      </c>
      <c r="D174" s="111" t="s">
        <v>296</v>
      </c>
      <c r="E174" s="112" t="s">
        <v>636</v>
      </c>
      <c r="F174" s="307">
        <f>FORMULACION!P147</f>
        <v>1</v>
      </c>
      <c r="G174" s="308"/>
      <c r="H174" s="309">
        <f t="shared" si="6"/>
        <v>0</v>
      </c>
    </row>
    <row r="175" spans="1:8" x14ac:dyDescent="0.2">
      <c r="A175" s="54">
        <v>145</v>
      </c>
      <c r="B175" s="72" t="s">
        <v>556</v>
      </c>
      <c r="C175" s="111" t="s">
        <v>106</v>
      </c>
      <c r="D175" s="111" t="s">
        <v>296</v>
      </c>
      <c r="E175" s="112" t="s">
        <v>140</v>
      </c>
      <c r="F175" s="307">
        <f>FORMULACION!P148</f>
        <v>3</v>
      </c>
      <c r="G175" s="308"/>
      <c r="H175" s="309">
        <f t="shared" si="6"/>
        <v>0</v>
      </c>
    </row>
    <row r="176" spans="1:8" x14ac:dyDescent="0.2">
      <c r="A176" s="54">
        <v>146</v>
      </c>
      <c r="B176" s="72" t="s">
        <v>556</v>
      </c>
      <c r="C176" s="111" t="s">
        <v>106</v>
      </c>
      <c r="D176" s="111" t="s">
        <v>296</v>
      </c>
      <c r="E176" s="112" t="s">
        <v>543</v>
      </c>
      <c r="F176" s="307">
        <f>FORMULACION!P149</f>
        <v>1</v>
      </c>
      <c r="G176" s="308"/>
      <c r="H176" s="309">
        <f t="shared" si="6"/>
        <v>0</v>
      </c>
    </row>
    <row r="177" spans="1:8" x14ac:dyDescent="0.2">
      <c r="A177" s="54">
        <v>147</v>
      </c>
      <c r="B177" s="72" t="s">
        <v>556</v>
      </c>
      <c r="C177" s="111" t="s">
        <v>106</v>
      </c>
      <c r="D177" s="111" t="s">
        <v>297</v>
      </c>
      <c r="E177" s="112" t="s">
        <v>544</v>
      </c>
      <c r="F177" s="307">
        <f>FORMULACION!P150</f>
        <v>1</v>
      </c>
      <c r="G177" s="308"/>
      <c r="H177" s="309">
        <f t="shared" si="6"/>
        <v>0</v>
      </c>
    </row>
    <row r="178" spans="1:8" x14ac:dyDescent="0.2">
      <c r="A178" s="54">
        <v>148</v>
      </c>
      <c r="B178" s="72" t="s">
        <v>556</v>
      </c>
      <c r="C178" s="111" t="s">
        <v>106</v>
      </c>
      <c r="D178" s="111" t="s">
        <v>297</v>
      </c>
      <c r="E178" s="112" t="s">
        <v>138</v>
      </c>
      <c r="F178" s="307">
        <f>FORMULACION!P151</f>
        <v>0</v>
      </c>
      <c r="G178" s="308"/>
      <c r="H178" s="309">
        <f t="shared" si="6"/>
        <v>0</v>
      </c>
    </row>
    <row r="179" spans="1:8" x14ac:dyDescent="0.2">
      <c r="A179" s="54">
        <v>149</v>
      </c>
      <c r="B179" s="72" t="s">
        <v>556</v>
      </c>
      <c r="C179" s="111" t="s">
        <v>106</v>
      </c>
      <c r="D179" s="111" t="s">
        <v>297</v>
      </c>
      <c r="E179" s="112" t="s">
        <v>158</v>
      </c>
      <c r="F179" s="307">
        <f>FORMULACION!P152</f>
        <v>2</v>
      </c>
      <c r="G179" s="308"/>
      <c r="H179" s="309">
        <f t="shared" si="6"/>
        <v>0</v>
      </c>
    </row>
    <row r="180" spans="1:8" x14ac:dyDescent="0.2">
      <c r="A180" s="54">
        <v>150</v>
      </c>
      <c r="B180" s="72" t="s">
        <v>556</v>
      </c>
      <c r="C180" s="111" t="s">
        <v>106</v>
      </c>
      <c r="D180" s="111" t="s">
        <v>296</v>
      </c>
      <c r="E180" s="112" t="s">
        <v>152</v>
      </c>
      <c r="F180" s="307">
        <f>FORMULACION!P153</f>
        <v>1</v>
      </c>
      <c r="G180" s="308"/>
      <c r="H180" s="309">
        <f t="shared" si="6"/>
        <v>0</v>
      </c>
    </row>
    <row r="181" spans="1:8" x14ac:dyDescent="0.2">
      <c r="A181" s="54">
        <v>151</v>
      </c>
      <c r="B181" s="72" t="s">
        <v>556</v>
      </c>
      <c r="C181" s="111" t="s">
        <v>106</v>
      </c>
      <c r="D181" s="111" t="s">
        <v>296</v>
      </c>
      <c r="E181" s="112" t="s">
        <v>153</v>
      </c>
      <c r="F181" s="307">
        <f>FORMULACION!P154</f>
        <v>1</v>
      </c>
      <c r="G181" s="308"/>
      <c r="H181" s="309">
        <f t="shared" si="6"/>
        <v>0</v>
      </c>
    </row>
    <row r="182" spans="1:8" x14ac:dyDescent="0.2">
      <c r="A182" s="54">
        <v>152</v>
      </c>
      <c r="B182" s="72" t="s">
        <v>556</v>
      </c>
      <c r="C182" s="111" t="s">
        <v>106</v>
      </c>
      <c r="D182" s="111" t="s">
        <v>296</v>
      </c>
      <c r="E182" s="112" t="s">
        <v>139</v>
      </c>
      <c r="F182" s="307">
        <f>FORMULACION!P155</f>
        <v>1</v>
      </c>
      <c r="G182" s="308"/>
      <c r="H182" s="309">
        <f t="shared" si="6"/>
        <v>0</v>
      </c>
    </row>
    <row r="183" spans="1:8" x14ac:dyDescent="0.2">
      <c r="A183" s="54">
        <v>153</v>
      </c>
      <c r="B183" s="72" t="s">
        <v>556</v>
      </c>
      <c r="C183" s="111" t="s">
        <v>106</v>
      </c>
      <c r="D183" s="111" t="s">
        <v>297</v>
      </c>
      <c r="E183" s="112" t="s">
        <v>110</v>
      </c>
      <c r="F183" s="307">
        <f>FORMULACION!P156</f>
        <v>3</v>
      </c>
      <c r="G183" s="308"/>
      <c r="H183" s="309">
        <f t="shared" si="6"/>
        <v>0</v>
      </c>
    </row>
    <row r="184" spans="1:8" x14ac:dyDescent="0.2">
      <c r="A184" s="54">
        <v>154</v>
      </c>
      <c r="B184" s="72" t="s">
        <v>556</v>
      </c>
      <c r="C184" s="111" t="s">
        <v>106</v>
      </c>
      <c r="D184" s="111" t="s">
        <v>296</v>
      </c>
      <c r="E184" s="112" t="s">
        <v>119</v>
      </c>
      <c r="F184" s="307">
        <f>FORMULACION!P157</f>
        <v>1</v>
      </c>
      <c r="G184" s="308"/>
      <c r="H184" s="309">
        <f t="shared" si="6"/>
        <v>0</v>
      </c>
    </row>
    <row r="185" spans="1:8" x14ac:dyDescent="0.2">
      <c r="A185" s="54">
        <v>155</v>
      </c>
      <c r="B185" s="72" t="s">
        <v>556</v>
      </c>
      <c r="C185" s="111" t="s">
        <v>106</v>
      </c>
      <c r="D185" s="111" t="s">
        <v>297</v>
      </c>
      <c r="E185" s="112" t="s">
        <v>117</v>
      </c>
      <c r="F185" s="307">
        <f>FORMULACION!P158</f>
        <v>1</v>
      </c>
      <c r="G185" s="308"/>
      <c r="H185" s="309">
        <f t="shared" si="6"/>
        <v>0</v>
      </c>
    </row>
    <row r="186" spans="1:8" x14ac:dyDescent="0.2">
      <c r="A186" s="54">
        <v>156</v>
      </c>
      <c r="B186" s="72" t="s">
        <v>556</v>
      </c>
      <c r="C186" s="111" t="s">
        <v>106</v>
      </c>
      <c r="D186" s="111" t="s">
        <v>297</v>
      </c>
      <c r="E186" s="112" t="s">
        <v>142</v>
      </c>
      <c r="F186" s="307">
        <f>FORMULACION!P159</f>
        <v>0</v>
      </c>
      <c r="G186" s="308"/>
      <c r="H186" s="309">
        <f t="shared" si="6"/>
        <v>0</v>
      </c>
    </row>
    <row r="187" spans="1:8" x14ac:dyDescent="0.2">
      <c r="A187" s="54">
        <v>157</v>
      </c>
      <c r="B187" s="72" t="s">
        <v>556</v>
      </c>
      <c r="C187" s="111" t="s">
        <v>106</v>
      </c>
      <c r="D187" s="111" t="s">
        <v>296</v>
      </c>
      <c r="E187" s="112" t="s">
        <v>114</v>
      </c>
      <c r="F187" s="307">
        <f>FORMULACION!P160</f>
        <v>0</v>
      </c>
      <c r="G187" s="308"/>
      <c r="H187" s="309">
        <f t="shared" si="6"/>
        <v>0</v>
      </c>
    </row>
    <row r="188" spans="1:8" x14ac:dyDescent="0.2">
      <c r="A188" s="54">
        <v>158</v>
      </c>
      <c r="B188" s="72" t="s">
        <v>556</v>
      </c>
      <c r="C188" s="111" t="s">
        <v>106</v>
      </c>
      <c r="D188" s="111" t="s">
        <v>296</v>
      </c>
      <c r="E188" s="112" t="s">
        <v>116</v>
      </c>
      <c r="F188" s="307">
        <f>FORMULACION!P161</f>
        <v>1</v>
      </c>
      <c r="G188" s="308"/>
      <c r="H188" s="309">
        <f t="shared" si="6"/>
        <v>0</v>
      </c>
    </row>
    <row r="189" spans="1:8" x14ac:dyDescent="0.2">
      <c r="A189" s="54">
        <v>159</v>
      </c>
      <c r="B189" s="72" t="s">
        <v>556</v>
      </c>
      <c r="C189" s="111" t="s">
        <v>106</v>
      </c>
      <c r="D189" s="111" t="s">
        <v>296</v>
      </c>
      <c r="E189" s="112" t="s">
        <v>720</v>
      </c>
      <c r="F189" s="307">
        <f>FORMULACION!P162</f>
        <v>1</v>
      </c>
      <c r="G189" s="308"/>
      <c r="H189" s="309">
        <f t="shared" si="6"/>
        <v>0</v>
      </c>
    </row>
    <row r="190" spans="1:8" x14ac:dyDescent="0.2">
      <c r="A190" s="54">
        <v>160</v>
      </c>
      <c r="B190" s="72" t="s">
        <v>556</v>
      </c>
      <c r="C190" s="111" t="s">
        <v>106</v>
      </c>
      <c r="D190" s="111" t="s">
        <v>296</v>
      </c>
      <c r="E190" s="112" t="s">
        <v>467</v>
      </c>
      <c r="F190" s="307">
        <f>FORMULACION!P163</f>
        <v>3</v>
      </c>
      <c r="G190" s="308"/>
      <c r="H190" s="309">
        <f t="shared" si="6"/>
        <v>0</v>
      </c>
    </row>
    <row r="191" spans="1:8" x14ac:dyDescent="0.2">
      <c r="A191" s="54">
        <v>161</v>
      </c>
      <c r="B191" s="72" t="s">
        <v>556</v>
      </c>
      <c r="C191" s="111" t="s">
        <v>106</v>
      </c>
      <c r="D191" s="111" t="s">
        <v>296</v>
      </c>
      <c r="E191" s="112" t="s">
        <v>466</v>
      </c>
      <c r="F191" s="307">
        <f>FORMULACION!P164</f>
        <v>1</v>
      </c>
      <c r="G191" s="308"/>
      <c r="H191" s="309">
        <f t="shared" si="6"/>
        <v>0</v>
      </c>
    </row>
    <row r="192" spans="1:8" x14ac:dyDescent="0.2">
      <c r="A192" s="54">
        <v>162</v>
      </c>
      <c r="B192" s="72" t="s">
        <v>556</v>
      </c>
      <c r="C192" s="111" t="s">
        <v>106</v>
      </c>
      <c r="D192" s="111" t="s">
        <v>296</v>
      </c>
      <c r="E192" s="112" t="s">
        <v>468</v>
      </c>
      <c r="F192" s="307">
        <f>FORMULACION!P165</f>
        <v>1</v>
      </c>
      <c r="G192" s="308"/>
      <c r="H192" s="309">
        <f t="shared" si="6"/>
        <v>0</v>
      </c>
    </row>
    <row r="193" spans="1:8" x14ac:dyDescent="0.2">
      <c r="A193" s="54">
        <v>163</v>
      </c>
      <c r="B193" s="72" t="s">
        <v>556</v>
      </c>
      <c r="C193" s="111" t="s">
        <v>106</v>
      </c>
      <c r="D193" s="111" t="s">
        <v>296</v>
      </c>
      <c r="E193" s="112" t="s">
        <v>469</v>
      </c>
      <c r="F193" s="307">
        <f>FORMULACION!P166</f>
        <v>1</v>
      </c>
      <c r="G193" s="308"/>
      <c r="H193" s="309">
        <f t="shared" si="6"/>
        <v>0</v>
      </c>
    </row>
    <row r="194" spans="1:8" x14ac:dyDescent="0.2">
      <c r="A194" s="54">
        <v>164</v>
      </c>
      <c r="B194" s="72" t="s">
        <v>556</v>
      </c>
      <c r="C194" s="111" t="s">
        <v>106</v>
      </c>
      <c r="D194" s="111" t="s">
        <v>296</v>
      </c>
      <c r="E194" s="112" t="s">
        <v>151</v>
      </c>
      <c r="F194" s="307">
        <f>FORMULACION!P167</f>
        <v>2</v>
      </c>
      <c r="G194" s="308"/>
      <c r="H194" s="309">
        <f t="shared" si="6"/>
        <v>0</v>
      </c>
    </row>
    <row r="195" spans="1:8" x14ac:dyDescent="0.2">
      <c r="A195" s="54">
        <v>165</v>
      </c>
      <c r="B195" s="72" t="s">
        <v>556</v>
      </c>
      <c r="C195" s="111" t="s">
        <v>106</v>
      </c>
      <c r="D195" s="111" t="s">
        <v>296</v>
      </c>
      <c r="E195" s="112" t="s">
        <v>409</v>
      </c>
      <c r="F195" s="307">
        <f>FORMULACION!P168</f>
        <v>0</v>
      </c>
      <c r="G195" s="308"/>
      <c r="H195" s="309">
        <f t="shared" si="6"/>
        <v>0</v>
      </c>
    </row>
    <row r="196" spans="1:8" x14ac:dyDescent="0.2">
      <c r="A196" s="54">
        <v>166</v>
      </c>
      <c r="B196" s="72" t="s">
        <v>556</v>
      </c>
      <c r="C196" s="111" t="s">
        <v>106</v>
      </c>
      <c r="D196" s="111" t="s">
        <v>296</v>
      </c>
      <c r="E196" s="112" t="s">
        <v>410</v>
      </c>
      <c r="F196" s="307">
        <f>FORMULACION!P169</f>
        <v>0</v>
      </c>
      <c r="G196" s="308"/>
      <c r="H196" s="309">
        <f t="shared" si="6"/>
        <v>0</v>
      </c>
    </row>
    <row r="197" spans="1:8" x14ac:dyDescent="0.2">
      <c r="A197" s="54">
        <v>167</v>
      </c>
      <c r="B197" s="72" t="s">
        <v>556</v>
      </c>
      <c r="C197" s="111" t="s">
        <v>106</v>
      </c>
      <c r="D197" s="111" t="s">
        <v>296</v>
      </c>
      <c r="E197" s="112" t="s">
        <v>179</v>
      </c>
      <c r="F197" s="307">
        <f>FORMULACION!P170</f>
        <v>2</v>
      </c>
      <c r="G197" s="308"/>
      <c r="H197" s="309">
        <f t="shared" si="6"/>
        <v>0</v>
      </c>
    </row>
    <row r="198" spans="1:8" x14ac:dyDescent="0.2">
      <c r="A198" s="54">
        <v>168</v>
      </c>
      <c r="B198" s="72" t="s">
        <v>556</v>
      </c>
      <c r="C198" s="111" t="s">
        <v>106</v>
      </c>
      <c r="D198" s="111" t="s">
        <v>296</v>
      </c>
      <c r="E198" s="112" t="s">
        <v>159</v>
      </c>
      <c r="F198" s="307">
        <f>FORMULACION!P171</f>
        <v>2</v>
      </c>
      <c r="G198" s="308"/>
      <c r="H198" s="309">
        <f t="shared" si="6"/>
        <v>0</v>
      </c>
    </row>
    <row r="199" spans="1:8" x14ac:dyDescent="0.2">
      <c r="A199" s="54">
        <v>169</v>
      </c>
      <c r="B199" s="72" t="s">
        <v>556</v>
      </c>
      <c r="C199" s="111" t="s">
        <v>106</v>
      </c>
      <c r="D199" s="111" t="s">
        <v>297</v>
      </c>
      <c r="E199" s="112" t="s">
        <v>118</v>
      </c>
      <c r="F199" s="307">
        <f>FORMULACION!P172</f>
        <v>1</v>
      </c>
      <c r="G199" s="308"/>
      <c r="H199" s="309">
        <f t="shared" ref="H199:H221" si="7">F199*G199</f>
        <v>0</v>
      </c>
    </row>
    <row r="200" spans="1:8" x14ac:dyDescent="0.2">
      <c r="A200" s="54">
        <v>170</v>
      </c>
      <c r="B200" s="72" t="s">
        <v>556</v>
      </c>
      <c r="C200" s="111" t="s">
        <v>106</v>
      </c>
      <c r="D200" s="111" t="s">
        <v>297</v>
      </c>
      <c r="E200" s="112" t="s">
        <v>141</v>
      </c>
      <c r="F200" s="307">
        <f>FORMULACION!P173</f>
        <v>2</v>
      </c>
      <c r="G200" s="308"/>
      <c r="H200" s="309">
        <f t="shared" si="7"/>
        <v>0</v>
      </c>
    </row>
    <row r="201" spans="1:8" x14ac:dyDescent="0.2">
      <c r="A201" s="54">
        <v>171</v>
      </c>
      <c r="B201" s="72" t="s">
        <v>556</v>
      </c>
      <c r="C201" s="111" t="s">
        <v>106</v>
      </c>
      <c r="D201" s="111" t="s">
        <v>296</v>
      </c>
      <c r="E201" s="112" t="s">
        <v>719</v>
      </c>
      <c r="F201" s="307">
        <f>FORMULACION!P174</f>
        <v>3</v>
      </c>
      <c r="G201" s="308"/>
      <c r="H201" s="309">
        <f t="shared" si="7"/>
        <v>0</v>
      </c>
    </row>
    <row r="202" spans="1:8" x14ac:dyDescent="0.2">
      <c r="A202" s="54">
        <v>172</v>
      </c>
      <c r="B202" s="72" t="s">
        <v>556</v>
      </c>
      <c r="C202" s="111" t="s">
        <v>106</v>
      </c>
      <c r="D202" s="111" t="s">
        <v>296</v>
      </c>
      <c r="E202" s="112" t="s">
        <v>164</v>
      </c>
      <c r="F202" s="307">
        <f>FORMULACION!P175</f>
        <v>6</v>
      </c>
      <c r="G202" s="308"/>
      <c r="H202" s="309">
        <f t="shared" si="7"/>
        <v>0</v>
      </c>
    </row>
    <row r="203" spans="1:8" x14ac:dyDescent="0.2">
      <c r="A203" s="54">
        <v>173</v>
      </c>
      <c r="B203" s="72" t="s">
        <v>556</v>
      </c>
      <c r="C203" s="111" t="s">
        <v>106</v>
      </c>
      <c r="D203" s="111" t="s">
        <v>296</v>
      </c>
      <c r="E203" s="112" t="s">
        <v>165</v>
      </c>
      <c r="F203" s="307">
        <f>FORMULACION!P176</f>
        <v>6</v>
      </c>
      <c r="G203" s="308"/>
      <c r="H203" s="309">
        <f t="shared" si="7"/>
        <v>0</v>
      </c>
    </row>
    <row r="204" spans="1:8" x14ac:dyDescent="0.2">
      <c r="A204" s="54">
        <v>174</v>
      </c>
      <c r="B204" s="72" t="s">
        <v>556</v>
      </c>
      <c r="C204" s="111" t="s">
        <v>106</v>
      </c>
      <c r="D204" s="111" t="s">
        <v>297</v>
      </c>
      <c r="E204" s="112" t="s">
        <v>166</v>
      </c>
      <c r="F204" s="307">
        <f>FORMULACION!P177</f>
        <v>6</v>
      </c>
      <c r="G204" s="308"/>
      <c r="H204" s="309">
        <f t="shared" si="7"/>
        <v>0</v>
      </c>
    </row>
    <row r="205" spans="1:8" x14ac:dyDescent="0.2">
      <c r="A205" s="54">
        <v>175</v>
      </c>
      <c r="B205" s="72" t="s">
        <v>556</v>
      </c>
      <c r="C205" s="111" t="s">
        <v>106</v>
      </c>
      <c r="D205" s="111" t="s">
        <v>297</v>
      </c>
      <c r="E205" s="112" t="s">
        <v>184</v>
      </c>
      <c r="F205" s="307">
        <f>FORMULACION!P178</f>
        <v>6</v>
      </c>
      <c r="G205" s="308"/>
      <c r="H205" s="309">
        <f t="shared" si="7"/>
        <v>0</v>
      </c>
    </row>
    <row r="206" spans="1:8" x14ac:dyDescent="0.2">
      <c r="A206" s="54">
        <v>176</v>
      </c>
      <c r="B206" s="72" t="s">
        <v>556</v>
      </c>
      <c r="C206" s="111" t="s">
        <v>106</v>
      </c>
      <c r="D206" s="111" t="s">
        <v>296</v>
      </c>
      <c r="E206" s="112" t="s">
        <v>167</v>
      </c>
      <c r="F206" s="307">
        <f>FORMULACION!P179</f>
        <v>6</v>
      </c>
      <c r="G206" s="308"/>
      <c r="H206" s="309">
        <f t="shared" si="7"/>
        <v>0</v>
      </c>
    </row>
    <row r="207" spans="1:8" x14ac:dyDescent="0.2">
      <c r="A207" s="54">
        <v>177</v>
      </c>
      <c r="B207" s="72" t="s">
        <v>556</v>
      </c>
      <c r="C207" s="111" t="s">
        <v>106</v>
      </c>
      <c r="D207" s="111" t="s">
        <v>296</v>
      </c>
      <c r="E207" s="112" t="s">
        <v>124</v>
      </c>
      <c r="F207" s="307">
        <f>FORMULACION!P180</f>
        <v>6</v>
      </c>
      <c r="G207" s="308"/>
      <c r="H207" s="309">
        <f t="shared" si="7"/>
        <v>0</v>
      </c>
    </row>
    <row r="208" spans="1:8" x14ac:dyDescent="0.2">
      <c r="A208" s="54">
        <v>178</v>
      </c>
      <c r="B208" s="72" t="s">
        <v>556</v>
      </c>
      <c r="C208" s="111" t="s">
        <v>106</v>
      </c>
      <c r="D208" s="111" t="s">
        <v>296</v>
      </c>
      <c r="E208" s="112" t="s">
        <v>470</v>
      </c>
      <c r="F208" s="307">
        <f>FORMULACION!P181</f>
        <v>6</v>
      </c>
      <c r="G208" s="308"/>
      <c r="H208" s="309">
        <f t="shared" si="7"/>
        <v>0</v>
      </c>
    </row>
    <row r="209" spans="1:8" x14ac:dyDescent="0.2">
      <c r="A209" s="54">
        <v>179</v>
      </c>
      <c r="B209" s="72" t="s">
        <v>556</v>
      </c>
      <c r="C209" s="111" t="s">
        <v>106</v>
      </c>
      <c r="D209" s="111" t="s">
        <v>296</v>
      </c>
      <c r="E209" s="112" t="s">
        <v>143</v>
      </c>
      <c r="F209" s="307">
        <f>FORMULACION!P182</f>
        <v>0</v>
      </c>
      <c r="G209" s="308"/>
      <c r="H209" s="309">
        <f t="shared" si="7"/>
        <v>0</v>
      </c>
    </row>
    <row r="210" spans="1:8" x14ac:dyDescent="0.2">
      <c r="A210" s="54">
        <v>180</v>
      </c>
      <c r="B210" s="72" t="s">
        <v>556</v>
      </c>
      <c r="C210" s="111" t="s">
        <v>106</v>
      </c>
      <c r="D210" s="111" t="s">
        <v>296</v>
      </c>
      <c r="E210" s="112" t="s">
        <v>185</v>
      </c>
      <c r="F210" s="307">
        <f>FORMULACION!P183</f>
        <v>6</v>
      </c>
      <c r="G210" s="308"/>
      <c r="H210" s="309">
        <f t="shared" si="7"/>
        <v>0</v>
      </c>
    </row>
    <row r="211" spans="1:8" x14ac:dyDescent="0.2">
      <c r="A211" s="54">
        <v>181</v>
      </c>
      <c r="B211" s="72" t="s">
        <v>556</v>
      </c>
      <c r="C211" s="111" t="s">
        <v>106</v>
      </c>
      <c r="D211" s="111" t="s">
        <v>297</v>
      </c>
      <c r="E211" s="112" t="s">
        <v>122</v>
      </c>
      <c r="F211" s="307">
        <f>FORMULACION!P184</f>
        <v>6</v>
      </c>
      <c r="G211" s="308"/>
      <c r="H211" s="309">
        <f t="shared" si="7"/>
        <v>0</v>
      </c>
    </row>
    <row r="212" spans="1:8" x14ac:dyDescent="0.2">
      <c r="A212" s="54">
        <v>182</v>
      </c>
      <c r="B212" s="72" t="s">
        <v>556</v>
      </c>
      <c r="C212" s="111" t="s">
        <v>106</v>
      </c>
      <c r="D212" s="111" t="s">
        <v>296</v>
      </c>
      <c r="E212" s="112" t="s">
        <v>154</v>
      </c>
      <c r="F212" s="307">
        <f>FORMULACION!P185</f>
        <v>1</v>
      </c>
      <c r="G212" s="308"/>
      <c r="H212" s="309">
        <f t="shared" si="7"/>
        <v>0</v>
      </c>
    </row>
    <row r="213" spans="1:8" x14ac:dyDescent="0.2">
      <c r="A213" s="54">
        <v>183</v>
      </c>
      <c r="B213" s="72" t="s">
        <v>556</v>
      </c>
      <c r="C213" s="111" t="s">
        <v>106</v>
      </c>
      <c r="D213" s="111" t="s">
        <v>296</v>
      </c>
      <c r="E213" s="112" t="s">
        <v>471</v>
      </c>
      <c r="F213" s="307">
        <f>FORMULACION!P186</f>
        <v>6</v>
      </c>
      <c r="G213" s="308"/>
      <c r="H213" s="309">
        <f t="shared" si="7"/>
        <v>0</v>
      </c>
    </row>
    <row r="214" spans="1:8" x14ac:dyDescent="0.2">
      <c r="A214" s="54">
        <v>184</v>
      </c>
      <c r="B214" s="72" t="s">
        <v>556</v>
      </c>
      <c r="C214" s="111" t="s">
        <v>106</v>
      </c>
      <c r="D214" s="111" t="s">
        <v>297</v>
      </c>
      <c r="E214" s="112" t="s">
        <v>144</v>
      </c>
      <c r="F214" s="307">
        <f>FORMULACION!P187</f>
        <v>0</v>
      </c>
      <c r="G214" s="308"/>
      <c r="H214" s="309">
        <f t="shared" si="7"/>
        <v>0</v>
      </c>
    </row>
    <row r="215" spans="1:8" x14ac:dyDescent="0.2">
      <c r="A215" s="54">
        <v>185</v>
      </c>
      <c r="B215" s="72" t="s">
        <v>556</v>
      </c>
      <c r="C215" s="111" t="s">
        <v>106</v>
      </c>
      <c r="D215" s="111" t="s">
        <v>296</v>
      </c>
      <c r="E215" s="112" t="s">
        <v>472</v>
      </c>
      <c r="F215" s="307">
        <f>FORMULACION!P188</f>
        <v>6</v>
      </c>
      <c r="G215" s="308"/>
      <c r="H215" s="309">
        <f t="shared" si="7"/>
        <v>0</v>
      </c>
    </row>
    <row r="216" spans="1:8" x14ac:dyDescent="0.2">
      <c r="A216" s="54">
        <v>186</v>
      </c>
      <c r="B216" s="72" t="s">
        <v>556</v>
      </c>
      <c r="C216" s="111" t="s">
        <v>106</v>
      </c>
      <c r="D216" s="111" t="s">
        <v>296</v>
      </c>
      <c r="E216" s="112" t="s">
        <v>145</v>
      </c>
      <c r="F216" s="307">
        <f>FORMULACION!P189</f>
        <v>0</v>
      </c>
      <c r="G216" s="308"/>
      <c r="H216" s="309">
        <f t="shared" si="7"/>
        <v>0</v>
      </c>
    </row>
    <row r="217" spans="1:8" x14ac:dyDescent="0.2">
      <c r="A217" s="54">
        <v>187</v>
      </c>
      <c r="B217" s="72" t="s">
        <v>556</v>
      </c>
      <c r="C217" s="111" t="s">
        <v>106</v>
      </c>
      <c r="D217" s="111" t="s">
        <v>296</v>
      </c>
      <c r="E217" s="112" t="s">
        <v>183</v>
      </c>
      <c r="F217" s="307">
        <f>FORMULACION!P190</f>
        <v>6</v>
      </c>
      <c r="G217" s="308"/>
      <c r="H217" s="309">
        <f t="shared" si="7"/>
        <v>0</v>
      </c>
    </row>
    <row r="218" spans="1:8" x14ac:dyDescent="0.2">
      <c r="A218" s="54">
        <v>188</v>
      </c>
      <c r="B218" s="72" t="s">
        <v>556</v>
      </c>
      <c r="C218" s="111" t="s">
        <v>106</v>
      </c>
      <c r="D218" s="111" t="s">
        <v>297</v>
      </c>
      <c r="E218" s="112" t="s">
        <v>667</v>
      </c>
      <c r="F218" s="307">
        <f>FORMULACION!P191</f>
        <v>6</v>
      </c>
      <c r="G218" s="308"/>
      <c r="H218" s="309">
        <f t="shared" si="7"/>
        <v>0</v>
      </c>
    </row>
    <row r="219" spans="1:8" x14ac:dyDescent="0.2">
      <c r="A219" s="54">
        <v>189</v>
      </c>
      <c r="B219" s="72" t="s">
        <v>556</v>
      </c>
      <c r="C219" s="111" t="s">
        <v>106</v>
      </c>
      <c r="D219" s="111" t="s">
        <v>296</v>
      </c>
      <c r="E219" s="112" t="s">
        <v>473</v>
      </c>
      <c r="F219" s="307">
        <f>FORMULACION!P192</f>
        <v>0</v>
      </c>
      <c r="G219" s="308"/>
      <c r="H219" s="309">
        <f t="shared" si="7"/>
        <v>0</v>
      </c>
    </row>
    <row r="220" spans="1:8" x14ac:dyDescent="0.2">
      <c r="A220" s="54">
        <v>190</v>
      </c>
      <c r="B220" s="72" t="s">
        <v>556</v>
      </c>
      <c r="C220" s="111" t="s">
        <v>106</v>
      </c>
      <c r="D220" s="111" t="s">
        <v>296</v>
      </c>
      <c r="E220" s="112" t="s">
        <v>474</v>
      </c>
      <c r="F220" s="307">
        <f>FORMULACION!P193</f>
        <v>6</v>
      </c>
      <c r="G220" s="308"/>
      <c r="H220" s="309">
        <f t="shared" si="7"/>
        <v>0</v>
      </c>
    </row>
    <row r="221" spans="1:8" x14ac:dyDescent="0.2">
      <c r="A221" s="54">
        <v>191</v>
      </c>
      <c r="B221" s="72" t="s">
        <v>556</v>
      </c>
      <c r="C221" s="111" t="s">
        <v>106</v>
      </c>
      <c r="D221" s="111" t="s">
        <v>297</v>
      </c>
      <c r="E221" s="112" t="s">
        <v>146</v>
      </c>
      <c r="F221" s="307">
        <f>FORMULACION!P194</f>
        <v>0</v>
      </c>
      <c r="G221" s="308"/>
      <c r="H221" s="309">
        <f t="shared" si="7"/>
        <v>0</v>
      </c>
    </row>
    <row r="222" spans="1:8" x14ac:dyDescent="0.2">
      <c r="A222" s="54">
        <v>192</v>
      </c>
      <c r="B222" s="72" t="s">
        <v>556</v>
      </c>
      <c r="C222" s="111" t="s">
        <v>106</v>
      </c>
      <c r="D222" s="111" t="s">
        <v>296</v>
      </c>
      <c r="E222" s="112" t="s">
        <v>670</v>
      </c>
      <c r="F222" s="307">
        <f>FORMULACION!P195</f>
        <v>6</v>
      </c>
      <c r="G222" s="308"/>
      <c r="H222" s="309"/>
    </row>
    <row r="223" spans="1:8" x14ac:dyDescent="0.2">
      <c r="A223" s="54">
        <v>193</v>
      </c>
      <c r="B223" s="72" t="s">
        <v>556</v>
      </c>
      <c r="C223" s="111" t="s">
        <v>106</v>
      </c>
      <c r="D223" s="111" t="s">
        <v>296</v>
      </c>
      <c r="E223" s="112" t="s">
        <v>476</v>
      </c>
      <c r="F223" s="307">
        <f>FORMULACION!P196</f>
        <v>6</v>
      </c>
      <c r="G223" s="308"/>
      <c r="H223" s="309"/>
    </row>
    <row r="224" spans="1:8" x14ac:dyDescent="0.2">
      <c r="A224" s="54">
        <v>194</v>
      </c>
      <c r="B224" s="72" t="s">
        <v>556</v>
      </c>
      <c r="C224" s="111" t="s">
        <v>106</v>
      </c>
      <c r="D224" s="111" t="s">
        <v>297</v>
      </c>
      <c r="E224" s="112" t="s">
        <v>477</v>
      </c>
      <c r="F224" s="307">
        <f>FORMULACION!P197</f>
        <v>0</v>
      </c>
      <c r="G224" s="308"/>
      <c r="H224" s="309"/>
    </row>
    <row r="225" spans="1:8" x14ac:dyDescent="0.2">
      <c r="A225" s="54">
        <v>195</v>
      </c>
      <c r="B225" s="72" t="s">
        <v>556</v>
      </c>
      <c r="C225" s="111" t="s">
        <v>106</v>
      </c>
      <c r="D225" s="111" t="s">
        <v>296</v>
      </c>
      <c r="E225" s="112" t="s">
        <v>186</v>
      </c>
      <c r="F225" s="307">
        <f>FORMULACION!P198</f>
        <v>6</v>
      </c>
      <c r="G225" s="308"/>
      <c r="H225" s="309"/>
    </row>
    <row r="226" spans="1:8" x14ac:dyDescent="0.2">
      <c r="A226" s="54">
        <v>196</v>
      </c>
      <c r="B226" s="72" t="s">
        <v>556</v>
      </c>
      <c r="C226" s="111" t="s">
        <v>106</v>
      </c>
      <c r="D226" s="111" t="s">
        <v>296</v>
      </c>
      <c r="E226" s="112" t="s">
        <v>718</v>
      </c>
      <c r="F226" s="307">
        <f>FORMULACION!P199</f>
        <v>6</v>
      </c>
      <c r="G226" s="308"/>
      <c r="H226" s="309"/>
    </row>
    <row r="227" spans="1:8" x14ac:dyDescent="0.2">
      <c r="A227" s="54">
        <v>197</v>
      </c>
      <c r="B227" s="72" t="s">
        <v>556</v>
      </c>
      <c r="C227" s="111" t="s">
        <v>106</v>
      </c>
      <c r="D227" s="111" t="s">
        <v>296</v>
      </c>
      <c r="E227" s="112" t="s">
        <v>181</v>
      </c>
      <c r="F227" s="307">
        <f>FORMULACION!P200</f>
        <v>6</v>
      </c>
      <c r="G227" s="308"/>
      <c r="H227" s="309"/>
    </row>
    <row r="228" spans="1:8" x14ac:dyDescent="0.2">
      <c r="A228" s="54">
        <v>198</v>
      </c>
      <c r="B228" s="72" t="s">
        <v>556</v>
      </c>
      <c r="C228" s="111" t="s">
        <v>106</v>
      </c>
      <c r="D228" s="111" t="s">
        <v>296</v>
      </c>
      <c r="E228" s="112" t="s">
        <v>168</v>
      </c>
      <c r="F228" s="307">
        <f>FORMULACION!P201</f>
        <v>0</v>
      </c>
      <c r="G228" s="308"/>
      <c r="H228" s="309"/>
    </row>
    <row r="229" spans="1:8" x14ac:dyDescent="0.2">
      <c r="A229" s="54">
        <v>199</v>
      </c>
      <c r="B229" s="72" t="s">
        <v>556</v>
      </c>
      <c r="C229" s="111" t="s">
        <v>106</v>
      </c>
      <c r="D229" s="111" t="s">
        <v>296</v>
      </c>
      <c r="E229" s="112" t="s">
        <v>479</v>
      </c>
      <c r="F229" s="307">
        <f>FORMULACION!P202</f>
        <v>0</v>
      </c>
      <c r="G229" s="308"/>
      <c r="H229" s="309"/>
    </row>
    <row r="230" spans="1:8" x14ac:dyDescent="0.2">
      <c r="A230" s="54">
        <v>200</v>
      </c>
      <c r="B230" s="72" t="s">
        <v>556</v>
      </c>
      <c r="C230" s="111" t="s">
        <v>106</v>
      </c>
      <c r="D230" s="111" t="s">
        <v>296</v>
      </c>
      <c r="E230" s="112" t="s">
        <v>480</v>
      </c>
      <c r="F230" s="307">
        <f>FORMULACION!P203</f>
        <v>6</v>
      </c>
      <c r="G230" s="308"/>
      <c r="H230" s="309"/>
    </row>
    <row r="231" spans="1:8" x14ac:dyDescent="0.2">
      <c r="A231" s="54">
        <v>201</v>
      </c>
      <c r="B231" s="72" t="s">
        <v>556</v>
      </c>
      <c r="C231" s="111" t="s">
        <v>106</v>
      </c>
      <c r="D231" s="111" t="s">
        <v>296</v>
      </c>
      <c r="E231" s="112" t="s">
        <v>156</v>
      </c>
      <c r="F231" s="307">
        <f>FORMULACION!P204</f>
        <v>0</v>
      </c>
      <c r="G231" s="308"/>
      <c r="H231" s="309">
        <f t="shared" ref="H231:H271" si="8">F231*G231</f>
        <v>0</v>
      </c>
    </row>
    <row r="232" spans="1:8" x14ac:dyDescent="0.2">
      <c r="A232" s="54">
        <v>202</v>
      </c>
      <c r="B232" s="72" t="s">
        <v>556</v>
      </c>
      <c r="C232" s="111" t="s">
        <v>106</v>
      </c>
      <c r="D232" s="111" t="s">
        <v>296</v>
      </c>
      <c r="E232" s="112" t="s">
        <v>717</v>
      </c>
      <c r="F232" s="307">
        <f>FORMULACION!P205</f>
        <v>6</v>
      </c>
      <c r="G232" s="308"/>
      <c r="H232" s="309">
        <f t="shared" si="8"/>
        <v>0</v>
      </c>
    </row>
    <row r="233" spans="1:8" x14ac:dyDescent="0.2">
      <c r="A233" s="54">
        <v>203</v>
      </c>
      <c r="B233" s="72" t="s">
        <v>556</v>
      </c>
      <c r="C233" s="111" t="s">
        <v>106</v>
      </c>
      <c r="D233" s="111" t="s">
        <v>297</v>
      </c>
      <c r="E233" s="112" t="s">
        <v>162</v>
      </c>
      <c r="F233" s="307">
        <f>FORMULACION!P206</f>
        <v>3</v>
      </c>
      <c r="G233" s="308"/>
      <c r="H233" s="309">
        <f t="shared" si="8"/>
        <v>0</v>
      </c>
    </row>
    <row r="234" spans="1:8" x14ac:dyDescent="0.2">
      <c r="A234" s="54">
        <v>204</v>
      </c>
      <c r="B234" s="72" t="s">
        <v>556</v>
      </c>
      <c r="C234" s="111" t="s">
        <v>106</v>
      </c>
      <c r="D234" s="111" t="s">
        <v>297</v>
      </c>
      <c r="E234" s="112" t="s">
        <v>163</v>
      </c>
      <c r="F234" s="307">
        <f>FORMULACION!P207</f>
        <v>3</v>
      </c>
      <c r="G234" s="308"/>
      <c r="H234" s="309">
        <f t="shared" si="8"/>
        <v>0</v>
      </c>
    </row>
    <row r="235" spans="1:8" x14ac:dyDescent="0.2">
      <c r="A235" s="54">
        <v>205</v>
      </c>
      <c r="B235" s="72" t="s">
        <v>556</v>
      </c>
      <c r="C235" s="111" t="s">
        <v>106</v>
      </c>
      <c r="D235" s="111" t="s">
        <v>296</v>
      </c>
      <c r="E235" s="112" t="s">
        <v>412</v>
      </c>
      <c r="F235" s="307">
        <f>FORMULACION!P208</f>
        <v>0</v>
      </c>
      <c r="G235" s="308"/>
      <c r="H235" s="309">
        <f t="shared" si="8"/>
        <v>0</v>
      </c>
    </row>
    <row r="236" spans="1:8" x14ac:dyDescent="0.2">
      <c r="A236" s="54">
        <v>206</v>
      </c>
      <c r="B236" s="72" t="s">
        <v>556</v>
      </c>
      <c r="C236" s="111" t="s">
        <v>106</v>
      </c>
      <c r="D236" s="111" t="s">
        <v>297</v>
      </c>
      <c r="E236" s="112" t="s">
        <v>716</v>
      </c>
      <c r="F236" s="307">
        <f>FORMULACION!P209</f>
        <v>3</v>
      </c>
      <c r="G236" s="308"/>
      <c r="H236" s="309">
        <f t="shared" si="8"/>
        <v>0</v>
      </c>
    </row>
    <row r="237" spans="1:8" x14ac:dyDescent="0.2">
      <c r="A237" s="54">
        <v>207</v>
      </c>
      <c r="B237" s="72" t="s">
        <v>556</v>
      </c>
      <c r="C237" s="111" t="s">
        <v>106</v>
      </c>
      <c r="D237" s="111" t="s">
        <v>296</v>
      </c>
      <c r="E237" s="112" t="s">
        <v>546</v>
      </c>
      <c r="F237" s="307">
        <f>FORMULACION!P210</f>
        <v>12</v>
      </c>
      <c r="G237" s="308"/>
      <c r="H237" s="309">
        <f t="shared" si="8"/>
        <v>0</v>
      </c>
    </row>
    <row r="238" spans="1:8" x14ac:dyDescent="0.2">
      <c r="A238" s="54">
        <v>208</v>
      </c>
      <c r="B238" s="72" t="s">
        <v>556</v>
      </c>
      <c r="C238" s="111" t="s">
        <v>106</v>
      </c>
      <c r="D238" s="111" t="s">
        <v>296</v>
      </c>
      <c r="E238" s="112" t="s">
        <v>173</v>
      </c>
      <c r="F238" s="307">
        <f>FORMULACION!P211</f>
        <v>3</v>
      </c>
      <c r="G238" s="308"/>
      <c r="H238" s="309">
        <f t="shared" si="8"/>
        <v>0</v>
      </c>
    </row>
    <row r="239" spans="1:8" x14ac:dyDescent="0.2">
      <c r="A239" s="54">
        <v>209</v>
      </c>
      <c r="B239" s="72" t="s">
        <v>556</v>
      </c>
      <c r="C239" s="111" t="s">
        <v>106</v>
      </c>
      <c r="D239" s="111" t="s">
        <v>297</v>
      </c>
      <c r="E239" s="112" t="s">
        <v>149</v>
      </c>
      <c r="F239" s="307">
        <f>FORMULACION!P212</f>
        <v>1</v>
      </c>
      <c r="G239" s="308"/>
      <c r="H239" s="309">
        <f t="shared" si="8"/>
        <v>0</v>
      </c>
    </row>
    <row r="240" spans="1:8" x14ac:dyDescent="0.2">
      <c r="A240" s="54">
        <v>210</v>
      </c>
      <c r="B240" s="72" t="s">
        <v>556</v>
      </c>
      <c r="C240" s="111" t="s">
        <v>106</v>
      </c>
      <c r="D240" s="111" t="s">
        <v>297</v>
      </c>
      <c r="E240" s="112" t="s">
        <v>175</v>
      </c>
      <c r="F240" s="307">
        <f>FORMULACION!P213</f>
        <v>3</v>
      </c>
      <c r="G240" s="308"/>
      <c r="H240" s="309">
        <f t="shared" si="8"/>
        <v>0</v>
      </c>
    </row>
    <row r="241" spans="1:8" x14ac:dyDescent="0.2">
      <c r="A241" s="54">
        <v>211</v>
      </c>
      <c r="B241" s="72" t="s">
        <v>556</v>
      </c>
      <c r="C241" s="111" t="s">
        <v>106</v>
      </c>
      <c r="D241" s="111" t="s">
        <v>296</v>
      </c>
      <c r="E241" s="112" t="s">
        <v>176</v>
      </c>
      <c r="F241" s="307">
        <f>FORMULACION!P214</f>
        <v>3</v>
      </c>
      <c r="G241" s="308"/>
      <c r="H241" s="309">
        <f t="shared" si="8"/>
        <v>0</v>
      </c>
    </row>
    <row r="242" spans="1:8" x14ac:dyDescent="0.2">
      <c r="A242" s="54">
        <v>212</v>
      </c>
      <c r="B242" s="72" t="s">
        <v>556</v>
      </c>
      <c r="C242" s="111" t="s">
        <v>106</v>
      </c>
      <c r="D242" s="111" t="s">
        <v>296</v>
      </c>
      <c r="E242" s="112" t="s">
        <v>169</v>
      </c>
      <c r="F242" s="307">
        <f>FORMULACION!P215</f>
        <v>3</v>
      </c>
      <c r="G242" s="308"/>
      <c r="H242" s="309">
        <f t="shared" si="8"/>
        <v>0</v>
      </c>
    </row>
    <row r="243" spans="1:8" ht="18.75" x14ac:dyDescent="0.2">
      <c r="A243" s="54">
        <v>213</v>
      </c>
      <c r="B243" s="72" t="s">
        <v>556</v>
      </c>
      <c r="C243" s="111" t="s">
        <v>106</v>
      </c>
      <c r="D243" s="111" t="s">
        <v>296</v>
      </c>
      <c r="E243" s="112" t="s">
        <v>174</v>
      </c>
      <c r="F243" s="307">
        <f>FORMULACION!P216</f>
        <v>3</v>
      </c>
      <c r="G243" s="308"/>
      <c r="H243" s="309">
        <f t="shared" si="8"/>
        <v>0</v>
      </c>
    </row>
    <row r="244" spans="1:8" x14ac:dyDescent="0.2">
      <c r="A244" s="54">
        <v>214</v>
      </c>
      <c r="B244" s="72" t="s">
        <v>556</v>
      </c>
      <c r="C244" s="111" t="s">
        <v>106</v>
      </c>
      <c r="D244" s="111" t="s">
        <v>296</v>
      </c>
      <c r="E244" s="112" t="s">
        <v>545</v>
      </c>
      <c r="F244" s="307">
        <f>FORMULACION!P217</f>
        <v>3</v>
      </c>
      <c r="G244" s="308"/>
      <c r="H244" s="309">
        <f t="shared" si="8"/>
        <v>0</v>
      </c>
    </row>
    <row r="245" spans="1:8" x14ac:dyDescent="0.2">
      <c r="A245" s="54">
        <v>215</v>
      </c>
      <c r="B245" s="72" t="s">
        <v>556</v>
      </c>
      <c r="C245" s="111" t="s">
        <v>106</v>
      </c>
      <c r="D245" s="111" t="s">
        <v>297</v>
      </c>
      <c r="E245" s="112" t="s">
        <v>177</v>
      </c>
      <c r="F245" s="307">
        <f>FORMULACION!P218</f>
        <v>3</v>
      </c>
      <c r="G245" s="308"/>
      <c r="H245" s="309">
        <f t="shared" si="8"/>
        <v>0</v>
      </c>
    </row>
    <row r="246" spans="1:8" x14ac:dyDescent="0.2">
      <c r="A246" s="54">
        <v>216</v>
      </c>
      <c r="B246" s="72" t="s">
        <v>556</v>
      </c>
      <c r="C246" s="111" t="s">
        <v>106</v>
      </c>
      <c r="D246" s="111" t="s">
        <v>296</v>
      </c>
      <c r="E246" s="112" t="s">
        <v>170</v>
      </c>
      <c r="F246" s="307">
        <f>FORMULACION!P219</f>
        <v>3</v>
      </c>
      <c r="G246" s="308"/>
      <c r="H246" s="309">
        <f t="shared" si="8"/>
        <v>0</v>
      </c>
    </row>
    <row r="247" spans="1:8" x14ac:dyDescent="0.2">
      <c r="A247" s="54">
        <v>217</v>
      </c>
      <c r="B247" s="72" t="s">
        <v>556</v>
      </c>
      <c r="C247" s="111" t="s">
        <v>106</v>
      </c>
      <c r="D247" s="111" t="s">
        <v>296</v>
      </c>
      <c r="E247" s="112" t="s">
        <v>187</v>
      </c>
      <c r="F247" s="307">
        <f>FORMULACION!P220</f>
        <v>3</v>
      </c>
      <c r="G247" s="308"/>
      <c r="H247" s="309">
        <f t="shared" si="8"/>
        <v>0</v>
      </c>
    </row>
    <row r="248" spans="1:8" x14ac:dyDescent="0.2">
      <c r="A248" s="54">
        <v>218</v>
      </c>
      <c r="B248" s="72" t="s">
        <v>556</v>
      </c>
      <c r="C248" s="111" t="s">
        <v>106</v>
      </c>
      <c r="D248" s="111" t="s">
        <v>296</v>
      </c>
      <c r="E248" s="112" t="s">
        <v>715</v>
      </c>
      <c r="F248" s="307">
        <f>FORMULACION!P221</f>
        <v>3</v>
      </c>
      <c r="G248" s="308"/>
      <c r="H248" s="309">
        <f t="shared" si="8"/>
        <v>0</v>
      </c>
    </row>
    <row r="249" spans="1:8" x14ac:dyDescent="0.2">
      <c r="A249" s="54">
        <v>219</v>
      </c>
      <c r="B249" s="72" t="s">
        <v>556</v>
      </c>
      <c r="C249" s="111" t="s">
        <v>106</v>
      </c>
      <c r="D249" s="111" t="s">
        <v>297</v>
      </c>
      <c r="E249" s="112" t="s">
        <v>150</v>
      </c>
      <c r="F249" s="307">
        <f>FORMULACION!P222</f>
        <v>5</v>
      </c>
      <c r="G249" s="308"/>
      <c r="H249" s="309">
        <f t="shared" si="8"/>
        <v>0</v>
      </c>
    </row>
    <row r="250" spans="1:8" x14ac:dyDescent="0.2">
      <c r="A250" s="54">
        <v>220</v>
      </c>
      <c r="B250" s="72" t="s">
        <v>556</v>
      </c>
      <c r="C250" s="111" t="s">
        <v>106</v>
      </c>
      <c r="D250" s="111" t="s">
        <v>297</v>
      </c>
      <c r="E250" s="112" t="s">
        <v>182</v>
      </c>
      <c r="F250" s="307">
        <f>FORMULACION!P223</f>
        <v>1.5</v>
      </c>
      <c r="G250" s="308"/>
      <c r="H250" s="309">
        <f t="shared" si="8"/>
        <v>0</v>
      </c>
    </row>
    <row r="251" spans="1:8" x14ac:dyDescent="0.2">
      <c r="A251" s="54">
        <v>221</v>
      </c>
      <c r="B251" s="72" t="s">
        <v>556</v>
      </c>
      <c r="C251" s="111" t="s">
        <v>106</v>
      </c>
      <c r="D251" s="111" t="s">
        <v>296</v>
      </c>
      <c r="E251" s="112" t="s">
        <v>172</v>
      </c>
      <c r="F251" s="307">
        <f>FORMULACION!P224</f>
        <v>3</v>
      </c>
      <c r="G251" s="308"/>
      <c r="H251" s="309">
        <f t="shared" si="8"/>
        <v>0</v>
      </c>
    </row>
    <row r="252" spans="1:8" x14ac:dyDescent="0.2">
      <c r="A252" s="54">
        <v>222</v>
      </c>
      <c r="B252" s="72" t="s">
        <v>556</v>
      </c>
      <c r="C252" s="111" t="s">
        <v>106</v>
      </c>
      <c r="D252" s="111" t="s">
        <v>297</v>
      </c>
      <c r="E252" s="112" t="s">
        <v>178</v>
      </c>
      <c r="F252" s="307">
        <f>FORMULACION!P225</f>
        <v>3</v>
      </c>
      <c r="G252" s="308"/>
      <c r="H252" s="309">
        <f t="shared" si="8"/>
        <v>0</v>
      </c>
    </row>
    <row r="253" spans="1:8" x14ac:dyDescent="0.2">
      <c r="A253" s="54">
        <v>223</v>
      </c>
      <c r="B253" s="72" t="s">
        <v>556</v>
      </c>
      <c r="C253" s="111" t="s">
        <v>106</v>
      </c>
      <c r="D253" s="111" t="s">
        <v>296</v>
      </c>
      <c r="E253" s="112" t="s">
        <v>171</v>
      </c>
      <c r="F253" s="307">
        <f>FORMULACION!P226</f>
        <v>3</v>
      </c>
      <c r="G253" s="308"/>
      <c r="H253" s="309">
        <f t="shared" si="8"/>
        <v>0</v>
      </c>
    </row>
    <row r="254" spans="1:8" x14ac:dyDescent="0.2">
      <c r="A254" s="54">
        <v>224</v>
      </c>
      <c r="B254" s="72" t="s">
        <v>556</v>
      </c>
      <c r="C254" s="111" t="s">
        <v>106</v>
      </c>
      <c r="D254" s="111" t="s">
        <v>296</v>
      </c>
      <c r="E254" s="112" t="s">
        <v>127</v>
      </c>
      <c r="F254" s="307">
        <f>FORMULACION!P227</f>
        <v>1</v>
      </c>
      <c r="G254" s="308"/>
      <c r="H254" s="309">
        <f t="shared" si="8"/>
        <v>0</v>
      </c>
    </row>
    <row r="255" spans="1:8" x14ac:dyDescent="0.2">
      <c r="A255" s="54">
        <v>225</v>
      </c>
      <c r="B255" s="72" t="s">
        <v>556</v>
      </c>
      <c r="C255" s="111" t="s">
        <v>106</v>
      </c>
      <c r="D255" s="111" t="s">
        <v>297</v>
      </c>
      <c r="E255" s="112" t="s">
        <v>129</v>
      </c>
      <c r="F255" s="307">
        <f>FORMULACION!P228</f>
        <v>1</v>
      </c>
      <c r="G255" s="308"/>
      <c r="H255" s="309">
        <f t="shared" si="8"/>
        <v>0</v>
      </c>
    </row>
    <row r="256" spans="1:8" x14ac:dyDescent="0.2">
      <c r="A256" s="54">
        <v>226</v>
      </c>
      <c r="B256" s="72" t="s">
        <v>556</v>
      </c>
      <c r="C256" s="111" t="s">
        <v>106</v>
      </c>
      <c r="D256" s="111" t="s">
        <v>297</v>
      </c>
      <c r="E256" s="112" t="s">
        <v>131</v>
      </c>
      <c r="F256" s="307">
        <f>FORMULACION!P229</f>
        <v>1</v>
      </c>
      <c r="G256" s="308"/>
      <c r="H256" s="309">
        <f t="shared" si="8"/>
        <v>0</v>
      </c>
    </row>
    <row r="257" spans="1:8" x14ac:dyDescent="0.2">
      <c r="A257" s="54">
        <v>227</v>
      </c>
      <c r="B257" s="72" t="s">
        <v>556</v>
      </c>
      <c r="C257" s="111" t="s">
        <v>106</v>
      </c>
      <c r="D257" s="111" t="s">
        <v>296</v>
      </c>
      <c r="E257" s="112" t="s">
        <v>133</v>
      </c>
      <c r="F257" s="307">
        <f>FORMULACION!P230</f>
        <v>1</v>
      </c>
      <c r="G257" s="308"/>
      <c r="H257" s="309">
        <f t="shared" si="8"/>
        <v>0</v>
      </c>
    </row>
    <row r="258" spans="1:8" x14ac:dyDescent="0.2">
      <c r="A258" s="54">
        <v>228</v>
      </c>
      <c r="B258" s="72" t="s">
        <v>556</v>
      </c>
      <c r="C258" s="111" t="s">
        <v>106</v>
      </c>
      <c r="D258" s="111" t="s">
        <v>296</v>
      </c>
      <c r="E258" s="112" t="s">
        <v>132</v>
      </c>
      <c r="F258" s="307">
        <f>FORMULACION!P231</f>
        <v>1</v>
      </c>
      <c r="G258" s="308"/>
      <c r="H258" s="309">
        <f t="shared" si="8"/>
        <v>0</v>
      </c>
    </row>
    <row r="259" spans="1:8" x14ac:dyDescent="0.2">
      <c r="A259" s="54">
        <v>229</v>
      </c>
      <c r="B259" s="72" t="s">
        <v>556</v>
      </c>
      <c r="C259" s="111" t="s">
        <v>106</v>
      </c>
      <c r="D259" s="111" t="s">
        <v>297</v>
      </c>
      <c r="E259" s="112" t="s">
        <v>134</v>
      </c>
      <c r="F259" s="307">
        <f>FORMULACION!P232</f>
        <v>1</v>
      </c>
      <c r="G259" s="308"/>
      <c r="H259" s="309">
        <f t="shared" si="8"/>
        <v>0</v>
      </c>
    </row>
    <row r="260" spans="1:8" x14ac:dyDescent="0.2">
      <c r="A260" s="54">
        <v>230</v>
      </c>
      <c r="B260" s="72" t="s">
        <v>556</v>
      </c>
      <c r="C260" s="111" t="s">
        <v>106</v>
      </c>
      <c r="D260" s="111" t="s">
        <v>297</v>
      </c>
      <c r="E260" s="112" t="s">
        <v>694</v>
      </c>
      <c r="F260" s="307">
        <f>FORMULACION!P233</f>
        <v>1</v>
      </c>
      <c r="G260" s="308"/>
      <c r="H260" s="309">
        <f t="shared" si="8"/>
        <v>0</v>
      </c>
    </row>
    <row r="261" spans="1:8" x14ac:dyDescent="0.2">
      <c r="A261" s="54">
        <v>231</v>
      </c>
      <c r="B261" s="72" t="s">
        <v>556</v>
      </c>
      <c r="C261" s="111" t="s">
        <v>106</v>
      </c>
      <c r="D261" s="111" t="s">
        <v>296</v>
      </c>
      <c r="E261" s="112" t="s">
        <v>695</v>
      </c>
      <c r="F261" s="307">
        <f>FORMULACION!P234</f>
        <v>1</v>
      </c>
      <c r="G261" s="308"/>
      <c r="H261" s="309">
        <f t="shared" si="8"/>
        <v>0</v>
      </c>
    </row>
    <row r="262" spans="1:8" x14ac:dyDescent="0.2">
      <c r="A262" s="54">
        <v>232</v>
      </c>
      <c r="B262" s="72" t="s">
        <v>556</v>
      </c>
      <c r="C262" s="111" t="s">
        <v>106</v>
      </c>
      <c r="D262" s="111" t="s">
        <v>296</v>
      </c>
      <c r="E262" s="112" t="s">
        <v>712</v>
      </c>
      <c r="F262" s="307">
        <f>FORMULACION!P235</f>
        <v>1</v>
      </c>
      <c r="G262" s="308"/>
      <c r="H262" s="309">
        <f t="shared" si="8"/>
        <v>0</v>
      </c>
    </row>
    <row r="263" spans="1:8" x14ac:dyDescent="0.2">
      <c r="A263" s="54">
        <v>233</v>
      </c>
      <c r="B263" s="72" t="s">
        <v>556</v>
      </c>
      <c r="C263" s="111" t="s">
        <v>106</v>
      </c>
      <c r="D263" s="111" t="s">
        <v>296</v>
      </c>
      <c r="E263" s="112" t="s">
        <v>713</v>
      </c>
      <c r="F263" s="307">
        <f>FORMULACION!P236</f>
        <v>6</v>
      </c>
      <c r="G263" s="308"/>
      <c r="H263" s="309">
        <f t="shared" si="8"/>
        <v>0</v>
      </c>
    </row>
    <row r="264" spans="1:8" x14ac:dyDescent="0.2">
      <c r="A264" s="54">
        <v>234</v>
      </c>
      <c r="B264" s="72" t="s">
        <v>556</v>
      </c>
      <c r="C264" s="111" t="s">
        <v>106</v>
      </c>
      <c r="D264" s="111" t="s">
        <v>296</v>
      </c>
      <c r="E264" s="112" t="s">
        <v>481</v>
      </c>
      <c r="F264" s="307">
        <f>FORMULACION!P237</f>
        <v>6</v>
      </c>
      <c r="G264" s="308"/>
      <c r="H264" s="309">
        <f t="shared" si="8"/>
        <v>0</v>
      </c>
    </row>
    <row r="265" spans="1:8" x14ac:dyDescent="0.2">
      <c r="A265" s="54">
        <v>235</v>
      </c>
      <c r="B265" s="72" t="s">
        <v>556</v>
      </c>
      <c r="C265" s="111" t="s">
        <v>106</v>
      </c>
      <c r="D265" s="111" t="s">
        <v>296</v>
      </c>
      <c r="E265" s="112" t="s">
        <v>482</v>
      </c>
      <c r="F265" s="307">
        <f>FORMULACION!P238</f>
        <v>6</v>
      </c>
      <c r="G265" s="308"/>
      <c r="H265" s="309">
        <f t="shared" si="8"/>
        <v>0</v>
      </c>
    </row>
    <row r="266" spans="1:8" x14ac:dyDescent="0.2">
      <c r="A266" s="54">
        <v>236</v>
      </c>
      <c r="B266" s="72" t="s">
        <v>556</v>
      </c>
      <c r="C266" s="111" t="s">
        <v>106</v>
      </c>
      <c r="D266" s="111" t="s">
        <v>296</v>
      </c>
      <c r="E266" s="112" t="s">
        <v>483</v>
      </c>
      <c r="F266" s="307">
        <f>FORMULACION!P239</f>
        <v>3</v>
      </c>
      <c r="G266" s="308"/>
      <c r="H266" s="309">
        <f t="shared" si="8"/>
        <v>0</v>
      </c>
    </row>
    <row r="267" spans="1:8" x14ac:dyDescent="0.2">
      <c r="A267" s="54">
        <v>237</v>
      </c>
      <c r="B267" s="72" t="s">
        <v>556</v>
      </c>
      <c r="C267" s="111" t="s">
        <v>106</v>
      </c>
      <c r="D267" s="111" t="s">
        <v>296</v>
      </c>
      <c r="E267" s="112" t="s">
        <v>484</v>
      </c>
      <c r="F267" s="307">
        <f>FORMULACION!P240</f>
        <v>3</v>
      </c>
      <c r="G267" s="308"/>
      <c r="H267" s="309">
        <f t="shared" si="8"/>
        <v>0</v>
      </c>
    </row>
    <row r="268" spans="1:8" x14ac:dyDescent="0.2">
      <c r="A268" s="54">
        <v>238</v>
      </c>
      <c r="B268" s="72" t="s">
        <v>556</v>
      </c>
      <c r="C268" s="111" t="s">
        <v>106</v>
      </c>
      <c r="D268" s="111" t="s">
        <v>296</v>
      </c>
      <c r="E268" s="112" t="s">
        <v>714</v>
      </c>
      <c r="F268" s="307">
        <f>FORMULACION!P241</f>
        <v>3</v>
      </c>
      <c r="G268" s="308"/>
      <c r="H268" s="309">
        <f t="shared" si="8"/>
        <v>0</v>
      </c>
    </row>
    <row r="269" spans="1:8" x14ac:dyDescent="0.2">
      <c r="A269" s="54">
        <v>239</v>
      </c>
      <c r="B269" s="72" t="s">
        <v>556</v>
      </c>
      <c r="C269" s="111" t="s">
        <v>106</v>
      </c>
      <c r="D269" s="111" t="s">
        <v>296</v>
      </c>
      <c r="E269" s="112" t="s">
        <v>485</v>
      </c>
      <c r="F269" s="307">
        <f>FORMULACION!P242</f>
        <v>3</v>
      </c>
      <c r="G269" s="308"/>
      <c r="H269" s="309">
        <f t="shared" si="8"/>
        <v>0</v>
      </c>
    </row>
    <row r="270" spans="1:8" x14ac:dyDescent="0.2">
      <c r="A270" s="54">
        <v>240</v>
      </c>
      <c r="B270" s="72" t="s">
        <v>556</v>
      </c>
      <c r="C270" s="111" t="s">
        <v>106</v>
      </c>
      <c r="D270" s="111" t="s">
        <v>296</v>
      </c>
      <c r="E270" s="112" t="s">
        <v>705</v>
      </c>
      <c r="F270" s="307">
        <f>FORMULACION!P243</f>
        <v>3</v>
      </c>
      <c r="G270" s="308"/>
      <c r="H270" s="309">
        <f t="shared" si="8"/>
        <v>0</v>
      </c>
    </row>
    <row r="271" spans="1:8" x14ac:dyDescent="0.2">
      <c r="A271" s="54">
        <v>241</v>
      </c>
      <c r="B271" s="72" t="s">
        <v>556</v>
      </c>
      <c r="C271" s="111" t="s">
        <v>106</v>
      </c>
      <c r="D271" s="111" t="s">
        <v>296</v>
      </c>
      <c r="E271" s="112" t="s">
        <v>706</v>
      </c>
      <c r="F271" s="307">
        <f>FORMULACION!P244</f>
        <v>3</v>
      </c>
      <c r="G271" s="308"/>
      <c r="H271" s="309">
        <f t="shared" si="8"/>
        <v>0</v>
      </c>
    </row>
    <row r="272" spans="1:8" hidden="1" x14ac:dyDescent="0.2">
      <c r="A272" s="54">
        <v>3</v>
      </c>
      <c r="B272" s="73" t="s">
        <v>564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 x14ac:dyDescent="0.2">
      <c r="A273" s="54">
        <v>4</v>
      </c>
      <c r="B273" s="73" t="s">
        <v>564</v>
      </c>
      <c r="C273" s="54" t="s">
        <v>16</v>
      </c>
      <c r="D273" s="54" t="s">
        <v>20</v>
      </c>
      <c r="E273" s="56" t="s">
        <v>369</v>
      </c>
      <c r="F273" s="55"/>
      <c r="G273" s="57"/>
      <c r="H273" s="57"/>
    </row>
    <row r="274" spans="1:8" hidden="1" x14ac:dyDescent="0.2">
      <c r="A274" s="54">
        <v>5</v>
      </c>
      <c r="B274" s="73" t="s">
        <v>564</v>
      </c>
      <c r="C274" s="54" t="str">
        <f>FORMULACION!C252</f>
        <v>ASEO</v>
      </c>
      <c r="D274" s="54" t="str">
        <f>FORMULACION!D252</f>
        <v>MANEJO DE RESIDUOS</v>
      </c>
      <c r="E274" s="56" t="s">
        <v>420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 x14ac:dyDescent="0.2">
      <c r="A275" s="54">
        <v>6</v>
      </c>
      <c r="B275" s="73" t="s">
        <v>564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 x14ac:dyDescent="0.2">
      <c r="A276" s="54">
        <v>7</v>
      </c>
      <c r="B276" s="73" t="s">
        <v>564</v>
      </c>
      <c r="C276" s="54" t="str">
        <f>FORMULACION!C253</f>
        <v>ASEO</v>
      </c>
      <c r="D276" s="54" t="str">
        <f>FORMULACION!D253</f>
        <v>MANEJO DE RESIDUOS</v>
      </c>
      <c r="E276" s="56" t="s">
        <v>549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 x14ac:dyDescent="0.2">
      <c r="A277" s="54">
        <v>8</v>
      </c>
      <c r="B277" s="73" t="s">
        <v>564</v>
      </c>
      <c r="C277" s="54" t="str">
        <f>FORMULACION!C255</f>
        <v>ASEO</v>
      </c>
      <c r="D277" s="54" t="str">
        <f>FORMULACION!D255</f>
        <v>MANEJO DE RESIDUOS</v>
      </c>
      <c r="E277" s="56" t="s">
        <v>489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 x14ac:dyDescent="0.2">
      <c r="A278" s="54">
        <v>9</v>
      </c>
      <c r="B278" s="73" t="s">
        <v>564</v>
      </c>
      <c r="C278" s="54" t="str">
        <f>FORMULACION!C256</f>
        <v>COCINA</v>
      </c>
      <c r="D278" s="54" t="str">
        <f>FORMULACION!D256</f>
        <v>EQUIPOS</v>
      </c>
      <c r="E278" s="56" t="s">
        <v>554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 x14ac:dyDescent="0.2">
      <c r="A279" s="54">
        <v>10</v>
      </c>
      <c r="B279" s="73" t="s">
        <v>564</v>
      </c>
      <c r="C279" s="54" t="str">
        <f>FORMULACION!C282</f>
        <v>COCINA</v>
      </c>
      <c r="D279" s="54" t="str">
        <f>FORMULACION!E282</f>
        <v>CUBERTERIA</v>
      </c>
      <c r="E279" s="56" t="s">
        <v>367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 x14ac:dyDescent="0.2">
      <c r="A280" s="54">
        <v>11</v>
      </c>
      <c r="B280" s="73" t="s">
        <v>564</v>
      </c>
      <c r="C280" s="54" t="str">
        <f>FORMULACION!C273</f>
        <v>COCINA</v>
      </c>
      <c r="D280" s="54" t="str">
        <f>FORMULACION!E273</f>
        <v>BATERIA DE COCINA</v>
      </c>
      <c r="E280" s="56" t="s">
        <v>439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 x14ac:dyDescent="0.2">
      <c r="A281" s="54">
        <v>12</v>
      </c>
      <c r="B281" s="73" t="s">
        <v>564</v>
      </c>
      <c r="C281" s="54" t="str">
        <f>FORMULACION!C272</f>
        <v>COCINA</v>
      </c>
      <c r="D281" s="54" t="str">
        <f>FORMULACION!E272</f>
        <v>BATERIA DE COCINA</v>
      </c>
      <c r="E281" s="56" t="s">
        <v>368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 x14ac:dyDescent="0.2">
      <c r="A282" s="54">
        <v>13</v>
      </c>
      <c r="B282" s="73" t="s">
        <v>564</v>
      </c>
      <c r="C282" s="54" t="str">
        <f>FORMULACION!C278</f>
        <v>COCINA</v>
      </c>
      <c r="D282" s="54" t="str">
        <f>FORMULACION!E278</f>
        <v>BATERIA DE COCINA</v>
      </c>
      <c r="E282" s="56" t="s">
        <v>366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 x14ac:dyDescent="0.2">
      <c r="A283" s="54">
        <v>14</v>
      </c>
      <c r="B283" s="73" t="s">
        <v>564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 x14ac:dyDescent="0.2">
      <c r="A284" s="54">
        <v>15</v>
      </c>
      <c r="B284" s="73" t="s">
        <v>564</v>
      </c>
      <c r="C284" s="54" t="str">
        <f>FORMULACION!C275</f>
        <v>COCINA</v>
      </c>
      <c r="D284" s="54" t="str">
        <f>FORMULACION!E275</f>
        <v>BATERIA DE COCINA</v>
      </c>
      <c r="E284" s="56" t="s">
        <v>236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 x14ac:dyDescent="0.2">
      <c r="A285" s="54">
        <v>16</v>
      </c>
      <c r="B285" s="73" t="s">
        <v>564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 x14ac:dyDescent="0.2">
      <c r="A286" s="54">
        <v>17</v>
      </c>
      <c r="B286" s="73" t="s">
        <v>564</v>
      </c>
      <c r="C286" s="54" t="str">
        <f>FORMULACION!C277</f>
        <v>COCINA</v>
      </c>
      <c r="D286" s="54" t="str">
        <f>FORMULACION!E277</f>
        <v>BATERIA DE COCINA</v>
      </c>
      <c r="E286" s="56" t="s">
        <v>365</v>
      </c>
      <c r="F286" s="54">
        <f>FORMULACION!P277</f>
        <v>0</v>
      </c>
      <c r="G286" s="57">
        <v>153000</v>
      </c>
      <c r="H286" s="57">
        <f t="shared" si="10"/>
        <v>0</v>
      </c>
    </row>
    <row r="287" spans="1:8" hidden="1" x14ac:dyDescent="0.2">
      <c r="A287" s="54">
        <v>18</v>
      </c>
      <c r="B287" s="73" t="s">
        <v>564</v>
      </c>
      <c r="C287" s="54" t="str">
        <f>FORMULACION!C279</f>
        <v>COCINA</v>
      </c>
      <c r="D287" s="54" t="str">
        <f>FORMULACION!E279</f>
        <v>BATERIA DE COCINA</v>
      </c>
      <c r="E287" s="56" t="s">
        <v>440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 x14ac:dyDescent="0.2">
      <c r="A288" s="54">
        <v>19</v>
      </c>
      <c r="B288" s="73" t="s">
        <v>564</v>
      </c>
      <c r="C288" s="54" t="str">
        <f>FORMULACION!C280</f>
        <v>COCINA</v>
      </c>
      <c r="D288" s="54" t="str">
        <f>FORMULACION!E280</f>
        <v>BATERIA DE COCINA</v>
      </c>
      <c r="E288" s="58" t="s">
        <v>494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 x14ac:dyDescent="0.2">
      <c r="A289" s="54">
        <v>20</v>
      </c>
      <c r="B289" s="73" t="s">
        <v>564</v>
      </c>
      <c r="C289" s="54" t="str">
        <f>FORMULACION!C281</f>
        <v>COCINA</v>
      </c>
      <c r="D289" s="54" t="str">
        <f>FORMULACION!E281</f>
        <v>BATERIA DE COCINA</v>
      </c>
      <c r="E289" s="56" t="s">
        <v>241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 x14ac:dyDescent="0.2">
      <c r="A290" s="54">
        <v>21</v>
      </c>
      <c r="B290" s="73" t="s">
        <v>564</v>
      </c>
      <c r="C290" s="54" t="str">
        <f>FORMULACION!C284</f>
        <v>COCINA</v>
      </c>
      <c r="D290" s="54" t="str">
        <f>FORMULACION!E284</f>
        <v>CUBERTERIA</v>
      </c>
      <c r="E290" s="56" t="s">
        <v>369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 x14ac:dyDescent="0.2">
      <c r="A291" s="54">
        <v>22</v>
      </c>
      <c r="B291" s="73" t="s">
        <v>564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 x14ac:dyDescent="0.2">
      <c r="A292" s="54">
        <v>23</v>
      </c>
      <c r="B292" s="73" t="s">
        <v>564</v>
      </c>
      <c r="C292" s="54" t="str">
        <f>FORMULACION!C286</f>
        <v>COCINA</v>
      </c>
      <c r="D292" s="54" t="str">
        <f>FORMULACION!E286</f>
        <v>RECIPIENTES</v>
      </c>
      <c r="E292" s="60" t="s">
        <v>442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 x14ac:dyDescent="0.2">
      <c r="A293" s="54">
        <v>24</v>
      </c>
      <c r="B293" s="73" t="s">
        <v>564</v>
      </c>
      <c r="C293" s="54" t="str">
        <f>FORMULACION!C283</f>
        <v>COCINA</v>
      </c>
      <c r="D293" s="54" t="str">
        <f>FORMULACION!E283</f>
        <v>CUBERTERIA</v>
      </c>
      <c r="E293" s="56" t="s">
        <v>496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 x14ac:dyDescent="0.2">
      <c r="A294" s="54">
        <v>25</v>
      </c>
      <c r="B294" s="73" t="s">
        <v>564</v>
      </c>
      <c r="C294" s="54" t="str">
        <f>FORMULACION!C259</f>
        <v>COCINA</v>
      </c>
      <c r="D294" s="54" t="str">
        <f>FORMULACION!E259</f>
        <v>EQUIPOS DE CONSERVACION</v>
      </c>
      <c r="E294" s="56" t="s">
        <v>540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 x14ac:dyDescent="0.2">
      <c r="A295" s="54">
        <v>26</v>
      </c>
      <c r="B295" s="73" t="s">
        <v>564</v>
      </c>
      <c r="C295" s="54" t="s">
        <v>22</v>
      </c>
      <c r="D295" s="54" t="s">
        <v>443</v>
      </c>
      <c r="E295" s="56" t="s">
        <v>539</v>
      </c>
      <c r="F295" s="54">
        <v>0</v>
      </c>
      <c r="G295" s="57">
        <v>40000</v>
      </c>
      <c r="H295" s="57">
        <f t="shared" si="11"/>
        <v>0</v>
      </c>
    </row>
    <row r="296" spans="1:8" hidden="1" x14ac:dyDescent="0.2">
      <c r="A296" s="54">
        <v>27</v>
      </c>
      <c r="B296" s="73" t="s">
        <v>564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 x14ac:dyDescent="0.2">
      <c r="A297" s="54">
        <v>28</v>
      </c>
      <c r="B297" s="73" t="s">
        <v>564</v>
      </c>
      <c r="C297" s="54" t="str">
        <f>FORMULACION!C257</f>
        <v>COCINA</v>
      </c>
      <c r="D297" s="54" t="str">
        <f>FORMULACION!E257</f>
        <v>EQUIPOS DE COCCION</v>
      </c>
      <c r="E297" s="56" t="s">
        <v>493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 x14ac:dyDescent="0.2">
      <c r="A298" s="54">
        <v>29</v>
      </c>
      <c r="B298" s="73" t="s">
        <v>564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 x14ac:dyDescent="0.2">
      <c r="A299" s="54">
        <v>30</v>
      </c>
      <c r="B299" s="73" t="s">
        <v>564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 x14ac:dyDescent="0.2">
      <c r="A300" s="54">
        <v>31</v>
      </c>
      <c r="B300" s="73" t="s">
        <v>564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 x14ac:dyDescent="0.2">
      <c r="A301" s="54">
        <v>32</v>
      </c>
      <c r="B301" s="73" t="s">
        <v>564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0</v>
      </c>
      <c r="G301" s="57">
        <v>6380000</v>
      </c>
      <c r="H301" s="57">
        <f t="shared" si="11"/>
        <v>0</v>
      </c>
    </row>
    <row r="302" spans="1:8" hidden="1" x14ac:dyDescent="0.2">
      <c r="A302" s="54">
        <v>33</v>
      </c>
      <c r="B302" s="73" t="s">
        <v>564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 x14ac:dyDescent="0.2">
      <c r="A303" s="54">
        <v>34</v>
      </c>
      <c r="B303" s="73" t="s">
        <v>564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 x14ac:dyDescent="0.2">
      <c r="A304" s="54">
        <v>35</v>
      </c>
      <c r="B304" s="73" t="s">
        <v>564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 x14ac:dyDescent="0.2">
      <c r="A305" s="54">
        <v>36</v>
      </c>
      <c r="B305" s="73" t="s">
        <v>564</v>
      </c>
      <c r="C305" s="54" t="str">
        <f>FORMULACION!C269</f>
        <v>COCINA</v>
      </c>
      <c r="D305" s="54" t="str">
        <f>FORMULACION!E269</f>
        <v>EQUIPOS DE PROCESAMIENTO</v>
      </c>
      <c r="E305" s="56" t="s">
        <v>432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 x14ac:dyDescent="0.2">
      <c r="A306" s="54">
        <v>37</v>
      </c>
      <c r="B306" s="73" t="s">
        <v>564</v>
      </c>
      <c r="C306" s="54" t="str">
        <f>FORMULACION!C268</f>
        <v>COCINA</v>
      </c>
      <c r="D306" s="54" t="str">
        <f>FORMULACION!E268</f>
        <v>EQUIPOS DE PROCESAMIENTO</v>
      </c>
      <c r="E306" s="56" t="s">
        <v>438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 x14ac:dyDescent="0.2">
      <c r="A307" s="54">
        <v>38</v>
      </c>
      <c r="B307" s="73" t="s">
        <v>564</v>
      </c>
      <c r="C307" s="54" t="str">
        <f>FORMULACION!C267</f>
        <v>COCINA</v>
      </c>
      <c r="D307" s="54" t="str">
        <f>FORMULACION!E267</f>
        <v>EQUIPOS DE PROCESAMIENTO</v>
      </c>
      <c r="E307" s="56" t="s">
        <v>434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 x14ac:dyDescent="0.2">
      <c r="A308" s="54">
        <v>39</v>
      </c>
      <c r="B308" s="73" t="s">
        <v>564</v>
      </c>
      <c r="C308" s="54" t="str">
        <f>FORMULACION!C270</f>
        <v>COCINA</v>
      </c>
      <c r="D308" s="54" t="str">
        <f>FORMULACION!E270</f>
        <v>EQUIPOS DE PROCESAMIENTO</v>
      </c>
      <c r="E308" s="56" t="s">
        <v>431</v>
      </c>
      <c r="F308" s="54">
        <f>FORMULACION!P270</f>
        <v>0</v>
      </c>
      <c r="G308" s="57">
        <v>315000</v>
      </c>
      <c r="H308" s="57">
        <f t="shared" si="11"/>
        <v>0</v>
      </c>
    </row>
    <row r="309" spans="1:8" hidden="1" x14ac:dyDescent="0.2">
      <c r="A309" s="54">
        <v>40</v>
      </c>
      <c r="B309" s="73" t="s">
        <v>564</v>
      </c>
      <c r="C309" s="54" t="str">
        <f>FORMULACION!C291</f>
        <v>COCINA</v>
      </c>
      <c r="D309" s="54" t="str">
        <f>FORMULACION!E291</f>
        <v>RECIPIENTES</v>
      </c>
      <c r="E309" s="56" t="s">
        <v>370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 x14ac:dyDescent="0.2">
      <c r="A310" s="54">
        <v>41</v>
      </c>
      <c r="B310" s="73" t="s">
        <v>564</v>
      </c>
      <c r="C310" s="54" t="str">
        <f>FORMULACION!C292</f>
        <v>COCINA</v>
      </c>
      <c r="D310" s="54" t="str">
        <f>FORMULACION!E292</f>
        <v>RECIPIENTES</v>
      </c>
      <c r="E310" s="56" t="s">
        <v>490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 x14ac:dyDescent="0.2">
      <c r="A311" s="54">
        <v>42</v>
      </c>
      <c r="B311" s="73" t="s">
        <v>564</v>
      </c>
      <c r="C311" s="54" t="str">
        <f>FORMULACION!C289</f>
        <v>COCINA</v>
      </c>
      <c r="D311" s="54" t="str">
        <f>FORMULACION!E289</f>
        <v>RECIPIENTES</v>
      </c>
      <c r="E311" s="56" t="s">
        <v>436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 x14ac:dyDescent="0.2">
      <c r="A312" s="54">
        <v>43</v>
      </c>
      <c r="B312" s="73" t="s">
        <v>564</v>
      </c>
      <c r="C312" s="54" t="str">
        <f>FORMULACION!C290</f>
        <v>COCINA</v>
      </c>
      <c r="D312" s="54" t="str">
        <f>FORMULACION!E290</f>
        <v>RECIPIENTES</v>
      </c>
      <c r="E312" s="56" t="s">
        <v>491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 x14ac:dyDescent="0.2">
      <c r="A313" s="54">
        <v>44</v>
      </c>
      <c r="B313" s="73" t="s">
        <v>564</v>
      </c>
      <c r="C313" s="54" t="str">
        <f>FORMULACION!C293</f>
        <v>COCINA</v>
      </c>
      <c r="D313" s="54" t="str">
        <f>FORMULACION!E293</f>
        <v>UTENSILIOS</v>
      </c>
      <c r="E313" s="56" t="s">
        <v>371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 x14ac:dyDescent="0.2">
      <c r="A314" s="54">
        <v>45</v>
      </c>
      <c r="B314" s="73" t="s">
        <v>564</v>
      </c>
      <c r="C314" s="54" t="str">
        <f>FORMULACION!C287</f>
        <v>COCINA</v>
      </c>
      <c r="D314" s="54" t="str">
        <f>FORMULACION!E287</f>
        <v>RECIPIENTES</v>
      </c>
      <c r="E314" s="56" t="s">
        <v>372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 x14ac:dyDescent="0.2">
      <c r="A315" s="54">
        <v>46</v>
      </c>
      <c r="B315" s="73" t="s">
        <v>564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 x14ac:dyDescent="0.2">
      <c r="A316" s="54">
        <v>47</v>
      </c>
      <c r="B316" s="73" t="s">
        <v>564</v>
      </c>
      <c r="C316" s="54" t="str">
        <f>FORMULACION!C313</f>
        <v>COCINA</v>
      </c>
      <c r="D316" s="54" t="str">
        <f>FORMULACION!E313</f>
        <v>UTENSILIOS</v>
      </c>
      <c r="E316" s="56" t="s">
        <v>373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 x14ac:dyDescent="0.2">
      <c r="A317" s="54">
        <v>48</v>
      </c>
      <c r="B317" s="73" t="s">
        <v>564</v>
      </c>
      <c r="C317" s="54" t="str">
        <f>FORMULACION!C295</f>
        <v>COCINA</v>
      </c>
      <c r="D317" s="54" t="str">
        <f>FORMULACION!E295</f>
        <v>UTENSILIOS</v>
      </c>
      <c r="E317" s="56" t="s">
        <v>444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 x14ac:dyDescent="0.2">
      <c r="A318" s="54">
        <v>49</v>
      </c>
      <c r="B318" s="73" t="s">
        <v>564</v>
      </c>
      <c r="C318" s="54" t="str">
        <f>FORMULACION!C297</f>
        <v>COCINA</v>
      </c>
      <c r="D318" s="54" t="str">
        <f>FORMULACION!E297</f>
        <v>UTENSILIOS</v>
      </c>
      <c r="E318" s="56" t="s">
        <v>374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 x14ac:dyDescent="0.2">
      <c r="A319" s="54">
        <v>50</v>
      </c>
      <c r="B319" s="73" t="s">
        <v>564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 x14ac:dyDescent="0.2">
      <c r="A320" s="54">
        <v>51</v>
      </c>
      <c r="B320" s="73" t="s">
        <v>564</v>
      </c>
      <c r="C320" s="54" t="str">
        <f>FORMULACION!C306</f>
        <v>COCINA</v>
      </c>
      <c r="D320" s="54" t="str">
        <f>FORMULACION!E306</f>
        <v>UTENSILIOS</v>
      </c>
      <c r="E320" s="56" t="s">
        <v>375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 x14ac:dyDescent="0.2">
      <c r="A321" s="54">
        <v>52</v>
      </c>
      <c r="B321" s="73" t="s">
        <v>564</v>
      </c>
      <c r="C321" s="54" t="str">
        <f>FORMULACION!C305</f>
        <v>COCINA</v>
      </c>
      <c r="D321" s="54" t="str">
        <f>FORMULACION!E305</f>
        <v>UTENSILIOS</v>
      </c>
      <c r="E321" s="56" t="s">
        <v>376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 x14ac:dyDescent="0.2">
      <c r="A322" s="54">
        <v>53</v>
      </c>
      <c r="B322" s="73" t="s">
        <v>564</v>
      </c>
      <c r="C322" s="54" t="str">
        <f>FORMULACION!C307</f>
        <v>COCINA</v>
      </c>
      <c r="D322" s="54" t="str">
        <f>FORMULACION!E307</f>
        <v>UTENSILIOS</v>
      </c>
      <c r="E322" s="56" t="s">
        <v>542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 x14ac:dyDescent="0.2">
      <c r="A323" s="54">
        <v>54</v>
      </c>
      <c r="B323" s="73" t="s">
        <v>564</v>
      </c>
      <c r="C323" s="54" t="str">
        <f>FORMULACION!C303</f>
        <v>COCINA</v>
      </c>
      <c r="D323" s="54" t="str">
        <f>FORMULACION!E303</f>
        <v>UTENSILIOS</v>
      </c>
      <c r="E323" s="58" t="s">
        <v>445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 x14ac:dyDescent="0.2">
      <c r="A324" s="54">
        <v>55</v>
      </c>
      <c r="B324" s="73" t="s">
        <v>564</v>
      </c>
      <c r="C324" s="54" t="str">
        <f>FORMULACION!C302</f>
        <v>COCINA</v>
      </c>
      <c r="D324" s="54" t="str">
        <f>FORMULACION!E302</f>
        <v>UTENSILIOS</v>
      </c>
      <c r="E324" s="56" t="s">
        <v>377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 x14ac:dyDescent="0.2">
      <c r="A325" s="54">
        <v>56</v>
      </c>
      <c r="B325" s="73" t="s">
        <v>564</v>
      </c>
      <c r="C325" s="54" t="str">
        <f>FORMULACION!C309</f>
        <v>COCINA</v>
      </c>
      <c r="D325" s="54" t="str">
        <f>FORMULACION!E309</f>
        <v>UTENSILIOS</v>
      </c>
      <c r="E325" s="56" t="s">
        <v>378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 x14ac:dyDescent="0.2">
      <c r="A326" s="54">
        <v>57</v>
      </c>
      <c r="B326" s="73" t="s">
        <v>564</v>
      </c>
      <c r="C326" s="54" t="str">
        <f>FORMULACION!C296</f>
        <v>COCINA</v>
      </c>
      <c r="D326" s="54" t="str">
        <f>FORMULACION!E296</f>
        <v>UTENSILIOS</v>
      </c>
      <c r="E326" s="58" t="s">
        <v>447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 x14ac:dyDescent="0.2">
      <c r="A327" s="54">
        <v>58</v>
      </c>
      <c r="B327" s="73" t="s">
        <v>564</v>
      </c>
      <c r="C327" s="54" t="str">
        <f>FORMULACION!C294</f>
        <v>COCINA</v>
      </c>
      <c r="D327" s="54" t="str">
        <f>FORMULACION!E294</f>
        <v>UTENSILIOS</v>
      </c>
      <c r="E327" s="56" t="s">
        <v>379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 x14ac:dyDescent="0.2">
      <c r="A328" s="54">
        <v>58</v>
      </c>
      <c r="B328" s="73" t="s">
        <v>564</v>
      </c>
      <c r="C328" s="54" t="str">
        <f>FORMULACION!C311</f>
        <v>COCINA</v>
      </c>
      <c r="D328" s="54" t="str">
        <f>FORMULACION!E311</f>
        <v>UTENSILIOS</v>
      </c>
      <c r="E328" s="56" t="s">
        <v>380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 x14ac:dyDescent="0.2">
      <c r="A329" s="54">
        <v>60</v>
      </c>
      <c r="B329" s="73" t="s">
        <v>564</v>
      </c>
      <c r="C329" s="54" t="str">
        <f>FORMULACION!C299</f>
        <v>COCINA</v>
      </c>
      <c r="D329" s="54" t="str">
        <f>FORMULACION!E299</f>
        <v>UTENSILIOS</v>
      </c>
      <c r="E329" s="56" t="s">
        <v>497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 x14ac:dyDescent="0.2">
      <c r="A330" s="54">
        <v>61</v>
      </c>
      <c r="B330" s="73" t="s">
        <v>564</v>
      </c>
      <c r="C330" s="54" t="str">
        <f>FORMULACION!C310</f>
        <v>COCINA</v>
      </c>
      <c r="D330" s="54" t="str">
        <f>FORMULACION!E310</f>
        <v>UTENSILIOS</v>
      </c>
      <c r="E330" s="56" t="s">
        <v>381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 x14ac:dyDescent="0.2">
      <c r="A331" s="54">
        <v>62</v>
      </c>
      <c r="B331" s="73" t="s">
        <v>564</v>
      </c>
      <c r="C331" s="54" t="str">
        <f>FORMULACION!C312</f>
        <v>COCINA</v>
      </c>
      <c r="D331" s="54" t="str">
        <f>FORMULACION!E312</f>
        <v>UTENSILIOS</v>
      </c>
      <c r="E331" s="56" t="s">
        <v>382</v>
      </c>
      <c r="F331" s="54">
        <f>FORMULACION!P312</f>
        <v>0</v>
      </c>
      <c r="G331" s="57">
        <v>15000</v>
      </c>
      <c r="H331" s="57">
        <f t="shared" si="11"/>
        <v>0</v>
      </c>
    </row>
    <row r="332" spans="1:8" hidden="1" x14ac:dyDescent="0.2">
      <c r="A332" s="54">
        <v>63</v>
      </c>
      <c r="B332" s="73" t="s">
        <v>564</v>
      </c>
      <c r="C332" s="54" t="str">
        <f>FORMULACION!C301</f>
        <v>COCINA</v>
      </c>
      <c r="D332" s="54" t="str">
        <f>FORMULACION!E301</f>
        <v>UTENSILIOS</v>
      </c>
      <c r="E332" s="56" t="s">
        <v>383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 x14ac:dyDescent="0.2">
      <c r="A333" s="54">
        <v>64</v>
      </c>
      <c r="B333" s="73" t="s">
        <v>564</v>
      </c>
      <c r="C333" s="54" t="str">
        <f>FORMULACION!C298</f>
        <v>COCINA</v>
      </c>
      <c r="D333" s="54" t="str">
        <f>FORMULACION!E298</f>
        <v>UTENSILIOS</v>
      </c>
      <c r="E333" s="56" t="s">
        <v>384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 x14ac:dyDescent="0.2">
      <c r="A334" s="54">
        <v>65</v>
      </c>
      <c r="B334" s="73" t="s">
        <v>564</v>
      </c>
      <c r="C334" s="54" t="str">
        <f>FORMULACION!C308</f>
        <v>COCINA</v>
      </c>
      <c r="D334" s="54" t="str">
        <f>FORMULACION!E308</f>
        <v>UTENSILIOS</v>
      </c>
      <c r="E334" s="56" t="s">
        <v>385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 x14ac:dyDescent="0.2">
      <c r="A335" s="54">
        <v>66</v>
      </c>
      <c r="B335" s="73" t="s">
        <v>564</v>
      </c>
      <c r="C335" s="54" t="str">
        <f>FORMULACION!C300</f>
        <v>COCINA</v>
      </c>
      <c r="D335" s="54" t="str">
        <f>FORMULACION!E300</f>
        <v>UTENSILIOS</v>
      </c>
      <c r="E335" s="56" t="s">
        <v>386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 x14ac:dyDescent="0.2">
      <c r="A336" s="54">
        <v>67</v>
      </c>
      <c r="B336" s="73" t="s">
        <v>564</v>
      </c>
      <c r="C336" s="54" t="str">
        <f>FORMULACION!C314</f>
        <v>COCINA</v>
      </c>
      <c r="D336" s="54" t="str">
        <f>FORMULACION!E314</f>
        <v>VAJILLA</v>
      </c>
      <c r="E336" s="56" t="s">
        <v>498</v>
      </c>
      <c r="F336" s="54">
        <f>FORMULACION!P314</f>
        <v>60</v>
      </c>
      <c r="G336" s="57">
        <v>10000</v>
      </c>
      <c r="H336" s="57">
        <f t="shared" si="11"/>
        <v>600000</v>
      </c>
    </row>
    <row r="337" spans="1:8" hidden="1" x14ac:dyDescent="0.2">
      <c r="A337" s="54">
        <v>68</v>
      </c>
      <c r="B337" s="73" t="s">
        <v>564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387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 x14ac:dyDescent="0.2">
      <c r="A338" s="54">
        <v>69</v>
      </c>
      <c r="B338" s="73" t="s">
        <v>564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 x14ac:dyDescent="0.2">
      <c r="A339" s="54">
        <v>70</v>
      </c>
      <c r="B339" s="73" t="s">
        <v>564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0</v>
      </c>
      <c r="G339" s="57">
        <v>60000</v>
      </c>
      <c r="H339" s="57">
        <f t="shared" si="11"/>
        <v>0</v>
      </c>
    </row>
    <row r="340" spans="1:8" hidden="1" x14ac:dyDescent="0.2">
      <c r="A340" s="54">
        <v>71</v>
      </c>
      <c r="B340" s="73" t="s">
        <v>564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0</v>
      </c>
      <c r="G340" s="57">
        <v>160000</v>
      </c>
      <c r="H340" s="57">
        <f t="shared" si="11"/>
        <v>0</v>
      </c>
    </row>
    <row r="341" spans="1:8" hidden="1" x14ac:dyDescent="0.2">
      <c r="A341" s="54">
        <v>72</v>
      </c>
      <c r="B341" s="73" t="s">
        <v>564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389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 x14ac:dyDescent="0.2">
      <c r="A342" s="54">
        <v>73</v>
      </c>
      <c r="B342" s="73" t="s">
        <v>564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388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 x14ac:dyDescent="0.2">
      <c r="A343" s="54">
        <v>74</v>
      </c>
      <c r="B343" s="73" t="s">
        <v>564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 x14ac:dyDescent="0.2">
      <c r="A344" s="54">
        <v>75</v>
      </c>
      <c r="B344" s="73" t="s">
        <v>564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 x14ac:dyDescent="0.2">
      <c r="A345" s="54">
        <v>76</v>
      </c>
      <c r="B345" s="73" t="s">
        <v>564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 x14ac:dyDescent="0.2">
      <c r="A346" s="54">
        <v>77</v>
      </c>
      <c r="B346" s="73" t="s">
        <v>564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 x14ac:dyDescent="0.2">
      <c r="A347" s="54">
        <v>78</v>
      </c>
      <c r="B347" s="73" t="s">
        <v>564</v>
      </c>
      <c r="C347" s="54" t="str">
        <f>FORMULACION!C325</f>
        <v>EQUIPOS DE APOYO</v>
      </c>
      <c r="D347" s="54" t="str">
        <f>FORMULACION!D325</f>
        <v>APOYO EN LAVADO</v>
      </c>
      <c r="E347" s="56" t="s">
        <v>449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 x14ac:dyDescent="0.2">
      <c r="A348" s="54">
        <v>79</v>
      </c>
      <c r="B348" s="73" t="s">
        <v>564</v>
      </c>
      <c r="C348" s="54" t="str">
        <f>FORMULACION!C326</f>
        <v>LENCERIA</v>
      </c>
      <c r="D348" s="54" t="str">
        <f>FORMULACION!D326</f>
        <v>COLCHONES - COLCHONETAS</v>
      </c>
      <c r="E348" s="56" t="s">
        <v>448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 x14ac:dyDescent="0.2">
      <c r="A349" s="54">
        <v>80</v>
      </c>
      <c r="B349" s="73" t="s">
        <v>564</v>
      </c>
      <c r="C349" s="54" t="str">
        <f>FORMULACION!C327</f>
        <v>LENCERIA</v>
      </c>
      <c r="D349" s="54" t="str">
        <f>FORMULACION!D327</f>
        <v>COLCHONES - COLCHONETAS</v>
      </c>
      <c r="E349" s="56" t="s">
        <v>499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 x14ac:dyDescent="0.2">
      <c r="A350" s="54">
        <v>81</v>
      </c>
      <c r="B350" s="73" t="s">
        <v>564</v>
      </c>
      <c r="C350" s="54" t="str">
        <f>FORMULACION!C328</f>
        <v>LENCERIA</v>
      </c>
      <c r="D350" s="54" t="str">
        <f>FORMULACION!D328</f>
        <v>COLCHONES - COLCHONETAS</v>
      </c>
      <c r="E350" s="62" t="s">
        <v>450</v>
      </c>
      <c r="F350" s="54"/>
      <c r="G350" s="61"/>
      <c r="H350" s="57"/>
    </row>
    <row r="351" spans="1:8" hidden="1" x14ac:dyDescent="0.2">
      <c r="A351" s="54">
        <v>82</v>
      </c>
      <c r="B351" s="73" t="s">
        <v>564</v>
      </c>
      <c r="C351" s="54" t="str">
        <f>FORMULACION!C329</f>
        <v>LENCERIA</v>
      </c>
      <c r="D351" s="54" t="str">
        <f>FORMULACION!D329</f>
        <v>LENCERIA DE BAÑO</v>
      </c>
      <c r="E351" s="56" t="s">
        <v>500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 x14ac:dyDescent="0.2">
      <c r="A352" s="54">
        <v>83</v>
      </c>
      <c r="B352" s="73" t="s">
        <v>564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390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 x14ac:dyDescent="0.2">
      <c r="A353" s="54">
        <v>84</v>
      </c>
      <c r="B353" s="73" t="s">
        <v>564</v>
      </c>
      <c r="C353" s="54" t="str">
        <f>FORMULACION!C336</f>
        <v>LENCERIA</v>
      </c>
      <c r="D353" s="54" t="str">
        <f>FORMULACION!D336</f>
        <v>LENCERIA</v>
      </c>
      <c r="E353" s="56" t="s">
        <v>391</v>
      </c>
      <c r="F353" s="54">
        <f>FORMULACION!P336</f>
        <v>0</v>
      </c>
      <c r="G353" s="57">
        <v>180000</v>
      </c>
      <c r="H353" s="57">
        <f t="shared" si="12"/>
        <v>0</v>
      </c>
    </row>
    <row r="354" spans="1:8" hidden="1" x14ac:dyDescent="0.2">
      <c r="A354" s="54">
        <v>85</v>
      </c>
      <c r="B354" s="73" t="s">
        <v>564</v>
      </c>
      <c r="C354" s="54" t="str">
        <f>FORMULACION!C330</f>
        <v>LENCERIA</v>
      </c>
      <c r="D354" s="54" t="str">
        <f>FORMULACION!D330</f>
        <v>LENCERIA DE CAMA</v>
      </c>
      <c r="E354" s="56" t="s">
        <v>453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 x14ac:dyDescent="0.2">
      <c r="A355" s="54">
        <v>86</v>
      </c>
      <c r="B355" s="73" t="s">
        <v>564</v>
      </c>
      <c r="C355" s="54" t="str">
        <f>FORMULACION!C335</f>
        <v>LENCERIA</v>
      </c>
      <c r="D355" s="54" t="str">
        <f>FORMULACION!D335</f>
        <v>LENCERIA</v>
      </c>
      <c r="E355" s="56" t="s">
        <v>392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 x14ac:dyDescent="0.2">
      <c r="A356" s="54">
        <v>87</v>
      </c>
      <c r="B356" s="73" t="s">
        <v>564</v>
      </c>
      <c r="C356" s="54" t="str">
        <f>FORMULACION!C331</f>
        <v>LENCERIA</v>
      </c>
      <c r="D356" s="54" t="str">
        <f>FORMULACION!D331</f>
        <v>LENCERIA DE CAMA</v>
      </c>
      <c r="E356" s="56" t="s">
        <v>393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 x14ac:dyDescent="0.2">
      <c r="A357" s="54">
        <v>88</v>
      </c>
      <c r="B357" s="73" t="s">
        <v>564</v>
      </c>
      <c r="C357" s="54" t="str">
        <f>FORMULACION!C332</f>
        <v>LENCERIA</v>
      </c>
      <c r="D357" s="54" t="str">
        <f>FORMULACION!D332</f>
        <v>LENCERIA DE CAMA</v>
      </c>
      <c r="E357" s="56" t="s">
        <v>421</v>
      </c>
      <c r="F357" s="54">
        <v>0</v>
      </c>
      <c r="G357" s="61">
        <v>32000</v>
      </c>
      <c r="H357" s="57">
        <f t="shared" si="12"/>
        <v>0</v>
      </c>
    </row>
    <row r="358" spans="1:8" hidden="1" x14ac:dyDescent="0.2">
      <c r="A358" s="54">
        <v>89</v>
      </c>
      <c r="B358" s="73" t="s">
        <v>564</v>
      </c>
      <c r="C358" s="54" t="str">
        <f>FORMULACION!C334</f>
        <v>LENCERIA</v>
      </c>
      <c r="D358" s="54" t="str">
        <f>FORMULACION!D334</f>
        <v>LENCERIA DE CAMA</v>
      </c>
      <c r="E358" s="56" t="s">
        <v>501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 x14ac:dyDescent="0.2">
      <c r="A359" s="54">
        <v>90</v>
      </c>
      <c r="B359" s="73" t="s">
        <v>564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 x14ac:dyDescent="0.2">
      <c r="A360" s="54">
        <v>91</v>
      </c>
      <c r="B360" s="73" t="s">
        <v>564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270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 x14ac:dyDescent="0.2">
      <c r="A361" s="54">
        <v>92</v>
      </c>
      <c r="B361" s="73" t="s">
        <v>564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 x14ac:dyDescent="0.2">
      <c r="A362" s="54">
        <v>93</v>
      </c>
      <c r="B362" s="73" t="s">
        <v>564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 x14ac:dyDescent="0.2">
      <c r="A363" s="54">
        <v>94</v>
      </c>
      <c r="B363" s="73" t="s">
        <v>564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 x14ac:dyDescent="0.2">
      <c r="A364" s="54">
        <v>95</v>
      </c>
      <c r="B364" s="73" t="s">
        <v>564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 x14ac:dyDescent="0.2">
      <c r="A365" s="54">
        <v>96</v>
      </c>
      <c r="B365" s="73" t="s">
        <v>564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 x14ac:dyDescent="0.2">
      <c r="A366" s="54">
        <v>97</v>
      </c>
      <c r="B366" s="73" t="s">
        <v>564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 x14ac:dyDescent="0.2">
      <c r="A367" s="54">
        <v>98</v>
      </c>
      <c r="B367" s="73" t="s">
        <v>564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 x14ac:dyDescent="0.2">
      <c r="A368" s="54">
        <v>99</v>
      </c>
      <c r="B368" s="73" t="s">
        <v>564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394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 x14ac:dyDescent="0.2">
      <c r="A369" s="54">
        <v>100</v>
      </c>
      <c r="B369" s="73" t="s">
        <v>564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395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 x14ac:dyDescent="0.2">
      <c r="A370" s="54">
        <v>101</v>
      </c>
      <c r="B370" s="73" t="s">
        <v>564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396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 x14ac:dyDescent="0.2">
      <c r="A371" s="54">
        <v>102</v>
      </c>
      <c r="B371" s="73" t="s">
        <v>564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397</v>
      </c>
      <c r="F371" s="54"/>
      <c r="G371" s="57">
        <v>90000</v>
      </c>
      <c r="H371" s="57">
        <f t="shared" si="12"/>
        <v>0</v>
      </c>
    </row>
    <row r="372" spans="1:8" hidden="1" x14ac:dyDescent="0.2">
      <c r="A372" s="54">
        <v>103</v>
      </c>
      <c r="B372" s="73" t="s">
        <v>564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 x14ac:dyDescent="0.2">
      <c r="A373" s="54">
        <v>104</v>
      </c>
      <c r="B373" s="73" t="s">
        <v>564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 x14ac:dyDescent="0.2">
      <c r="A374" s="54">
        <v>105</v>
      </c>
      <c r="B374" s="73" t="s">
        <v>564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 x14ac:dyDescent="0.2">
      <c r="A375" s="54">
        <v>106</v>
      </c>
      <c r="B375" s="73" t="s">
        <v>564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 x14ac:dyDescent="0.2">
      <c r="A376" s="54">
        <v>107</v>
      </c>
      <c r="B376" s="73" t="s">
        <v>564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455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 x14ac:dyDescent="0.2">
      <c r="A377" s="54">
        <v>108</v>
      </c>
      <c r="B377" s="73" t="s">
        <v>564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 x14ac:dyDescent="0.2">
      <c r="A378" s="54">
        <v>109</v>
      </c>
      <c r="B378" s="73" t="s">
        <v>564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398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 x14ac:dyDescent="0.2">
      <c r="A379" s="54">
        <v>110</v>
      </c>
      <c r="B379" s="73" t="s">
        <v>564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399</v>
      </c>
      <c r="F379" s="54"/>
      <c r="G379" s="57">
        <v>23000</v>
      </c>
      <c r="H379" s="57">
        <f t="shared" si="13"/>
        <v>0</v>
      </c>
    </row>
    <row r="380" spans="1:8" hidden="1" x14ac:dyDescent="0.2">
      <c r="A380" s="54">
        <v>111</v>
      </c>
      <c r="B380" s="73" t="s">
        <v>564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 x14ac:dyDescent="0.2">
      <c r="A381" s="54">
        <v>112</v>
      </c>
      <c r="B381" s="73" t="s">
        <v>564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400</v>
      </c>
      <c r="F381" s="54"/>
      <c r="G381" s="57">
        <v>42000</v>
      </c>
      <c r="H381" s="57">
        <f t="shared" si="13"/>
        <v>0</v>
      </c>
    </row>
    <row r="382" spans="1:8" hidden="1" x14ac:dyDescent="0.2">
      <c r="A382" s="54">
        <v>113</v>
      </c>
      <c r="B382" s="73" t="s">
        <v>564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401</v>
      </c>
      <c r="F382" s="54"/>
      <c r="G382" s="57">
        <v>65800</v>
      </c>
      <c r="H382" s="57">
        <f t="shared" si="13"/>
        <v>0</v>
      </c>
    </row>
    <row r="383" spans="1:8" hidden="1" x14ac:dyDescent="0.2">
      <c r="A383" s="54">
        <v>114</v>
      </c>
      <c r="B383" s="73" t="s">
        <v>564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402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 x14ac:dyDescent="0.2">
      <c r="A384" s="54">
        <v>115</v>
      </c>
      <c r="B384" s="73" t="s">
        <v>564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403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 x14ac:dyDescent="0.2">
      <c r="A385" s="54">
        <v>116</v>
      </c>
      <c r="B385" s="73" t="s">
        <v>564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404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 x14ac:dyDescent="0.2">
      <c r="A386" s="54">
        <v>117</v>
      </c>
      <c r="B386" s="73" t="s">
        <v>564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405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 x14ac:dyDescent="0.2">
      <c r="A387" s="54">
        <v>118</v>
      </c>
      <c r="B387" s="73" t="s">
        <v>564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456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 x14ac:dyDescent="0.2">
      <c r="A388" s="54">
        <v>119</v>
      </c>
      <c r="B388" s="73" t="s">
        <v>564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534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 x14ac:dyDescent="0.2">
      <c r="A389" s="54">
        <v>120</v>
      </c>
      <c r="B389" s="73" t="s">
        <v>564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406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 x14ac:dyDescent="0.2">
      <c r="A390" s="54">
        <v>121</v>
      </c>
      <c r="B390" s="73" t="s">
        <v>564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279</v>
      </c>
      <c r="F390" s="54"/>
      <c r="G390" s="57">
        <v>11000</v>
      </c>
      <c r="H390" s="57">
        <f t="shared" si="13"/>
        <v>0</v>
      </c>
    </row>
    <row r="391" spans="1:8" hidden="1" x14ac:dyDescent="0.2">
      <c r="A391" s="54">
        <v>122</v>
      </c>
      <c r="B391" s="73" t="s">
        <v>564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457</v>
      </c>
      <c r="F391" s="54"/>
      <c r="G391" s="57">
        <v>18000</v>
      </c>
      <c r="H391" s="57">
        <f t="shared" si="13"/>
        <v>0</v>
      </c>
    </row>
    <row r="392" spans="1:8" hidden="1" x14ac:dyDescent="0.2">
      <c r="A392" s="54">
        <v>123</v>
      </c>
      <c r="B392" s="73" t="s">
        <v>564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 x14ac:dyDescent="0.2">
      <c r="A393" s="54">
        <v>124</v>
      </c>
      <c r="B393" s="73" t="s">
        <v>564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407</v>
      </c>
      <c r="F393" s="54"/>
      <c r="G393" s="57">
        <v>25000</v>
      </c>
      <c r="H393" s="57">
        <f t="shared" si="13"/>
        <v>0</v>
      </c>
    </row>
    <row r="394" spans="1:8" hidden="1" x14ac:dyDescent="0.2">
      <c r="A394" s="54">
        <v>125</v>
      </c>
      <c r="B394" s="73" t="s">
        <v>564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408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 x14ac:dyDescent="0.2">
      <c r="A395" s="54">
        <v>126</v>
      </c>
      <c r="B395" s="73" t="s">
        <v>564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306</v>
      </c>
      <c r="F395" s="54"/>
      <c r="G395" s="57">
        <v>35000</v>
      </c>
      <c r="H395" s="57">
        <f t="shared" si="13"/>
        <v>0</v>
      </c>
    </row>
    <row r="396" spans="1:8" hidden="1" x14ac:dyDescent="0.2">
      <c r="A396" s="54">
        <v>127</v>
      </c>
      <c r="B396" s="73" t="s">
        <v>564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307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 x14ac:dyDescent="0.2">
      <c r="A397" s="54">
        <v>128</v>
      </c>
      <c r="B397" s="73" t="s">
        <v>564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536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 x14ac:dyDescent="0.2">
      <c r="A398" s="54">
        <v>129</v>
      </c>
      <c r="B398" s="73" t="s">
        <v>564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 x14ac:dyDescent="0.2">
      <c r="A399" s="54">
        <v>130</v>
      </c>
      <c r="B399" s="73" t="s">
        <v>564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 x14ac:dyDescent="0.2">
      <c r="A400" s="54">
        <v>132</v>
      </c>
      <c r="B400" s="73" t="s">
        <v>564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 x14ac:dyDescent="0.2">
      <c r="A401" s="54">
        <v>133</v>
      </c>
      <c r="B401" s="73" t="s">
        <v>564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 x14ac:dyDescent="0.2">
      <c r="A402" s="54">
        <v>135</v>
      </c>
      <c r="B402" s="73" t="s">
        <v>564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 x14ac:dyDescent="0.2">
      <c r="A403" s="54">
        <v>136</v>
      </c>
      <c r="B403" s="73" t="s">
        <v>564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467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 x14ac:dyDescent="0.2">
      <c r="A404" s="54">
        <v>137</v>
      </c>
      <c r="B404" s="73" t="s">
        <v>564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505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 x14ac:dyDescent="0.2">
      <c r="A405" s="54">
        <v>138</v>
      </c>
      <c r="B405" s="73" t="s">
        <v>564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 x14ac:dyDescent="0.2">
      <c r="A406" s="54">
        <v>139</v>
      </c>
      <c r="B406" s="73" t="s">
        <v>564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 x14ac:dyDescent="0.2">
      <c r="A407" s="54">
        <v>140</v>
      </c>
      <c r="B407" s="73" t="s">
        <v>564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543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 x14ac:dyDescent="0.2">
      <c r="A408" s="54">
        <v>141</v>
      </c>
      <c r="B408" s="73" t="s">
        <v>564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544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 x14ac:dyDescent="0.2">
      <c r="A409" s="54">
        <v>142</v>
      </c>
      <c r="B409" s="73" t="s">
        <v>564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 x14ac:dyDescent="0.2">
      <c r="A410" s="54">
        <v>143</v>
      </c>
      <c r="B410" s="73" t="s">
        <v>564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 x14ac:dyDescent="0.2">
      <c r="A411" s="54">
        <v>144</v>
      </c>
      <c r="B411" s="73" t="s">
        <v>564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 x14ac:dyDescent="0.2">
      <c r="A412" s="54">
        <v>145</v>
      </c>
      <c r="B412" s="73" t="s">
        <v>564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 x14ac:dyDescent="0.2">
      <c r="A413" s="54">
        <v>146</v>
      </c>
      <c r="B413" s="73" t="s">
        <v>564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 x14ac:dyDescent="0.2">
      <c r="A414" s="54">
        <v>147</v>
      </c>
      <c r="B414" s="73" t="s">
        <v>564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 x14ac:dyDescent="0.2">
      <c r="A415" s="54">
        <v>148</v>
      </c>
      <c r="B415" s="73" t="s">
        <v>564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 x14ac:dyDescent="0.2">
      <c r="A416" s="54">
        <v>149</v>
      </c>
      <c r="B416" s="73" t="s">
        <v>564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 x14ac:dyDescent="0.2">
      <c r="A417" s="54">
        <v>150</v>
      </c>
      <c r="B417" s="73" t="s">
        <v>564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 x14ac:dyDescent="0.2">
      <c r="A418" s="54">
        <v>151</v>
      </c>
      <c r="B418" s="73" t="s">
        <v>564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 x14ac:dyDescent="0.2">
      <c r="A419" s="54">
        <v>152</v>
      </c>
      <c r="B419" s="73" t="s">
        <v>564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 x14ac:dyDescent="0.2">
      <c r="A420" s="54">
        <v>153</v>
      </c>
      <c r="B420" s="73" t="s">
        <v>564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 x14ac:dyDescent="0.2">
      <c r="A421" s="54">
        <v>154</v>
      </c>
      <c r="B421" s="73" t="s">
        <v>564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 x14ac:dyDescent="0.2">
      <c r="A422" s="54">
        <v>155</v>
      </c>
      <c r="B422" s="73" t="s">
        <v>564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530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 x14ac:dyDescent="0.2">
      <c r="A423" s="54">
        <v>156</v>
      </c>
      <c r="B423" s="73" t="s">
        <v>564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531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 x14ac:dyDescent="0.2">
      <c r="A424" s="54">
        <v>157</v>
      </c>
      <c r="B424" s="73" t="s">
        <v>564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503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 x14ac:dyDescent="0.2">
      <c r="A425" s="54">
        <v>158</v>
      </c>
      <c r="B425" s="73" t="s">
        <v>564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411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 x14ac:dyDescent="0.2">
      <c r="A426" s="54">
        <v>159</v>
      </c>
      <c r="B426" s="73" t="s">
        <v>564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 x14ac:dyDescent="0.2">
      <c r="A427" s="54">
        <v>160</v>
      </c>
      <c r="B427" s="73" t="s">
        <v>564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508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 x14ac:dyDescent="0.2">
      <c r="A428" s="54">
        <v>161</v>
      </c>
      <c r="B428" s="73" t="s">
        <v>564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 x14ac:dyDescent="0.2">
      <c r="A429" s="54">
        <v>162</v>
      </c>
      <c r="B429" s="73" t="s">
        <v>564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 x14ac:dyDescent="0.2">
      <c r="A430" s="54">
        <v>163</v>
      </c>
      <c r="B430" s="73" t="s">
        <v>564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 x14ac:dyDescent="0.2">
      <c r="A431" s="54">
        <v>164</v>
      </c>
      <c r="B431" s="73" t="s">
        <v>564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 x14ac:dyDescent="0.2">
      <c r="A432" s="54">
        <v>165</v>
      </c>
      <c r="B432" s="73" t="s">
        <v>564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468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 x14ac:dyDescent="0.2">
      <c r="A433" s="54">
        <v>166</v>
      </c>
      <c r="B433" s="73" t="s">
        <v>564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409</v>
      </c>
      <c r="F433" s="54"/>
      <c r="G433" s="57">
        <v>24000</v>
      </c>
      <c r="H433" s="57">
        <f t="shared" si="13"/>
        <v>0</v>
      </c>
    </row>
    <row r="434" spans="1:8" hidden="1" x14ac:dyDescent="0.2">
      <c r="A434" s="54">
        <v>167</v>
      </c>
      <c r="B434" s="73" t="s">
        <v>564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410</v>
      </c>
      <c r="F434" s="54"/>
      <c r="G434" s="57">
        <v>100000</v>
      </c>
      <c r="H434" s="57">
        <f t="shared" si="13"/>
        <v>0</v>
      </c>
    </row>
    <row r="435" spans="1:8" hidden="1" x14ac:dyDescent="0.2">
      <c r="A435" s="54">
        <v>168</v>
      </c>
      <c r="B435" s="73" t="s">
        <v>564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 x14ac:dyDescent="0.2">
      <c r="A436" s="54">
        <v>169</v>
      </c>
      <c r="B436" s="73" t="s">
        <v>564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470</v>
      </c>
      <c r="F436" s="54"/>
      <c r="G436" s="57">
        <v>27000</v>
      </c>
      <c r="H436" s="57">
        <f t="shared" si="13"/>
        <v>0</v>
      </c>
    </row>
    <row r="437" spans="1:8" hidden="1" x14ac:dyDescent="0.2">
      <c r="A437" s="54">
        <v>170</v>
      </c>
      <c r="B437" s="73" t="s">
        <v>564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 x14ac:dyDescent="0.2">
      <c r="A438" s="54">
        <v>171</v>
      </c>
      <c r="B438" s="73" t="s">
        <v>564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 x14ac:dyDescent="0.2">
      <c r="A439" s="54">
        <v>172</v>
      </c>
      <c r="B439" s="73" t="s">
        <v>564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 x14ac:dyDescent="0.2">
      <c r="A440" s="54">
        <v>173</v>
      </c>
      <c r="B440" s="73" t="s">
        <v>564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473</v>
      </c>
      <c r="F440" s="54"/>
      <c r="G440" s="57">
        <v>270000</v>
      </c>
      <c r="H440" s="57">
        <f t="shared" si="14"/>
        <v>0</v>
      </c>
    </row>
    <row r="441" spans="1:8" hidden="1" x14ac:dyDescent="0.2">
      <c r="A441" s="54">
        <v>174</v>
      </c>
      <c r="B441" s="73" t="s">
        <v>564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 x14ac:dyDescent="0.2">
      <c r="A442" s="54">
        <v>175</v>
      </c>
      <c r="B442" s="73" t="s">
        <v>564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 x14ac:dyDescent="0.2">
      <c r="A443" s="54">
        <v>176</v>
      </c>
      <c r="B443" s="73" t="s">
        <v>564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 x14ac:dyDescent="0.2">
      <c r="A444" s="54">
        <v>177</v>
      </c>
      <c r="B444" s="73" t="s">
        <v>564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 x14ac:dyDescent="0.2">
      <c r="A445" s="54">
        <v>178</v>
      </c>
      <c r="B445" s="73" t="s">
        <v>564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 x14ac:dyDescent="0.2">
      <c r="A446" s="54">
        <v>179</v>
      </c>
      <c r="B446" s="73" t="s">
        <v>564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 x14ac:dyDescent="0.2">
      <c r="A447" s="54">
        <v>180</v>
      </c>
      <c r="B447" s="73" t="s">
        <v>564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 x14ac:dyDescent="0.2">
      <c r="A448" s="54">
        <v>181</v>
      </c>
      <c r="B448" s="73" t="s">
        <v>564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 x14ac:dyDescent="0.2">
      <c r="A449" s="54">
        <v>182</v>
      </c>
      <c r="B449" s="73" t="s">
        <v>564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 x14ac:dyDescent="0.2">
      <c r="A450" s="54">
        <v>183</v>
      </c>
      <c r="B450" s="73" t="s">
        <v>564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524</v>
      </c>
      <c r="F450" s="54"/>
      <c r="G450" s="57">
        <v>32000</v>
      </c>
      <c r="H450" s="57">
        <f t="shared" si="14"/>
        <v>0</v>
      </c>
    </row>
    <row r="451" spans="1:8" hidden="1" x14ac:dyDescent="0.2">
      <c r="A451" s="54">
        <v>184</v>
      </c>
      <c r="B451" s="73" t="s">
        <v>564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 x14ac:dyDescent="0.2">
      <c r="A452" s="54">
        <v>185</v>
      </c>
      <c r="B452" s="73" t="s">
        <v>564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412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 x14ac:dyDescent="0.2">
      <c r="A453" s="54">
        <v>186</v>
      </c>
      <c r="B453" s="73" t="s">
        <v>564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502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 x14ac:dyDescent="0.2">
      <c r="A454" s="54">
        <v>187</v>
      </c>
      <c r="B454" s="73" t="s">
        <v>564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460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 x14ac:dyDescent="0.2">
      <c r="A455" s="54">
        <v>188</v>
      </c>
      <c r="B455" s="73" t="s">
        <v>564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413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 x14ac:dyDescent="0.2">
      <c r="A456" s="54">
        <v>189</v>
      </c>
      <c r="B456" s="73" t="s">
        <v>564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 x14ac:dyDescent="0.2">
      <c r="A457" s="54">
        <v>190</v>
      </c>
      <c r="B457" s="73" t="s">
        <v>564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 x14ac:dyDescent="0.2">
      <c r="A458" s="54">
        <v>191</v>
      </c>
      <c r="B458" s="73" t="s">
        <v>564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465</v>
      </c>
      <c r="F458" s="54"/>
      <c r="G458" s="57">
        <v>79500</v>
      </c>
      <c r="H458" s="57">
        <f t="shared" si="14"/>
        <v>0</v>
      </c>
    </row>
    <row r="459" spans="1:8" hidden="1" x14ac:dyDescent="0.2">
      <c r="A459" s="54">
        <v>192</v>
      </c>
      <c r="B459" s="73" t="s">
        <v>564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 x14ac:dyDescent="0.2">
      <c r="A460" s="54">
        <v>193</v>
      </c>
      <c r="B460" s="73" t="s">
        <v>564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466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 x14ac:dyDescent="0.2">
      <c r="A461" s="54">
        <v>194</v>
      </c>
      <c r="B461" s="73" t="s">
        <v>564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469</v>
      </c>
      <c r="F461" s="65">
        <f>FORMULACION!P478</f>
        <v>0</v>
      </c>
      <c r="G461" s="57"/>
      <c r="H461" s="57"/>
    </row>
    <row r="462" spans="1:8" hidden="1" x14ac:dyDescent="0.2">
      <c r="A462" s="54">
        <v>195</v>
      </c>
      <c r="B462" s="73" t="s">
        <v>564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 x14ac:dyDescent="0.2">
      <c r="A463" s="54">
        <v>196</v>
      </c>
      <c r="B463" s="73" t="s">
        <v>564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 x14ac:dyDescent="0.2">
      <c r="A464" s="54">
        <v>197</v>
      </c>
      <c r="B464" s="73" t="s">
        <v>564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 x14ac:dyDescent="0.2">
      <c r="A465" s="54">
        <v>198</v>
      </c>
      <c r="B465" s="73" t="s">
        <v>564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 x14ac:dyDescent="0.2">
      <c r="A466" s="54">
        <v>199</v>
      </c>
      <c r="B466" s="73" t="s">
        <v>564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 x14ac:dyDescent="0.2">
      <c r="A467" s="54">
        <v>200</v>
      </c>
      <c r="B467" s="73" t="s">
        <v>564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 x14ac:dyDescent="0.2">
      <c r="A468" s="54">
        <v>201</v>
      </c>
      <c r="B468" s="73" t="s">
        <v>564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 x14ac:dyDescent="0.2">
      <c r="A469" s="54">
        <v>202</v>
      </c>
      <c r="B469" s="73" t="s">
        <v>564</v>
      </c>
      <c r="C469" s="54" t="str">
        <f>FORMULACION!C403</f>
        <v>MATERIAL PEDAGÓGICO</v>
      </c>
      <c r="D469" s="78"/>
      <c r="E469" s="64" t="s">
        <v>479</v>
      </c>
      <c r="F469" s="54"/>
      <c r="G469" s="57"/>
      <c r="H469" s="57"/>
    </row>
    <row r="470" spans="1:8" hidden="1" x14ac:dyDescent="0.2">
      <c r="A470" s="54">
        <v>203</v>
      </c>
      <c r="B470" s="73" t="s">
        <v>564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414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 x14ac:dyDescent="0.2">
      <c r="A471" s="54">
        <v>204</v>
      </c>
      <c r="B471" s="73" t="s">
        <v>564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6</v>
      </c>
      <c r="G471" s="57">
        <v>220000</v>
      </c>
      <c r="H471" s="57">
        <f t="shared" si="15"/>
        <v>1320000</v>
      </c>
    </row>
    <row r="472" spans="1:8" hidden="1" x14ac:dyDescent="0.2">
      <c r="A472" s="54">
        <v>205</v>
      </c>
      <c r="B472" s="73" t="s">
        <v>564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 x14ac:dyDescent="0.2">
      <c r="A473" s="54">
        <v>206</v>
      </c>
      <c r="B473" s="73" t="s">
        <v>564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527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 x14ac:dyDescent="0.2">
      <c r="A474" s="54">
        <v>207</v>
      </c>
      <c r="B474" s="73" t="s">
        <v>564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 x14ac:dyDescent="0.2">
      <c r="A475" s="54">
        <v>208</v>
      </c>
      <c r="B475" s="73" t="s">
        <v>564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 x14ac:dyDescent="0.2">
      <c r="A476" s="54">
        <v>209</v>
      </c>
      <c r="B476" s="73" t="s">
        <v>564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 x14ac:dyDescent="0.2">
      <c r="A477" s="54">
        <v>210</v>
      </c>
      <c r="B477" s="73" t="s">
        <v>564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529</v>
      </c>
      <c r="F477" s="54"/>
      <c r="G477" s="57">
        <v>430000</v>
      </c>
      <c r="H477" s="57">
        <f t="shared" si="15"/>
        <v>0</v>
      </c>
    </row>
    <row r="478" spans="1:8" hidden="1" x14ac:dyDescent="0.2">
      <c r="A478" s="54">
        <v>211</v>
      </c>
      <c r="B478" s="73" t="s">
        <v>564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18.75" hidden="1" x14ac:dyDescent="0.2">
      <c r="A479" s="54">
        <v>212</v>
      </c>
      <c r="B479" s="73" t="s">
        <v>564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 x14ac:dyDescent="0.2">
      <c r="A480" s="54">
        <v>213</v>
      </c>
      <c r="B480" s="73" t="s">
        <v>564</v>
      </c>
      <c r="C480" s="54" t="str">
        <f>FORMULACION!C350</f>
        <v>MOBILIARIO</v>
      </c>
      <c r="D480" s="54" t="str">
        <f>FORMULACION!D350</f>
        <v>MOBILIARIO COCINA</v>
      </c>
      <c r="E480" s="56" t="s">
        <v>545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 x14ac:dyDescent="0.2">
      <c r="A481" s="54">
        <v>214</v>
      </c>
      <c r="B481" s="73" t="s">
        <v>564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 x14ac:dyDescent="0.2">
      <c r="A482" s="54">
        <v>215</v>
      </c>
      <c r="B482" s="73" t="s">
        <v>564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 x14ac:dyDescent="0.2">
      <c r="A483" s="54">
        <v>216</v>
      </c>
      <c r="B483" s="73" t="s">
        <v>564</v>
      </c>
      <c r="C483" s="54" t="str">
        <f>FORMULACION!C349</f>
        <v>MOBILIARIO</v>
      </c>
      <c r="D483" s="54" t="str">
        <f>FORMULACION!D349</f>
        <v>MOBILIARIO COCINA</v>
      </c>
      <c r="E483" s="56" t="s">
        <v>547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 x14ac:dyDescent="0.2">
      <c r="A484" s="54">
        <v>217</v>
      </c>
      <c r="B484" s="73" t="s">
        <v>564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 x14ac:dyDescent="0.2">
      <c r="A485" s="54">
        <v>218</v>
      </c>
      <c r="B485" s="73" t="s">
        <v>564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 x14ac:dyDescent="0.2">
      <c r="A486" s="54">
        <v>219</v>
      </c>
      <c r="B486" s="73" t="s">
        <v>564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 x14ac:dyDescent="0.2">
      <c r="A487" s="54">
        <v>220</v>
      </c>
      <c r="B487" s="73" t="s">
        <v>564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 x14ac:dyDescent="0.2">
      <c r="A488" s="54">
        <v>221</v>
      </c>
      <c r="B488" s="73" t="s">
        <v>564</v>
      </c>
      <c r="C488" s="54" t="str">
        <f>FORMULACION!C356</f>
        <v>MOBILIARIO</v>
      </c>
      <c r="D488" s="54" t="str">
        <f>FORMULACION!D356</f>
        <v>MOBILIARIO ENFERMERIA</v>
      </c>
      <c r="E488" s="56" t="s">
        <v>463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 x14ac:dyDescent="0.2">
      <c r="A489" s="54">
        <v>222</v>
      </c>
      <c r="B489" s="73" t="s">
        <v>564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 x14ac:dyDescent="0.2">
      <c r="A490" s="54">
        <v>223</v>
      </c>
      <c r="B490" s="73" t="s">
        <v>564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 x14ac:dyDescent="0.2">
      <c r="A491" s="54">
        <v>224</v>
      </c>
      <c r="B491" s="73" t="s">
        <v>564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 x14ac:dyDescent="0.2">
      <c r="A492" s="54">
        <v>225</v>
      </c>
      <c r="B492" s="73" t="s">
        <v>564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 x14ac:dyDescent="0.2">
      <c r="A493" s="54">
        <v>226</v>
      </c>
      <c r="B493" s="73" t="s">
        <v>564</v>
      </c>
      <c r="C493" s="54" t="str">
        <f>FORMULACION!C363</f>
        <v>MOBILIARIO</v>
      </c>
      <c r="D493" s="54" t="str">
        <f>FORMULACION!D363</f>
        <v>MOBILIARIO OFICINA</v>
      </c>
      <c r="E493" s="56" t="s">
        <v>517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 x14ac:dyDescent="0.2">
      <c r="A494" s="54">
        <v>227</v>
      </c>
      <c r="B494" s="73" t="s">
        <v>564</v>
      </c>
      <c r="C494" s="54" t="str">
        <f>FORMULACION!C364</f>
        <v>MOBILIARIO</v>
      </c>
      <c r="D494" s="54" t="str">
        <f>FORMULACION!D364</f>
        <v>MOBILIARIO OFICINA</v>
      </c>
      <c r="E494" s="56" t="s">
        <v>518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 x14ac:dyDescent="0.2">
      <c r="A495" s="54">
        <v>228</v>
      </c>
      <c r="B495" s="73" t="s">
        <v>564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 x14ac:dyDescent="0.2">
      <c r="A496" s="54">
        <v>229</v>
      </c>
      <c r="B496" s="73" t="s">
        <v>564</v>
      </c>
      <c r="C496" s="54" t="str">
        <f>FORMULACION!C365</f>
        <v>MOBILIARIO</v>
      </c>
      <c r="D496" s="54" t="str">
        <f>FORMULACION!D365</f>
        <v>MOBILIARIO OFICINA</v>
      </c>
      <c r="E496" s="56" t="s">
        <v>521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 x14ac:dyDescent="0.2">
      <c r="A497" s="54">
        <v>230</v>
      </c>
      <c r="B497" s="73" t="s">
        <v>564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522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 x14ac:dyDescent="0.2">
      <c r="A498" s="54">
        <v>231</v>
      </c>
      <c r="B498" s="73" t="s">
        <v>564</v>
      </c>
      <c r="C498" s="54" t="str">
        <f>FORMULACION!C360</f>
        <v>MOBILIARIO</v>
      </c>
      <c r="D498" s="54" t="str">
        <f>FORMULACION!D360</f>
        <v>MOBILIARIO LACTARIO</v>
      </c>
      <c r="E498" s="56" t="s">
        <v>523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 x14ac:dyDescent="0.2">
      <c r="A499" s="54">
        <v>232</v>
      </c>
      <c r="B499" s="73" t="s">
        <v>564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 x14ac:dyDescent="0.2">
      <c r="A500" s="54">
        <v>233</v>
      </c>
      <c r="B500" s="73" t="s">
        <v>564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 x14ac:dyDescent="0.2">
      <c r="A501" s="54">
        <v>234</v>
      </c>
      <c r="B501" s="73" t="s">
        <v>564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480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 x14ac:dyDescent="0.2">
      <c r="A502" s="54">
        <v>235</v>
      </c>
      <c r="B502" s="73" t="s">
        <v>564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546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 x14ac:dyDescent="0.2">
      <c r="A503" s="54">
        <v>236</v>
      </c>
      <c r="B503" s="73" t="s">
        <v>564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 x14ac:dyDescent="0.2">
      <c r="A504" s="54">
        <v>237</v>
      </c>
      <c r="B504" s="73" t="s">
        <v>564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548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 x14ac:dyDescent="0.2">
      <c r="A505" s="54">
        <v>238</v>
      </c>
      <c r="B505" s="73" t="s">
        <v>564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481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 x14ac:dyDescent="0.2">
      <c r="A506" s="54">
        <v>239</v>
      </c>
      <c r="B506" s="73" t="s">
        <v>564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482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 x14ac:dyDescent="0.2">
      <c r="A507" s="54">
        <v>240</v>
      </c>
      <c r="B507" s="73" t="s">
        <v>564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484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 x14ac:dyDescent="0.2">
      <c r="A508" s="54">
        <v>241</v>
      </c>
      <c r="B508" s="73" t="s">
        <v>564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533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 x14ac:dyDescent="0.2">
      <c r="A509" s="54">
        <v>1</v>
      </c>
      <c r="B509" s="74" t="s">
        <v>565</v>
      </c>
      <c r="C509" s="54" t="str">
        <f>FORMULACION!C487</f>
        <v>ASEO</v>
      </c>
      <c r="D509" s="54" t="str">
        <f>FORMULACION!D487</f>
        <v>LIMPIEZA Y DESINFECCION</v>
      </c>
      <c r="E509" s="56" t="s">
        <v>485</v>
      </c>
      <c r="F509" s="54">
        <v>1</v>
      </c>
      <c r="G509" s="57">
        <v>19000</v>
      </c>
      <c r="H509" s="57">
        <f t="shared" si="15"/>
        <v>19000</v>
      </c>
    </row>
    <row r="510" spans="1:8" hidden="1" x14ac:dyDescent="0.2">
      <c r="A510" s="54">
        <v>2</v>
      </c>
      <c r="B510" s="74" t="s">
        <v>565</v>
      </c>
      <c r="C510" s="54" t="str">
        <f>FORMULACION!C488</f>
        <v>ASEO</v>
      </c>
      <c r="D510" s="54" t="str">
        <f>FORMULACION!D488</f>
        <v>LIMPIEZA Y DESINFECCION</v>
      </c>
      <c r="E510" s="56" t="s">
        <v>486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 x14ac:dyDescent="0.2">
      <c r="A511" s="54">
        <v>3</v>
      </c>
      <c r="B511" s="74" t="s">
        <v>566</v>
      </c>
      <c r="C511" s="54" t="str">
        <f>FORMULACION!C489</f>
        <v>ASEO</v>
      </c>
      <c r="D511" s="54" t="str">
        <f>FORMULACION!D489</f>
        <v>LIMPIEZA Y DESINFECCION</v>
      </c>
      <c r="E511" s="56" t="s">
        <v>487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 x14ac:dyDescent="0.2">
      <c r="A512" s="54">
        <v>4</v>
      </c>
      <c r="B512" s="74" t="s">
        <v>566</v>
      </c>
      <c r="C512" s="54" t="s">
        <v>16</v>
      </c>
      <c r="D512" s="54" t="s">
        <v>20</v>
      </c>
      <c r="E512" s="56" t="s">
        <v>433</v>
      </c>
      <c r="F512" s="55"/>
      <c r="G512" s="57"/>
      <c r="H512" s="57"/>
    </row>
    <row r="513" spans="1:8" hidden="1" x14ac:dyDescent="0.2">
      <c r="A513" s="54">
        <v>5</v>
      </c>
      <c r="B513" s="74" t="s">
        <v>566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 x14ac:dyDescent="0.2">
      <c r="A514" s="54">
        <v>6</v>
      </c>
      <c r="B514" s="74" t="s">
        <v>566</v>
      </c>
      <c r="C514" s="54" t="str">
        <f>FORMULACION!C493</f>
        <v>ASEO</v>
      </c>
      <c r="D514" s="54" t="str">
        <f>FORMULACION!D493</f>
        <v>MANEJO DE RESIDUOS</v>
      </c>
      <c r="E514" s="58" t="s">
        <v>439</v>
      </c>
      <c r="F514" s="55">
        <v>1</v>
      </c>
      <c r="G514" s="57">
        <v>50000</v>
      </c>
      <c r="H514" s="57">
        <f t="shared" si="16"/>
        <v>50000</v>
      </c>
    </row>
    <row r="515" spans="1:8" hidden="1" x14ac:dyDescent="0.2">
      <c r="A515" s="54">
        <v>7</v>
      </c>
      <c r="B515" s="74" t="s">
        <v>566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 x14ac:dyDescent="0.2">
      <c r="A516" s="54">
        <v>8</v>
      </c>
      <c r="B516" s="74" t="s">
        <v>566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 x14ac:dyDescent="0.2">
      <c r="A517" s="54">
        <v>9</v>
      </c>
      <c r="B517" s="74" t="s">
        <v>566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 x14ac:dyDescent="0.2">
      <c r="A518" s="54">
        <v>10</v>
      </c>
      <c r="B518" s="74" t="s">
        <v>566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 x14ac:dyDescent="0.2">
      <c r="A519" s="54">
        <v>11</v>
      </c>
      <c r="B519" s="74" t="s">
        <v>566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 x14ac:dyDescent="0.2">
      <c r="A520" s="54">
        <v>12</v>
      </c>
      <c r="B520" s="74" t="s">
        <v>566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 x14ac:dyDescent="0.2">
      <c r="A521" s="54">
        <v>13</v>
      </c>
      <c r="B521" s="74" t="s">
        <v>566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 x14ac:dyDescent="0.2">
      <c r="A522" s="54">
        <v>14</v>
      </c>
      <c r="B522" s="74" t="s">
        <v>566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 x14ac:dyDescent="0.2">
      <c r="A523" s="54">
        <v>15</v>
      </c>
      <c r="B523" s="74" t="s">
        <v>566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 x14ac:dyDescent="0.2">
      <c r="A524" s="54">
        <v>16</v>
      </c>
      <c r="B524" s="74" t="s">
        <v>566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0</v>
      </c>
      <c r="G524" s="57">
        <v>95000</v>
      </c>
      <c r="H524" s="57">
        <f t="shared" si="16"/>
        <v>0</v>
      </c>
    </row>
    <row r="525" spans="1:8" hidden="1" x14ac:dyDescent="0.2">
      <c r="A525" s="54">
        <v>17</v>
      </c>
      <c r="B525" s="74" t="s">
        <v>566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 x14ac:dyDescent="0.2">
      <c r="A526" s="54">
        <v>18</v>
      </c>
      <c r="B526" s="74" t="s">
        <v>566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 x14ac:dyDescent="0.2">
      <c r="A527" s="54">
        <v>19</v>
      </c>
      <c r="B527" s="74" t="s">
        <v>566</v>
      </c>
      <c r="C527" s="54" t="str">
        <f>FORMULACION!C519</f>
        <v>COCINA</v>
      </c>
      <c r="D527" s="54" t="str">
        <f>FORMULACION!E519</f>
        <v>BATERIA DE COCINA</v>
      </c>
      <c r="E527" s="58" t="s">
        <v>438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 x14ac:dyDescent="0.2">
      <c r="A528" s="54">
        <v>20</v>
      </c>
      <c r="B528" s="74" t="s">
        <v>566</v>
      </c>
      <c r="C528" s="54" t="str">
        <f>FORMULACION!C520</f>
        <v>COCINA</v>
      </c>
      <c r="D528" s="54" t="str">
        <f>FORMULACION!E520</f>
        <v>CUBERTERIA</v>
      </c>
      <c r="E528" s="56" t="s">
        <v>434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 x14ac:dyDescent="0.2">
      <c r="A529" s="54">
        <v>21</v>
      </c>
      <c r="B529" s="74" t="s">
        <v>566</v>
      </c>
      <c r="C529" s="54" t="str">
        <f>FORMULACION!C523</f>
        <v>COCINA</v>
      </c>
      <c r="D529" s="54" t="str">
        <f>FORMULACION!E523</f>
        <v>CUBERTERIA</v>
      </c>
      <c r="E529" s="56" t="s">
        <v>435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 x14ac:dyDescent="0.2">
      <c r="A530" s="54">
        <v>22</v>
      </c>
      <c r="B530" s="74" t="s">
        <v>566</v>
      </c>
      <c r="C530" s="54" t="str">
        <f>FORMULACION!C525</f>
        <v>COCINA</v>
      </c>
      <c r="D530" s="54" t="s">
        <v>41</v>
      </c>
      <c r="E530" s="59" t="s">
        <v>436</v>
      </c>
      <c r="F530" s="55">
        <v>1</v>
      </c>
      <c r="G530" s="57"/>
      <c r="H530" s="57"/>
    </row>
    <row r="531" spans="1:8" hidden="1" x14ac:dyDescent="0.2">
      <c r="A531" s="54">
        <v>23</v>
      </c>
      <c r="B531" s="74" t="s">
        <v>566</v>
      </c>
      <c r="C531" s="54" t="str">
        <f>FORMULACION!C525</f>
        <v>COCINA</v>
      </c>
      <c r="D531" s="54" t="str">
        <f>FORMULACION!E525</f>
        <v>RECIPIENTES</v>
      </c>
      <c r="E531" s="60" t="s">
        <v>437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 x14ac:dyDescent="0.2">
      <c r="A532" s="54">
        <v>24</v>
      </c>
      <c r="B532" s="74" t="s">
        <v>566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 x14ac:dyDescent="0.2">
      <c r="A533" s="54">
        <v>25</v>
      </c>
      <c r="B533" s="74" t="s">
        <v>566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 x14ac:dyDescent="0.2">
      <c r="A534" s="54">
        <v>26</v>
      </c>
      <c r="B534" s="74" t="s">
        <v>566</v>
      </c>
      <c r="C534" s="54" t="s">
        <v>22</v>
      </c>
      <c r="D534" s="54" t="s">
        <v>443</v>
      </c>
      <c r="E534" s="56" t="s">
        <v>492</v>
      </c>
      <c r="F534" s="54">
        <v>0</v>
      </c>
      <c r="G534" s="57">
        <v>40000</v>
      </c>
      <c r="H534" s="57">
        <f t="shared" si="17"/>
        <v>0</v>
      </c>
    </row>
    <row r="535" spans="1:8" hidden="1" x14ac:dyDescent="0.2">
      <c r="A535" s="54">
        <v>27</v>
      </c>
      <c r="B535" s="74" t="s">
        <v>566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 x14ac:dyDescent="0.2">
      <c r="A536" s="54">
        <v>28</v>
      </c>
      <c r="B536" s="74" t="s">
        <v>566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 x14ac:dyDescent="0.2">
      <c r="A537" s="54">
        <v>29</v>
      </c>
      <c r="B537" s="74" t="s">
        <v>566</v>
      </c>
      <c r="C537" s="54" t="str">
        <f>FORMULACION!C500</f>
        <v>COCINA</v>
      </c>
      <c r="D537" s="54" t="str">
        <f>FORMULACION!E500</f>
        <v>EQUIPOS DE CONSERVACION</v>
      </c>
      <c r="E537" s="56" t="s">
        <v>440</v>
      </c>
      <c r="F537" s="54">
        <f>FORMULACION!P500</f>
        <v>0</v>
      </c>
      <c r="G537" s="57">
        <v>2300000</v>
      </c>
      <c r="H537" s="57">
        <f t="shared" si="17"/>
        <v>0</v>
      </c>
    </row>
    <row r="538" spans="1:8" hidden="1" x14ac:dyDescent="0.2">
      <c r="A538" s="54">
        <v>30</v>
      </c>
      <c r="B538" s="74" t="s">
        <v>566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 x14ac:dyDescent="0.2">
      <c r="A539" s="54">
        <v>31</v>
      </c>
      <c r="B539" s="74" t="s">
        <v>566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 x14ac:dyDescent="0.2">
      <c r="A540" s="54">
        <v>32</v>
      </c>
      <c r="B540" s="74" t="s">
        <v>566</v>
      </c>
      <c r="C540" s="54" t="str">
        <f>FORMULACION!C501</f>
        <v>COCINA</v>
      </c>
      <c r="D540" s="54" t="str">
        <f>FORMULACION!E501</f>
        <v>EQUIPOS DE MEDICION</v>
      </c>
      <c r="E540" s="56" t="s">
        <v>441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 x14ac:dyDescent="0.2">
      <c r="A541" s="54">
        <v>33</v>
      </c>
      <c r="B541" s="74" t="s">
        <v>566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 x14ac:dyDescent="0.2">
      <c r="A542" s="54">
        <v>34</v>
      </c>
      <c r="B542" s="74" t="s">
        <v>566</v>
      </c>
      <c r="C542" s="54" t="str">
        <f>FORMULACION!C505</f>
        <v>COCINA</v>
      </c>
      <c r="D542" s="54" t="str">
        <f>FORMULACION!E505</f>
        <v>EQUIPOS DE PROCESAMIENTO</v>
      </c>
      <c r="E542" s="56" t="s">
        <v>442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 x14ac:dyDescent="0.2">
      <c r="A543" s="54">
        <v>35</v>
      </c>
      <c r="B543" s="74" t="s">
        <v>566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 x14ac:dyDescent="0.2">
      <c r="A544" s="54">
        <v>36</v>
      </c>
      <c r="B544" s="74" t="s">
        <v>566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0</v>
      </c>
      <c r="G544" s="57">
        <v>3000000</v>
      </c>
      <c r="H544" s="57">
        <f t="shared" si="17"/>
        <v>0</v>
      </c>
    </row>
    <row r="545" spans="1:8" hidden="1" x14ac:dyDescent="0.2">
      <c r="A545" s="54">
        <v>37</v>
      </c>
      <c r="B545" s="74" t="s">
        <v>566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 x14ac:dyDescent="0.2">
      <c r="A546" s="54">
        <v>38</v>
      </c>
      <c r="B546" s="74" t="s">
        <v>566</v>
      </c>
      <c r="C546" s="54" t="str">
        <f>FORMULACION!C506</f>
        <v>COCINA</v>
      </c>
      <c r="D546" s="54" t="str">
        <f>FORMULACION!E506</f>
        <v>EQUIPOS DE PROCESAMIENTO</v>
      </c>
      <c r="E546" s="56" t="s">
        <v>495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 x14ac:dyDescent="0.2">
      <c r="A547" s="54">
        <v>39</v>
      </c>
      <c r="B547" s="74" t="s">
        <v>566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 x14ac:dyDescent="0.2">
      <c r="A548" s="54">
        <v>40</v>
      </c>
      <c r="B548" s="74" t="s">
        <v>566</v>
      </c>
      <c r="C548" s="54" t="str">
        <f>FORMULACION!C530</f>
        <v>COCINA</v>
      </c>
      <c r="D548" s="54" t="str">
        <f>FORMULACION!E530</f>
        <v>RECIPIENTES</v>
      </c>
      <c r="E548" s="56" t="s">
        <v>444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 x14ac:dyDescent="0.2">
      <c r="A549" s="54">
        <v>41</v>
      </c>
      <c r="B549" s="74" t="s">
        <v>566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 x14ac:dyDescent="0.2">
      <c r="A550" s="54">
        <v>42</v>
      </c>
      <c r="B550" s="74" t="s">
        <v>566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 x14ac:dyDescent="0.2">
      <c r="A551" s="54">
        <v>43</v>
      </c>
      <c r="B551" s="74" t="s">
        <v>566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 x14ac:dyDescent="0.2">
      <c r="A552" s="54">
        <v>44</v>
      </c>
      <c r="B552" s="74" t="s">
        <v>566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 x14ac:dyDescent="0.2">
      <c r="A553" s="54">
        <v>45</v>
      </c>
      <c r="B553" s="74" t="s">
        <v>566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 x14ac:dyDescent="0.2">
      <c r="A554" s="54">
        <v>46</v>
      </c>
      <c r="B554" s="74" t="s">
        <v>566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 x14ac:dyDescent="0.2">
      <c r="A555" s="54">
        <v>47</v>
      </c>
      <c r="B555" s="74" t="s">
        <v>566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60</v>
      </c>
      <c r="G555" s="57">
        <v>17000</v>
      </c>
      <c r="H555" s="57">
        <f t="shared" si="17"/>
        <v>1020000</v>
      </c>
    </row>
    <row r="556" spans="1:8" hidden="1" x14ac:dyDescent="0.2">
      <c r="A556" s="54">
        <v>48</v>
      </c>
      <c r="B556" s="74" t="s">
        <v>566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 x14ac:dyDescent="0.2">
      <c r="A557" s="54">
        <v>49</v>
      </c>
      <c r="B557" s="74" t="s">
        <v>566</v>
      </c>
      <c r="C557" s="54" t="str">
        <f>FORMULACION!C536</f>
        <v>COCINA</v>
      </c>
      <c r="D557" s="54" t="str">
        <f>FORMULACION!E536</f>
        <v>UTENSILIOS</v>
      </c>
      <c r="E557" s="56" t="s">
        <v>445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 x14ac:dyDescent="0.2">
      <c r="A558" s="54">
        <v>50</v>
      </c>
      <c r="B558" s="74" t="s">
        <v>566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 x14ac:dyDescent="0.2">
      <c r="A559" s="54">
        <v>51</v>
      </c>
      <c r="B559" s="74" t="s">
        <v>566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 x14ac:dyDescent="0.2">
      <c r="A560" s="54">
        <v>52</v>
      </c>
      <c r="B560" s="74" t="s">
        <v>566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 x14ac:dyDescent="0.2">
      <c r="A561" s="54">
        <v>53</v>
      </c>
      <c r="B561" s="74" t="s">
        <v>566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 x14ac:dyDescent="0.2">
      <c r="A562" s="54">
        <v>54</v>
      </c>
      <c r="B562" s="74" t="s">
        <v>566</v>
      </c>
      <c r="C562" s="54" t="str">
        <f>FORMULACION!C542</f>
        <v>COCINA</v>
      </c>
      <c r="D562" s="54" t="str">
        <f>FORMULACION!E542</f>
        <v>UTENSILIOS</v>
      </c>
      <c r="E562" s="58" t="s">
        <v>488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 x14ac:dyDescent="0.2">
      <c r="A563" s="54">
        <v>55</v>
      </c>
      <c r="B563" s="74" t="s">
        <v>566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 x14ac:dyDescent="0.2">
      <c r="A564" s="54">
        <v>56</v>
      </c>
      <c r="B564" s="74" t="s">
        <v>566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 x14ac:dyDescent="0.2">
      <c r="A565" s="54">
        <v>57</v>
      </c>
      <c r="B565" s="74" t="s">
        <v>566</v>
      </c>
      <c r="C565" s="54" t="str">
        <f>FORMULACION!C535</f>
        <v>COCINA</v>
      </c>
      <c r="D565" s="54" t="str">
        <f>FORMULACION!E535</f>
        <v>UTENSILIOS</v>
      </c>
      <c r="E565" s="58" t="s">
        <v>446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 x14ac:dyDescent="0.2">
      <c r="A566" s="54">
        <v>58</v>
      </c>
      <c r="B566" s="74" t="s">
        <v>566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 x14ac:dyDescent="0.2">
      <c r="A567" s="54">
        <v>58</v>
      </c>
      <c r="B567" s="74" t="s">
        <v>566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0</v>
      </c>
      <c r="G567" s="57">
        <v>19000</v>
      </c>
      <c r="H567" s="57">
        <f t="shared" si="17"/>
        <v>0</v>
      </c>
    </row>
    <row r="568" spans="1:8" hidden="1" x14ac:dyDescent="0.2">
      <c r="A568" s="54">
        <v>60</v>
      </c>
      <c r="B568" s="74" t="s">
        <v>566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 x14ac:dyDescent="0.2">
      <c r="A569" s="54">
        <v>61</v>
      </c>
      <c r="B569" s="74" t="s">
        <v>566</v>
      </c>
      <c r="C569" s="54" t="str">
        <f>FORMULACION!C549</f>
        <v>COCINA</v>
      </c>
      <c r="D569" s="54" t="str">
        <f>FORMULACION!E549</f>
        <v>UTENSILIOS</v>
      </c>
      <c r="E569" s="56" t="s">
        <v>498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 x14ac:dyDescent="0.2">
      <c r="A570" s="54">
        <v>62</v>
      </c>
      <c r="B570" s="74" t="s">
        <v>566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 x14ac:dyDescent="0.2">
      <c r="A571" s="54">
        <v>63</v>
      </c>
      <c r="B571" s="74" t="s">
        <v>566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 x14ac:dyDescent="0.2">
      <c r="A572" s="54">
        <v>64</v>
      </c>
      <c r="B572" s="74" t="s">
        <v>566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 x14ac:dyDescent="0.2">
      <c r="A573" s="54">
        <v>65</v>
      </c>
      <c r="B573" s="74" t="s">
        <v>566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 x14ac:dyDescent="0.2">
      <c r="A574" s="54">
        <v>66</v>
      </c>
      <c r="B574" s="74" t="s">
        <v>566</v>
      </c>
      <c r="C574" s="54" t="str">
        <f>FORMULACION!C539</f>
        <v>COCINA</v>
      </c>
      <c r="D574" s="54" t="str">
        <f>FORMULACION!E539</f>
        <v>UTENSILIOS</v>
      </c>
      <c r="E574" s="56" t="s">
        <v>447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 x14ac:dyDescent="0.2">
      <c r="A575" s="54">
        <v>67</v>
      </c>
      <c r="B575" s="74" t="s">
        <v>566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 x14ac:dyDescent="0.2">
      <c r="A576" s="54">
        <v>68</v>
      </c>
      <c r="B576" s="74" t="s">
        <v>566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0</v>
      </c>
      <c r="G576" s="57">
        <v>64000</v>
      </c>
      <c r="H576" s="57">
        <f t="shared" si="17"/>
        <v>0</v>
      </c>
    </row>
    <row r="577" spans="1:8" hidden="1" x14ac:dyDescent="0.2">
      <c r="A577" s="54">
        <v>69</v>
      </c>
      <c r="B577" s="74" t="s">
        <v>566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 x14ac:dyDescent="0.2">
      <c r="A578" s="54">
        <v>70</v>
      </c>
      <c r="B578" s="74" t="s">
        <v>566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0</v>
      </c>
      <c r="G578" s="57">
        <v>60000</v>
      </c>
      <c r="H578" s="57">
        <f t="shared" si="17"/>
        <v>0</v>
      </c>
    </row>
    <row r="579" spans="1:8" hidden="1" x14ac:dyDescent="0.2">
      <c r="A579" s="54">
        <v>71</v>
      </c>
      <c r="B579" s="74" t="s">
        <v>566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 x14ac:dyDescent="0.2">
      <c r="A580" s="54">
        <v>72</v>
      </c>
      <c r="B580" s="74" t="s">
        <v>566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 x14ac:dyDescent="0.2">
      <c r="A581" s="54">
        <v>73</v>
      </c>
      <c r="B581" s="74" t="s">
        <v>566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 x14ac:dyDescent="0.2">
      <c r="A582" s="54">
        <v>74</v>
      </c>
      <c r="B582" s="74" t="s">
        <v>566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448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 x14ac:dyDescent="0.2">
      <c r="A583" s="54">
        <v>75</v>
      </c>
      <c r="B583" s="74" t="s">
        <v>566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449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 x14ac:dyDescent="0.2">
      <c r="A584" s="54">
        <v>76</v>
      </c>
      <c r="B584" s="74" t="s">
        <v>566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451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 x14ac:dyDescent="0.2">
      <c r="A585" s="54">
        <v>77</v>
      </c>
      <c r="B585" s="74" t="s">
        <v>566</v>
      </c>
      <c r="C585" s="54" t="str">
        <f>FORMULACION!C563</f>
        <v>EQUIPOS DE APOYO</v>
      </c>
      <c r="D585" s="54" t="str">
        <f>FORMULACION!D563</f>
        <v>APOYO EN LAVADO</v>
      </c>
      <c r="E585" s="56" t="s">
        <v>450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 x14ac:dyDescent="0.2">
      <c r="A586" s="54">
        <v>78</v>
      </c>
      <c r="B586" s="74" t="s">
        <v>566</v>
      </c>
      <c r="C586" s="54" t="str">
        <f>FORMULACION!C564</f>
        <v>LENCERIA</v>
      </c>
      <c r="D586" s="54" t="str">
        <f>FORMULACION!D564</f>
        <v>COLCHONES - COLCHONETAS</v>
      </c>
      <c r="E586" s="56" t="s">
        <v>452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 x14ac:dyDescent="0.2">
      <c r="A587" s="54">
        <v>79</v>
      </c>
      <c r="B587" s="74" t="s">
        <v>566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 x14ac:dyDescent="0.2">
      <c r="A588" s="54">
        <v>80</v>
      </c>
      <c r="B588" s="74" t="s">
        <v>566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 x14ac:dyDescent="0.2">
      <c r="A589" s="54">
        <v>81</v>
      </c>
      <c r="B589" s="74" t="s">
        <v>566</v>
      </c>
      <c r="C589" s="54" t="str">
        <f>FORMULACION!C567</f>
        <v>LENCERIA</v>
      </c>
      <c r="D589" s="54" t="str">
        <f>FORMULACION!D567</f>
        <v>LENCERIA DE BAÑO</v>
      </c>
      <c r="E589" s="62" t="s">
        <v>453</v>
      </c>
      <c r="F589" s="54"/>
      <c r="G589" s="61"/>
      <c r="H589" s="57"/>
    </row>
    <row r="590" spans="1:8" hidden="1" x14ac:dyDescent="0.2">
      <c r="A590" s="54">
        <v>82</v>
      </c>
      <c r="B590" s="74" t="s">
        <v>566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 x14ac:dyDescent="0.2">
      <c r="A591" s="54">
        <v>83</v>
      </c>
      <c r="B591" s="74" t="s">
        <v>566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 x14ac:dyDescent="0.2">
      <c r="A592" s="54">
        <v>84</v>
      </c>
      <c r="B592" s="74" t="s">
        <v>566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 x14ac:dyDescent="0.2">
      <c r="A593" s="54">
        <v>85</v>
      </c>
      <c r="B593" s="74" t="s">
        <v>566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 x14ac:dyDescent="0.2">
      <c r="A594" s="54">
        <v>86</v>
      </c>
      <c r="B594" s="74" t="s">
        <v>566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0</v>
      </c>
      <c r="G594" s="57">
        <v>45000</v>
      </c>
      <c r="H594" s="57">
        <f t="shared" si="18"/>
        <v>0</v>
      </c>
    </row>
    <row r="595" spans="1:8" hidden="1" x14ac:dyDescent="0.2">
      <c r="A595" s="54">
        <v>87</v>
      </c>
      <c r="B595" s="74" t="s">
        <v>566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 x14ac:dyDescent="0.2">
      <c r="A596" s="54">
        <v>88</v>
      </c>
      <c r="B596" s="74" t="s">
        <v>566</v>
      </c>
      <c r="C596" s="54" t="str">
        <f>FORMULACION!C571</f>
        <v>LENCERIA</v>
      </c>
      <c r="D596" s="54" t="str">
        <f>FORMULACION!D571</f>
        <v>LENCERIA DE CAMA</v>
      </c>
      <c r="E596" s="56" t="s">
        <v>454</v>
      </c>
      <c r="F596" s="54">
        <v>0</v>
      </c>
      <c r="G596" s="61">
        <v>32000</v>
      </c>
      <c r="H596" s="57">
        <f t="shared" si="18"/>
        <v>0</v>
      </c>
    </row>
    <row r="597" spans="1:8" hidden="1" x14ac:dyDescent="0.2">
      <c r="A597" s="54">
        <v>89</v>
      </c>
      <c r="B597" s="74" t="s">
        <v>566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 x14ac:dyDescent="0.2">
      <c r="A598" s="54">
        <v>90</v>
      </c>
      <c r="B598" s="74" t="s">
        <v>566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 x14ac:dyDescent="0.2">
      <c r="A599" s="54">
        <v>91</v>
      </c>
      <c r="B599" s="74" t="s">
        <v>566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 x14ac:dyDescent="0.2">
      <c r="A600" s="54">
        <v>92</v>
      </c>
      <c r="B600" s="74" t="s">
        <v>566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459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 x14ac:dyDescent="0.2">
      <c r="A601" s="54">
        <v>93</v>
      </c>
      <c r="B601" s="74" t="s">
        <v>566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460</v>
      </c>
      <c r="F601" s="54">
        <v>0</v>
      </c>
      <c r="G601" s="61">
        <v>55000</v>
      </c>
      <c r="H601" s="57">
        <f t="shared" si="18"/>
        <v>0</v>
      </c>
    </row>
    <row r="602" spans="1:8" hidden="1" x14ac:dyDescent="0.2">
      <c r="A602" s="54">
        <v>94</v>
      </c>
      <c r="B602" s="74" t="s">
        <v>566</v>
      </c>
      <c r="C602" s="54" t="e">
        <f>FORMULACION!#REF!</f>
        <v>#REF!</v>
      </c>
      <c r="D602" s="54" t="e">
        <f>FORMULACION!#REF!</f>
        <v>#REF!</v>
      </c>
      <c r="E602" s="56" t="s">
        <v>461</v>
      </c>
      <c r="F602" s="54">
        <v>0</v>
      </c>
      <c r="G602" s="61">
        <v>30000</v>
      </c>
      <c r="H602" s="57">
        <f t="shared" si="18"/>
        <v>0</v>
      </c>
    </row>
    <row r="603" spans="1:8" hidden="1" x14ac:dyDescent="0.2">
      <c r="A603" s="54">
        <v>95</v>
      </c>
      <c r="B603" s="74" t="s">
        <v>566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 x14ac:dyDescent="0.2">
      <c r="A604" s="54">
        <v>96</v>
      </c>
      <c r="B604" s="74" t="s">
        <v>566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462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 x14ac:dyDescent="0.2">
      <c r="A605" s="54">
        <v>97</v>
      </c>
      <c r="B605" s="74" t="s">
        <v>566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 x14ac:dyDescent="0.2">
      <c r="A606" s="54">
        <v>98</v>
      </c>
      <c r="B606" s="74" t="s">
        <v>566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 x14ac:dyDescent="0.2">
      <c r="A607" s="54">
        <v>99</v>
      </c>
      <c r="B607" s="74" t="s">
        <v>566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463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 x14ac:dyDescent="0.2">
      <c r="A608" s="54">
        <v>100</v>
      </c>
      <c r="B608" s="74" t="s">
        <v>566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 x14ac:dyDescent="0.2">
      <c r="A609" s="54">
        <v>101</v>
      </c>
      <c r="B609" s="74" t="s">
        <v>566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464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 x14ac:dyDescent="0.2">
      <c r="A610" s="54">
        <v>102</v>
      </c>
      <c r="B610" s="74" t="s">
        <v>566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 x14ac:dyDescent="0.2">
      <c r="A611" s="54">
        <v>103</v>
      </c>
      <c r="B611" s="74" t="s">
        <v>566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 x14ac:dyDescent="0.2">
      <c r="A612" s="54">
        <v>104</v>
      </c>
      <c r="B612" s="74" t="s">
        <v>566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465</v>
      </c>
      <c r="F612" s="54"/>
      <c r="G612" s="63"/>
      <c r="H612" s="57"/>
    </row>
    <row r="613" spans="1:8" hidden="1" x14ac:dyDescent="0.2">
      <c r="A613" s="54">
        <v>105</v>
      </c>
      <c r="B613" s="74" t="s">
        <v>566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 x14ac:dyDescent="0.2">
      <c r="A614" s="54">
        <v>106</v>
      </c>
      <c r="B614" s="74" t="s">
        <v>566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 x14ac:dyDescent="0.2">
      <c r="A615" s="54">
        <v>107</v>
      </c>
      <c r="B615" s="74" t="s">
        <v>566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 x14ac:dyDescent="0.2">
      <c r="A616" s="54">
        <v>108</v>
      </c>
      <c r="B616" s="74" t="s">
        <v>566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 x14ac:dyDescent="0.2">
      <c r="A617" s="54">
        <v>109</v>
      </c>
      <c r="B617" s="74" t="s">
        <v>566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 x14ac:dyDescent="0.2">
      <c r="A618" s="54">
        <v>110</v>
      </c>
      <c r="B618" s="74" t="s">
        <v>566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 x14ac:dyDescent="0.2">
      <c r="A619" s="54">
        <v>111</v>
      </c>
      <c r="B619" s="74" t="s">
        <v>566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 x14ac:dyDescent="0.2">
      <c r="A620" s="54">
        <v>112</v>
      </c>
      <c r="B620" s="74" t="s">
        <v>566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 x14ac:dyDescent="0.2">
      <c r="A621" s="54">
        <v>113</v>
      </c>
      <c r="B621" s="74" t="s">
        <v>566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 x14ac:dyDescent="0.2">
      <c r="A622" s="54">
        <v>114</v>
      </c>
      <c r="B622" s="74" t="s">
        <v>566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 x14ac:dyDescent="0.2">
      <c r="A623" s="54">
        <v>115</v>
      </c>
      <c r="B623" s="74" t="s">
        <v>566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 x14ac:dyDescent="0.2">
      <c r="A624" s="54">
        <v>116</v>
      </c>
      <c r="B624" s="74" t="s">
        <v>566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 x14ac:dyDescent="0.2">
      <c r="A625" s="54">
        <v>117</v>
      </c>
      <c r="B625" s="74" t="s">
        <v>566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 x14ac:dyDescent="0.2">
      <c r="A626" s="54">
        <v>118</v>
      </c>
      <c r="B626" s="74" t="s">
        <v>566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 x14ac:dyDescent="0.2">
      <c r="A627" s="54">
        <v>119</v>
      </c>
      <c r="B627" s="74" t="s">
        <v>566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 x14ac:dyDescent="0.2">
      <c r="A628" s="54">
        <v>120</v>
      </c>
      <c r="B628" s="74" t="s">
        <v>566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467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 x14ac:dyDescent="0.2">
      <c r="A629" s="54">
        <v>121</v>
      </c>
      <c r="B629" s="74" t="s">
        <v>566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466</v>
      </c>
      <c r="F629" s="54"/>
      <c r="G629" s="57">
        <v>11000</v>
      </c>
      <c r="H629" s="57">
        <f t="shared" si="19"/>
        <v>0</v>
      </c>
    </row>
    <row r="630" spans="1:8" hidden="1" x14ac:dyDescent="0.2">
      <c r="A630" s="54">
        <v>122</v>
      </c>
      <c r="B630" s="74" t="s">
        <v>566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468</v>
      </c>
      <c r="F630" s="54"/>
      <c r="G630" s="57">
        <v>18000</v>
      </c>
      <c r="H630" s="57">
        <f t="shared" si="19"/>
        <v>0</v>
      </c>
    </row>
    <row r="631" spans="1:8" hidden="1" x14ac:dyDescent="0.2">
      <c r="A631" s="54">
        <v>123</v>
      </c>
      <c r="B631" s="74" t="s">
        <v>566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469</v>
      </c>
      <c r="F631" s="54"/>
      <c r="G631" s="57">
        <v>13000</v>
      </c>
      <c r="H631" s="57">
        <f t="shared" si="19"/>
        <v>0</v>
      </c>
    </row>
    <row r="632" spans="1:8" hidden="1" x14ac:dyDescent="0.2">
      <c r="A632" s="54">
        <v>124</v>
      </c>
      <c r="B632" s="74" t="s">
        <v>566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 x14ac:dyDescent="0.2">
      <c r="A633" s="54">
        <v>125</v>
      </c>
      <c r="B633" s="74" t="s">
        <v>566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 x14ac:dyDescent="0.2">
      <c r="A634" s="54">
        <v>126</v>
      </c>
      <c r="B634" s="74" t="s">
        <v>566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 x14ac:dyDescent="0.2">
      <c r="A635" s="54">
        <v>127</v>
      </c>
      <c r="B635" s="74" t="s">
        <v>566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 x14ac:dyDescent="0.2">
      <c r="A636" s="54">
        <v>128</v>
      </c>
      <c r="B636" s="74" t="s">
        <v>566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 x14ac:dyDescent="0.2">
      <c r="A637" s="54">
        <v>129</v>
      </c>
      <c r="B637" s="74" t="s">
        <v>566</v>
      </c>
      <c r="C637" s="54" t="e">
        <f>FORMULACION!#REF!</f>
        <v>#REF!</v>
      </c>
      <c r="D637" s="54" t="e">
        <f>FORMULACION!#REF!</f>
        <v>#REF!</v>
      </c>
      <c r="E637" s="56" t="s">
        <v>514</v>
      </c>
      <c r="F637" s="54"/>
      <c r="G637" s="57">
        <v>150000</v>
      </c>
      <c r="H637" s="57">
        <f t="shared" si="19"/>
        <v>0</v>
      </c>
    </row>
    <row r="638" spans="1:8" hidden="1" x14ac:dyDescent="0.2">
      <c r="A638" s="54">
        <v>130</v>
      </c>
      <c r="B638" s="74" t="s">
        <v>566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 x14ac:dyDescent="0.2">
      <c r="A639" s="54">
        <v>132</v>
      </c>
      <c r="B639" s="74" t="s">
        <v>566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 x14ac:dyDescent="0.2">
      <c r="A640" s="54">
        <v>133</v>
      </c>
      <c r="B640" s="74" t="s">
        <v>566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 x14ac:dyDescent="0.2">
      <c r="A641" s="54">
        <v>135</v>
      </c>
      <c r="B641" s="74" t="s">
        <v>566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 x14ac:dyDescent="0.2">
      <c r="A642" s="54">
        <v>136</v>
      </c>
      <c r="B642" s="74" t="s">
        <v>566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 x14ac:dyDescent="0.2">
      <c r="A643" s="54">
        <v>137</v>
      </c>
      <c r="B643" s="74" t="s">
        <v>566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 x14ac:dyDescent="0.2">
      <c r="A644" s="54">
        <v>138</v>
      </c>
      <c r="B644" s="74" t="s">
        <v>566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 x14ac:dyDescent="0.2">
      <c r="A645" s="54">
        <v>139</v>
      </c>
      <c r="B645" s="74" t="s">
        <v>566</v>
      </c>
      <c r="C645" s="54" t="e">
        <f>FORMULACION!#REF!</f>
        <v>#REF!</v>
      </c>
      <c r="D645" s="54" t="e">
        <f>FORMULACION!#REF!</f>
        <v>#REF!</v>
      </c>
      <c r="E645" s="56" t="s">
        <v>470</v>
      </c>
      <c r="F645" s="54"/>
      <c r="G645" s="57">
        <v>32000</v>
      </c>
      <c r="H645" s="57">
        <f t="shared" si="19"/>
        <v>0</v>
      </c>
    </row>
    <row r="646" spans="1:8" hidden="1" x14ac:dyDescent="0.2">
      <c r="A646" s="54">
        <v>140</v>
      </c>
      <c r="B646" s="74" t="s">
        <v>566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 x14ac:dyDescent="0.2">
      <c r="A647" s="54">
        <v>141</v>
      </c>
      <c r="B647" s="74" t="s">
        <v>566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 x14ac:dyDescent="0.2">
      <c r="A648" s="54">
        <v>142</v>
      </c>
      <c r="B648" s="74" t="s">
        <v>566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 x14ac:dyDescent="0.2">
      <c r="A649" s="54">
        <v>143</v>
      </c>
      <c r="B649" s="74" t="s">
        <v>566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 x14ac:dyDescent="0.2">
      <c r="A650" s="54">
        <v>144</v>
      </c>
      <c r="B650" s="74" t="s">
        <v>566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471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 x14ac:dyDescent="0.2">
      <c r="A651" s="54">
        <v>145</v>
      </c>
      <c r="B651" s="74" t="s">
        <v>566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 x14ac:dyDescent="0.2">
      <c r="A652" s="54">
        <v>146</v>
      </c>
      <c r="B652" s="74" t="s">
        <v>566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472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 x14ac:dyDescent="0.2">
      <c r="A653" s="54">
        <v>147</v>
      </c>
      <c r="B653" s="74" t="s">
        <v>566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 x14ac:dyDescent="0.2">
      <c r="A654" s="54">
        <v>148</v>
      </c>
      <c r="B654" s="74" t="s">
        <v>566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 x14ac:dyDescent="0.2">
      <c r="A655" s="54">
        <v>149</v>
      </c>
      <c r="B655" s="74" t="s">
        <v>566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 x14ac:dyDescent="0.2">
      <c r="A656" s="54">
        <v>150</v>
      </c>
      <c r="B656" s="74" t="s">
        <v>566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473</v>
      </c>
      <c r="F656" s="54"/>
      <c r="G656" s="57">
        <v>12900</v>
      </c>
      <c r="H656" s="57">
        <f t="shared" si="19"/>
        <v>0</v>
      </c>
    </row>
    <row r="657" spans="1:8" hidden="1" x14ac:dyDescent="0.2">
      <c r="A657" s="54">
        <v>151</v>
      </c>
      <c r="B657" s="74" t="s">
        <v>566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474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 x14ac:dyDescent="0.2">
      <c r="A658" s="54">
        <v>152</v>
      </c>
      <c r="B658" s="74" t="s">
        <v>566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 x14ac:dyDescent="0.2">
      <c r="A659" s="54">
        <v>153</v>
      </c>
      <c r="B659" s="74" t="s">
        <v>566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475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 x14ac:dyDescent="0.2">
      <c r="A660" s="54">
        <v>154</v>
      </c>
      <c r="B660" s="74" t="s">
        <v>566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476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 x14ac:dyDescent="0.2">
      <c r="A661" s="54">
        <v>155</v>
      </c>
      <c r="B661" s="74" t="s">
        <v>566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477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 x14ac:dyDescent="0.2">
      <c r="A662" s="54">
        <v>156</v>
      </c>
      <c r="B662" s="74" t="s">
        <v>566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 x14ac:dyDescent="0.2">
      <c r="A663" s="54">
        <v>157</v>
      </c>
      <c r="B663" s="74" t="s">
        <v>566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478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 x14ac:dyDescent="0.2">
      <c r="A664" s="54">
        <v>158</v>
      </c>
      <c r="B664" s="74" t="s">
        <v>566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 x14ac:dyDescent="0.2">
      <c r="A665" s="54">
        <v>159</v>
      </c>
      <c r="B665" s="74" t="s">
        <v>566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 x14ac:dyDescent="0.2">
      <c r="A666" s="54">
        <v>160</v>
      </c>
      <c r="B666" s="74" t="s">
        <v>566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479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 x14ac:dyDescent="0.2">
      <c r="A667" s="54">
        <v>161</v>
      </c>
      <c r="B667" s="74" t="s">
        <v>566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480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 x14ac:dyDescent="0.2">
      <c r="A668" s="54">
        <v>162</v>
      </c>
      <c r="B668" s="74" t="s">
        <v>566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 x14ac:dyDescent="0.2">
      <c r="A669" s="54">
        <v>163</v>
      </c>
      <c r="B669" s="74" t="s">
        <v>566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 x14ac:dyDescent="0.2">
      <c r="A670" s="54">
        <v>164</v>
      </c>
      <c r="B670" s="74" t="s">
        <v>566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 x14ac:dyDescent="0.2">
      <c r="A671" s="54">
        <v>165</v>
      </c>
      <c r="B671" s="74" t="s">
        <v>566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 x14ac:dyDescent="0.2">
      <c r="A672" s="54">
        <v>166</v>
      </c>
      <c r="B672" s="74" t="s">
        <v>566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 x14ac:dyDescent="0.2">
      <c r="A673" s="54">
        <v>167</v>
      </c>
      <c r="B673" s="74" t="s">
        <v>566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 x14ac:dyDescent="0.2">
      <c r="A674" s="54">
        <v>168</v>
      </c>
      <c r="B674" s="74" t="s">
        <v>566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 x14ac:dyDescent="0.2">
      <c r="A675" s="54">
        <v>169</v>
      </c>
      <c r="B675" s="74" t="s">
        <v>566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 x14ac:dyDescent="0.2">
      <c r="A676" s="54">
        <v>170</v>
      </c>
      <c r="B676" s="74" t="s">
        <v>566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 x14ac:dyDescent="0.2">
      <c r="A677" s="54">
        <v>171</v>
      </c>
      <c r="B677" s="74" t="s">
        <v>566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 x14ac:dyDescent="0.2">
      <c r="A678" s="54">
        <v>172</v>
      </c>
      <c r="B678" s="74" t="s">
        <v>566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 x14ac:dyDescent="0.2">
      <c r="A679" s="54">
        <v>173</v>
      </c>
      <c r="B679" s="74" t="s">
        <v>566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 x14ac:dyDescent="0.2">
      <c r="A680" s="54">
        <v>174</v>
      </c>
      <c r="B680" s="74" t="s">
        <v>566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 x14ac:dyDescent="0.2">
      <c r="A681" s="54">
        <v>175</v>
      </c>
      <c r="B681" s="74" t="s">
        <v>566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 x14ac:dyDescent="0.2">
      <c r="A682" s="54">
        <v>176</v>
      </c>
      <c r="B682" s="74" t="s">
        <v>566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 x14ac:dyDescent="0.2">
      <c r="A683" s="54">
        <v>177</v>
      </c>
      <c r="B683" s="74" t="s">
        <v>566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 x14ac:dyDescent="0.2">
      <c r="A684" s="54">
        <v>178</v>
      </c>
      <c r="B684" s="74" t="s">
        <v>566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 x14ac:dyDescent="0.2">
      <c r="A685" s="54">
        <v>179</v>
      </c>
      <c r="B685" s="74" t="s">
        <v>566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528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 x14ac:dyDescent="0.2">
      <c r="A686" s="54">
        <v>180</v>
      </c>
      <c r="B686" s="74" t="s">
        <v>566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 x14ac:dyDescent="0.2">
      <c r="A687" s="54">
        <v>181</v>
      </c>
      <c r="B687" s="74" t="s">
        <v>566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 x14ac:dyDescent="0.2">
      <c r="A688" s="54">
        <v>182</v>
      </c>
      <c r="B688" s="74" t="s">
        <v>566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 x14ac:dyDescent="0.2">
      <c r="A689" s="54">
        <v>183</v>
      </c>
      <c r="B689" s="74" t="s">
        <v>566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 x14ac:dyDescent="0.2">
      <c r="A690" s="54">
        <v>184</v>
      </c>
      <c r="B690" s="74" t="s">
        <v>566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 x14ac:dyDescent="0.2">
      <c r="A691" s="54">
        <v>185</v>
      </c>
      <c r="B691" s="74" t="s">
        <v>566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 x14ac:dyDescent="0.2">
      <c r="A692" s="54">
        <v>186</v>
      </c>
      <c r="B692" s="74" t="s">
        <v>566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 x14ac:dyDescent="0.2">
      <c r="A693" s="54">
        <v>187</v>
      </c>
      <c r="B693" s="74" t="s">
        <v>566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 x14ac:dyDescent="0.2">
      <c r="A694" s="54">
        <v>188</v>
      </c>
      <c r="B694" s="74" t="s">
        <v>566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 x14ac:dyDescent="0.2">
      <c r="A695" s="54">
        <v>189</v>
      </c>
      <c r="B695" s="74" t="s">
        <v>566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 x14ac:dyDescent="0.2">
      <c r="A696" s="54">
        <v>190</v>
      </c>
      <c r="B696" s="74" t="s">
        <v>566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18.75" hidden="1" x14ac:dyDescent="0.2">
      <c r="A697" s="54">
        <v>191</v>
      </c>
      <c r="B697" s="74" t="s">
        <v>566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 x14ac:dyDescent="0.2">
      <c r="A698" s="54">
        <v>192</v>
      </c>
      <c r="B698" s="74" t="s">
        <v>566</v>
      </c>
      <c r="C698" s="54" t="str">
        <f>FORMULACION!C691</f>
        <v>MATERIAL PEDAGÓGICO</v>
      </c>
      <c r="D698" s="54" t="s">
        <v>135</v>
      </c>
      <c r="E698" s="56" t="s">
        <v>530</v>
      </c>
      <c r="F698" s="54"/>
      <c r="G698" s="57">
        <v>400000</v>
      </c>
      <c r="H698" s="57">
        <f t="shared" si="20"/>
        <v>0</v>
      </c>
    </row>
    <row r="699" spans="1:8" hidden="1" x14ac:dyDescent="0.2">
      <c r="A699" s="54">
        <v>193</v>
      </c>
      <c r="B699" s="74" t="s">
        <v>566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531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 x14ac:dyDescent="0.2">
      <c r="A700" s="54">
        <v>194</v>
      </c>
      <c r="B700" s="74" t="s">
        <v>566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 x14ac:dyDescent="0.2">
      <c r="A701" s="54">
        <v>195</v>
      </c>
      <c r="B701" s="74" t="s">
        <v>566</v>
      </c>
      <c r="C701" s="54" t="str">
        <f>FORMULACION!C637</f>
        <v>MATERIAL PEDAGÓGICO</v>
      </c>
      <c r="D701" s="78"/>
      <c r="E701" s="64" t="s">
        <v>481</v>
      </c>
      <c r="F701" s="54"/>
      <c r="G701" s="57"/>
      <c r="H701" s="57"/>
    </row>
    <row r="702" spans="1:8" hidden="1" x14ac:dyDescent="0.2">
      <c r="A702" s="54">
        <v>196</v>
      </c>
      <c r="B702" s="74" t="s">
        <v>566</v>
      </c>
      <c r="C702" s="54" t="str">
        <f>FORMULACION!C638</f>
        <v>MATERIAL PEDAGÓGICO</v>
      </c>
      <c r="D702" s="78"/>
      <c r="E702" s="64" t="s">
        <v>482</v>
      </c>
      <c r="F702" s="54"/>
      <c r="G702" s="57"/>
      <c r="H702" s="57"/>
    </row>
    <row r="703" spans="1:8" hidden="1" x14ac:dyDescent="0.2">
      <c r="A703" s="54">
        <v>197</v>
      </c>
      <c r="B703" s="74" t="s">
        <v>566</v>
      </c>
      <c r="C703" s="54" t="str">
        <f>FORMULACION!C639</f>
        <v>MATERIAL PEDAGÓGICO</v>
      </c>
      <c r="D703" s="78"/>
      <c r="E703" s="64" t="s">
        <v>483</v>
      </c>
      <c r="F703" s="54"/>
      <c r="G703" s="57"/>
      <c r="H703" s="57"/>
    </row>
    <row r="704" spans="1:8" hidden="1" x14ac:dyDescent="0.2">
      <c r="A704" s="54">
        <v>198</v>
      </c>
      <c r="B704" s="74" t="s">
        <v>566</v>
      </c>
      <c r="C704" s="54" t="str">
        <f>FORMULACION!C638</f>
        <v>MATERIAL PEDAGÓGICO</v>
      </c>
      <c r="D704" s="78"/>
      <c r="E704" s="64" t="s">
        <v>484</v>
      </c>
      <c r="F704" s="54"/>
      <c r="G704" s="57"/>
      <c r="H704" s="57"/>
    </row>
    <row r="705" spans="1:8" hidden="1" x14ac:dyDescent="0.2">
      <c r="A705" s="54">
        <v>199</v>
      </c>
      <c r="B705" s="74" t="s">
        <v>566</v>
      </c>
      <c r="C705" s="54" t="str">
        <f>FORMULACION!C639</f>
        <v>MATERIAL PEDAGÓGICO</v>
      </c>
      <c r="D705" s="78"/>
      <c r="E705" s="64" t="s">
        <v>533</v>
      </c>
      <c r="F705" s="54"/>
      <c r="G705" s="57"/>
      <c r="H705" s="57"/>
    </row>
    <row r="706" spans="1:8" hidden="1" x14ac:dyDescent="0.2">
      <c r="A706" s="54">
        <v>200</v>
      </c>
      <c r="B706" s="74" t="s">
        <v>566</v>
      </c>
      <c r="C706" s="54" t="str">
        <f>FORMULACION!C640</f>
        <v>MATERIAL PEDAGÓGICO</v>
      </c>
      <c r="D706" s="78"/>
      <c r="E706" s="64" t="s">
        <v>485</v>
      </c>
      <c r="F706" s="54"/>
      <c r="G706" s="57"/>
      <c r="H706" s="57"/>
    </row>
    <row r="707" spans="1:8" hidden="1" x14ac:dyDescent="0.2">
      <c r="A707" s="54">
        <v>201</v>
      </c>
      <c r="B707" s="74" t="s">
        <v>566</v>
      </c>
      <c r="C707" s="54" t="str">
        <f>FORMULACION!C641</f>
        <v>MATERIAL PEDAGÓGICO</v>
      </c>
      <c r="D707" s="78"/>
      <c r="E707" s="64" t="s">
        <v>486</v>
      </c>
      <c r="F707" s="54"/>
      <c r="G707" s="57"/>
      <c r="H707" s="57"/>
    </row>
    <row r="708" spans="1:8" hidden="1" x14ac:dyDescent="0.2">
      <c r="A708" s="54">
        <v>202</v>
      </c>
      <c r="B708" s="74" t="s">
        <v>566</v>
      </c>
      <c r="C708" s="54" t="str">
        <f>FORMULACION!C642</f>
        <v>MATERIAL PEDAGÓGICO</v>
      </c>
      <c r="D708" s="78"/>
      <c r="E708" s="64" t="s">
        <v>487</v>
      </c>
      <c r="F708" s="54"/>
      <c r="G708" s="57"/>
      <c r="H708" s="57"/>
    </row>
    <row r="709" spans="1:8" hidden="1" x14ac:dyDescent="0.2">
      <c r="A709" s="54">
        <v>203</v>
      </c>
      <c r="B709" s="74" t="s">
        <v>566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 x14ac:dyDescent="0.2">
      <c r="A710" s="54">
        <v>204</v>
      </c>
      <c r="B710" s="74" t="s">
        <v>566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 x14ac:dyDescent="0.2">
      <c r="A711" s="54">
        <v>205</v>
      </c>
      <c r="B711" s="74" t="s">
        <v>566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 x14ac:dyDescent="0.2">
      <c r="A712" s="54">
        <v>206</v>
      </c>
      <c r="B712" s="74" t="s">
        <v>566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 x14ac:dyDescent="0.2">
      <c r="A713" s="54">
        <v>207</v>
      </c>
      <c r="B713" s="74" t="s">
        <v>566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 x14ac:dyDescent="0.2">
      <c r="A714" s="54">
        <v>208</v>
      </c>
      <c r="B714" s="74" t="s">
        <v>566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 x14ac:dyDescent="0.2">
      <c r="A715" s="54">
        <v>209</v>
      </c>
      <c r="B715" s="74" t="s">
        <v>566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 x14ac:dyDescent="0.2">
      <c r="A716" s="54">
        <v>210</v>
      </c>
      <c r="B716" s="74" t="s">
        <v>566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 x14ac:dyDescent="0.2">
      <c r="A717" s="54">
        <v>211</v>
      </c>
      <c r="B717" s="74" t="s">
        <v>566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 x14ac:dyDescent="0.2">
      <c r="A718" s="54">
        <v>212</v>
      </c>
      <c r="B718" s="74" t="s">
        <v>566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6</v>
      </c>
      <c r="G718" s="57">
        <v>75000</v>
      </c>
      <c r="H718" s="57">
        <f t="shared" si="21"/>
        <v>450000</v>
      </c>
    </row>
    <row r="719" spans="1:8" hidden="1" x14ac:dyDescent="0.2">
      <c r="A719" s="54">
        <v>213</v>
      </c>
      <c r="B719" s="74" t="s">
        <v>566</v>
      </c>
      <c r="C719" s="54" t="str">
        <f>FORMULACION!C589</f>
        <v>MOBILIARIO</v>
      </c>
      <c r="D719" s="54" t="str">
        <f>FORMULACION!D589</f>
        <v>MOBILIARIO COMEDOR</v>
      </c>
      <c r="E719" s="56" t="s">
        <v>455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 x14ac:dyDescent="0.2">
      <c r="A720" s="54">
        <v>214</v>
      </c>
      <c r="B720" s="74" t="s">
        <v>566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 x14ac:dyDescent="0.2">
      <c r="A721" s="54">
        <v>215</v>
      </c>
      <c r="B721" s="74" t="s">
        <v>566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 x14ac:dyDescent="0.2">
      <c r="A722" s="54">
        <v>216</v>
      </c>
      <c r="B722" s="74" t="s">
        <v>566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 x14ac:dyDescent="0.2">
      <c r="A723" s="54">
        <v>217</v>
      </c>
      <c r="B723" s="74" t="s">
        <v>566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 x14ac:dyDescent="0.2">
      <c r="A724" s="54">
        <v>218</v>
      </c>
      <c r="B724" s="74" t="s">
        <v>566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 x14ac:dyDescent="0.2">
      <c r="A725" s="54">
        <v>219</v>
      </c>
      <c r="B725" s="74" t="s">
        <v>566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 x14ac:dyDescent="0.2">
      <c r="A726" s="54">
        <v>220</v>
      </c>
      <c r="B726" s="74" t="s">
        <v>566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 x14ac:dyDescent="0.2">
      <c r="A727" s="54">
        <v>221</v>
      </c>
      <c r="B727" s="74" t="s">
        <v>566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 x14ac:dyDescent="0.2">
      <c r="A728" s="54">
        <v>222</v>
      </c>
      <c r="B728" s="74" t="s">
        <v>566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 x14ac:dyDescent="0.2">
      <c r="A729" s="54">
        <v>223</v>
      </c>
      <c r="B729" s="74" t="s">
        <v>566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 x14ac:dyDescent="0.2">
      <c r="A730" s="54">
        <v>224</v>
      </c>
      <c r="B730" s="74" t="s">
        <v>566</v>
      </c>
      <c r="C730" s="54" t="str">
        <f>FORMULACION!C600</f>
        <v>MOBILIARIO</v>
      </c>
      <c r="D730" s="54" t="str">
        <f>FORMULACION!D600</f>
        <v>MOBILIARIO OFICINA</v>
      </c>
      <c r="E730" s="56" t="s">
        <v>456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 x14ac:dyDescent="0.2">
      <c r="A731" s="54">
        <v>225</v>
      </c>
      <c r="B731" s="74" t="s">
        <v>566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 x14ac:dyDescent="0.2">
      <c r="A732" s="54">
        <v>226</v>
      </c>
      <c r="B732" s="74" t="s">
        <v>566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 x14ac:dyDescent="0.2">
      <c r="A733" s="54">
        <v>227</v>
      </c>
      <c r="B733" s="74" t="s">
        <v>566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 x14ac:dyDescent="0.2">
      <c r="A734" s="54">
        <v>228</v>
      </c>
      <c r="B734" s="74" t="s">
        <v>566</v>
      </c>
      <c r="C734" s="54" t="str">
        <f>FORMULACION!C601</f>
        <v>MOBILIARIO</v>
      </c>
      <c r="D734" s="54" t="str">
        <f>FORMULACION!D601</f>
        <v>MOBILIARIO OFICINA</v>
      </c>
      <c r="E734" s="56" t="s">
        <v>535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 x14ac:dyDescent="0.2">
      <c r="A735" s="54">
        <v>229</v>
      </c>
      <c r="B735" s="74" t="s">
        <v>566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457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 x14ac:dyDescent="0.2">
      <c r="A736" s="54">
        <v>230</v>
      </c>
      <c r="B736" s="74" t="s">
        <v>566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 x14ac:dyDescent="0.2">
      <c r="A737" s="54">
        <v>231</v>
      </c>
      <c r="B737" s="74" t="s">
        <v>566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 x14ac:dyDescent="0.2">
      <c r="A738" s="54">
        <v>232</v>
      </c>
      <c r="B738" s="74" t="s">
        <v>566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 x14ac:dyDescent="0.2">
      <c r="A739" s="54">
        <v>233</v>
      </c>
      <c r="B739" s="74" t="s">
        <v>566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 x14ac:dyDescent="0.2">
      <c r="A740" s="54">
        <v>234</v>
      </c>
      <c r="B740" s="74" t="s">
        <v>566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 x14ac:dyDescent="0.2">
      <c r="A741" s="54">
        <v>235</v>
      </c>
      <c r="B741" s="74" t="s">
        <v>566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458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 x14ac:dyDescent="0.2">
      <c r="A742" s="54">
        <v>236</v>
      </c>
      <c r="B742" s="74" t="s">
        <v>566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 x14ac:dyDescent="0.2">
      <c r="A743" s="54">
        <v>237</v>
      </c>
      <c r="B743" s="74" t="s">
        <v>566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 x14ac:dyDescent="0.2">
      <c r="A744" s="54">
        <v>238</v>
      </c>
      <c r="B744" s="74" t="s">
        <v>566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 x14ac:dyDescent="0.2">
      <c r="A745" s="54">
        <v>239</v>
      </c>
      <c r="B745" s="74" t="s">
        <v>566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 x14ac:dyDescent="0.2">
      <c r="A746" s="54">
        <v>240</v>
      </c>
      <c r="B746" s="74" t="s">
        <v>566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 x14ac:dyDescent="0.2">
      <c r="A747" s="54">
        <v>241</v>
      </c>
      <c r="B747" s="74" t="s">
        <v>566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 x14ac:dyDescent="0.2">
      <c r="A748" s="54">
        <v>1</v>
      </c>
      <c r="B748" s="76" t="s">
        <v>567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 x14ac:dyDescent="0.2">
      <c r="A749" s="54">
        <v>2</v>
      </c>
      <c r="B749" s="76" t="s">
        <v>567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 x14ac:dyDescent="0.2">
      <c r="A750" s="54">
        <v>3</v>
      </c>
      <c r="B750" s="76" t="s">
        <v>567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 x14ac:dyDescent="0.2">
      <c r="A751" s="54">
        <v>4</v>
      </c>
      <c r="B751" s="76" t="s">
        <v>567</v>
      </c>
      <c r="C751" s="54" t="s">
        <v>16</v>
      </c>
      <c r="D751" s="54" t="s">
        <v>20</v>
      </c>
      <c r="E751" s="56" t="s">
        <v>433</v>
      </c>
      <c r="F751" s="55"/>
      <c r="G751" s="57"/>
      <c r="H751" s="57"/>
    </row>
    <row r="752" spans="1:8" hidden="1" x14ac:dyDescent="0.2">
      <c r="A752" s="54">
        <v>5</v>
      </c>
      <c r="B752" s="76" t="s">
        <v>567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 x14ac:dyDescent="0.2">
      <c r="A753" s="54">
        <v>6</v>
      </c>
      <c r="B753" s="76" t="s">
        <v>567</v>
      </c>
      <c r="C753" s="54" t="str">
        <f>FORMULACION!C732</f>
        <v>COCINA</v>
      </c>
      <c r="D753" s="54" t="str">
        <f>FORMULACION!D732</f>
        <v>EQUIPOS</v>
      </c>
      <c r="E753" s="58" t="s">
        <v>439</v>
      </c>
      <c r="F753" s="55">
        <v>1</v>
      </c>
      <c r="G753" s="57">
        <v>50000</v>
      </c>
      <c r="H753" s="57">
        <f t="shared" si="22"/>
        <v>50000</v>
      </c>
    </row>
    <row r="754" spans="1:8" hidden="1" x14ac:dyDescent="0.2">
      <c r="A754" s="54">
        <v>7</v>
      </c>
      <c r="B754" s="76" t="s">
        <v>567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 x14ac:dyDescent="0.2">
      <c r="A755" s="54">
        <v>8</v>
      </c>
      <c r="B755" s="76" t="s">
        <v>567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 x14ac:dyDescent="0.2">
      <c r="A756" s="54">
        <v>9</v>
      </c>
      <c r="B756" s="76" t="s">
        <v>567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 x14ac:dyDescent="0.2">
      <c r="A757" s="54">
        <v>10</v>
      </c>
      <c r="B757" s="76" t="s">
        <v>567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 x14ac:dyDescent="0.2">
      <c r="A758" s="54">
        <v>11</v>
      </c>
      <c r="B758" s="76" t="s">
        <v>567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 x14ac:dyDescent="0.2">
      <c r="A759" s="54">
        <v>12</v>
      </c>
      <c r="B759" s="76" t="s">
        <v>567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 x14ac:dyDescent="0.2">
      <c r="A760" s="54">
        <v>13</v>
      </c>
      <c r="B760" s="76" t="s">
        <v>567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 x14ac:dyDescent="0.2">
      <c r="A761" s="54">
        <v>14</v>
      </c>
      <c r="B761" s="76" t="s">
        <v>567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 x14ac:dyDescent="0.2">
      <c r="A762" s="54">
        <v>15</v>
      </c>
      <c r="B762" s="76" t="s">
        <v>567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0</v>
      </c>
      <c r="G762" s="57">
        <v>58000</v>
      </c>
      <c r="H762" s="57">
        <f t="shared" si="22"/>
        <v>0</v>
      </c>
    </row>
    <row r="763" spans="1:8" hidden="1" x14ac:dyDescent="0.2">
      <c r="A763" s="54">
        <v>16</v>
      </c>
      <c r="B763" s="76" t="s">
        <v>567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 x14ac:dyDescent="0.2">
      <c r="A764" s="54">
        <v>17</v>
      </c>
      <c r="B764" s="76" t="s">
        <v>567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 x14ac:dyDescent="0.2">
      <c r="A765" s="54">
        <v>18</v>
      </c>
      <c r="B765" s="76" t="s">
        <v>567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 x14ac:dyDescent="0.2">
      <c r="A766" s="54">
        <v>19</v>
      </c>
      <c r="B766" s="76" t="s">
        <v>567</v>
      </c>
      <c r="C766" s="54" t="str">
        <f>FORMULACION!C758</f>
        <v>COCINA</v>
      </c>
      <c r="D766" s="54" t="str">
        <f>FORMULACION!E758</f>
        <v>CUBERTERIA</v>
      </c>
      <c r="E766" s="58" t="s">
        <v>438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 x14ac:dyDescent="0.2">
      <c r="A767" s="54">
        <v>20</v>
      </c>
      <c r="B767" s="76" t="s">
        <v>567</v>
      </c>
      <c r="C767" s="54" t="str">
        <f>FORMULACION!C759</f>
        <v>COCINA</v>
      </c>
      <c r="D767" s="54" t="str">
        <f>FORMULACION!E759</f>
        <v>CUBERTERIA</v>
      </c>
      <c r="E767" s="56" t="s">
        <v>434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 x14ac:dyDescent="0.2">
      <c r="A768" s="54">
        <v>21</v>
      </c>
      <c r="B768" s="76" t="s">
        <v>567</v>
      </c>
      <c r="C768" s="54" t="str">
        <f>FORMULACION!C762</f>
        <v>COCINA</v>
      </c>
      <c r="D768" s="54" t="str">
        <f>FORMULACION!E762</f>
        <v>RECIPIENTES</v>
      </c>
      <c r="E768" s="56" t="s">
        <v>435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 x14ac:dyDescent="0.2">
      <c r="A769" s="54">
        <v>22</v>
      </c>
      <c r="B769" s="76" t="s">
        <v>567</v>
      </c>
      <c r="C769" s="54" t="str">
        <f>FORMULACION!C764</f>
        <v>COCINA</v>
      </c>
      <c r="D769" s="54" t="s">
        <v>41</v>
      </c>
      <c r="E769" s="59" t="s">
        <v>436</v>
      </c>
      <c r="F769" s="55">
        <v>1</v>
      </c>
      <c r="G769" s="57"/>
      <c r="H769" s="57"/>
    </row>
    <row r="770" spans="1:8" hidden="1" x14ac:dyDescent="0.2">
      <c r="A770" s="54">
        <v>23</v>
      </c>
      <c r="B770" s="76" t="s">
        <v>567</v>
      </c>
      <c r="C770" s="54" t="str">
        <f>FORMULACION!C764</f>
        <v>COCINA</v>
      </c>
      <c r="D770" s="54" t="str">
        <f>FORMULACION!E764</f>
        <v>RECIPIENTES</v>
      </c>
      <c r="E770" s="60" t="s">
        <v>437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 x14ac:dyDescent="0.2">
      <c r="A771" s="54">
        <v>24</v>
      </c>
      <c r="B771" s="76" t="s">
        <v>567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 x14ac:dyDescent="0.2">
      <c r="A772" s="54">
        <v>25</v>
      </c>
      <c r="B772" s="76" t="s">
        <v>567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 x14ac:dyDescent="0.2">
      <c r="A773" s="54">
        <v>26</v>
      </c>
      <c r="B773" s="76" t="s">
        <v>567</v>
      </c>
      <c r="C773" s="54" t="s">
        <v>22</v>
      </c>
      <c r="D773" s="54" t="s">
        <v>443</v>
      </c>
      <c r="E773" s="56" t="s">
        <v>492</v>
      </c>
      <c r="F773" s="54">
        <v>0</v>
      </c>
      <c r="G773" s="57">
        <v>40000</v>
      </c>
      <c r="H773" s="57">
        <f t="shared" si="23"/>
        <v>0</v>
      </c>
    </row>
    <row r="774" spans="1:8" hidden="1" x14ac:dyDescent="0.2">
      <c r="A774" s="54">
        <v>27</v>
      </c>
      <c r="B774" s="76" t="s">
        <v>567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 x14ac:dyDescent="0.2">
      <c r="A775" s="54">
        <v>28</v>
      </c>
      <c r="B775" s="76" t="s">
        <v>567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 x14ac:dyDescent="0.2">
      <c r="A776" s="54">
        <v>29</v>
      </c>
      <c r="B776" s="76" t="s">
        <v>567</v>
      </c>
      <c r="C776" s="54" t="str">
        <f>FORMULACION!C739</f>
        <v>COCINA</v>
      </c>
      <c r="D776" s="54" t="str">
        <f>FORMULACION!E739</f>
        <v>EQUIPOS DE MEDICION</v>
      </c>
      <c r="E776" s="56" t="s">
        <v>440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 x14ac:dyDescent="0.2">
      <c r="A777" s="54">
        <v>30</v>
      </c>
      <c r="B777" s="76" t="s">
        <v>567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0</v>
      </c>
      <c r="G777" s="57">
        <v>10200000</v>
      </c>
      <c r="H777" s="57">
        <f t="shared" si="23"/>
        <v>0</v>
      </c>
    </row>
    <row r="778" spans="1:8" hidden="1" x14ac:dyDescent="0.2">
      <c r="A778" s="54">
        <v>31</v>
      </c>
      <c r="B778" s="76" t="s">
        <v>567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 x14ac:dyDescent="0.2">
      <c r="A779" s="54">
        <v>32</v>
      </c>
      <c r="B779" s="76" t="s">
        <v>567</v>
      </c>
      <c r="C779" s="54" t="str">
        <f>FORMULACION!C740</f>
        <v>COCINA</v>
      </c>
      <c r="D779" s="54" t="str">
        <f>FORMULACION!E740</f>
        <v>EQUIPOS DE MEDICION</v>
      </c>
      <c r="E779" s="56" t="s">
        <v>441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 x14ac:dyDescent="0.2">
      <c r="A780" s="54">
        <v>33</v>
      </c>
      <c r="B780" s="76" t="s">
        <v>567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 x14ac:dyDescent="0.2">
      <c r="A781" s="54">
        <v>34</v>
      </c>
      <c r="B781" s="76" t="s">
        <v>567</v>
      </c>
      <c r="C781" s="54" t="str">
        <f>FORMULACION!C744</f>
        <v>COCINA</v>
      </c>
      <c r="D781" s="54" t="str">
        <f>FORMULACION!E744</f>
        <v>EQUIPOS DE PROCESAMIENTO</v>
      </c>
      <c r="E781" s="56" t="s">
        <v>442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 x14ac:dyDescent="0.2">
      <c r="A782" s="54">
        <v>35</v>
      </c>
      <c r="B782" s="76" t="s">
        <v>567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 x14ac:dyDescent="0.2">
      <c r="A783" s="54">
        <v>36</v>
      </c>
      <c r="B783" s="76" t="s">
        <v>567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 x14ac:dyDescent="0.2">
      <c r="A784" s="54">
        <v>37</v>
      </c>
      <c r="B784" s="76" t="s">
        <v>567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0</v>
      </c>
      <c r="G784" s="57">
        <v>1600000</v>
      </c>
      <c r="H784" s="57">
        <f t="shared" si="23"/>
        <v>0</v>
      </c>
    </row>
    <row r="785" spans="1:8" hidden="1" x14ac:dyDescent="0.2">
      <c r="A785" s="54">
        <v>38</v>
      </c>
      <c r="B785" s="76" t="s">
        <v>567</v>
      </c>
      <c r="C785" s="54" t="str">
        <f>FORMULACION!C745</f>
        <v>COCINA</v>
      </c>
      <c r="D785" s="54" t="str">
        <f>FORMULACION!E745</f>
        <v>EQUIPOS DE PROCESAMIENTO</v>
      </c>
      <c r="E785" s="56" t="s">
        <v>495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 x14ac:dyDescent="0.2">
      <c r="A786" s="54">
        <v>39</v>
      </c>
      <c r="B786" s="76" t="s">
        <v>567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 x14ac:dyDescent="0.2">
      <c r="A787" s="54">
        <v>40</v>
      </c>
      <c r="B787" s="76" t="s">
        <v>567</v>
      </c>
      <c r="C787" s="54" t="str">
        <f>FORMULACION!C769</f>
        <v>COCINA</v>
      </c>
      <c r="D787" s="54" t="str">
        <f>FORMULACION!E769</f>
        <v>UTENSILIOS</v>
      </c>
      <c r="E787" s="56" t="s">
        <v>444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 x14ac:dyDescent="0.2">
      <c r="A788" s="54">
        <v>41</v>
      </c>
      <c r="B788" s="76" t="s">
        <v>567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 x14ac:dyDescent="0.2">
      <c r="A789" s="54">
        <v>42</v>
      </c>
      <c r="B789" s="76" t="s">
        <v>567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 x14ac:dyDescent="0.2">
      <c r="A790" s="54">
        <v>43</v>
      </c>
      <c r="B790" s="76" t="s">
        <v>567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 x14ac:dyDescent="0.2">
      <c r="A791" s="54">
        <v>44</v>
      </c>
      <c r="B791" s="76" t="s">
        <v>567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 x14ac:dyDescent="0.2">
      <c r="A792" s="54">
        <v>45</v>
      </c>
      <c r="B792" s="76" t="s">
        <v>567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 x14ac:dyDescent="0.2">
      <c r="A793" s="54">
        <v>46</v>
      </c>
      <c r="B793" s="76" t="s">
        <v>567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 x14ac:dyDescent="0.2">
      <c r="A794" s="54">
        <v>47</v>
      </c>
      <c r="B794" s="76" t="s">
        <v>567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 x14ac:dyDescent="0.2">
      <c r="A795" s="54">
        <v>48</v>
      </c>
      <c r="B795" s="76" t="s">
        <v>567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 x14ac:dyDescent="0.2">
      <c r="A796" s="54">
        <v>49</v>
      </c>
      <c r="B796" s="76" t="s">
        <v>567</v>
      </c>
      <c r="C796" s="54" t="str">
        <f>FORMULACION!C775</f>
        <v>COCINA</v>
      </c>
      <c r="D796" s="54" t="str">
        <f>FORMULACION!E775</f>
        <v>UTENSILIOS</v>
      </c>
      <c r="E796" s="56" t="s">
        <v>445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 x14ac:dyDescent="0.2">
      <c r="A797" s="54">
        <v>50</v>
      </c>
      <c r="B797" s="76" t="s">
        <v>567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 x14ac:dyDescent="0.2">
      <c r="A798" s="54">
        <v>51</v>
      </c>
      <c r="B798" s="76" t="s">
        <v>567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 x14ac:dyDescent="0.2">
      <c r="A799" s="54">
        <v>52</v>
      </c>
      <c r="B799" s="76" t="s">
        <v>567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 x14ac:dyDescent="0.2">
      <c r="A800" s="54">
        <v>53</v>
      </c>
      <c r="B800" s="76" t="s">
        <v>567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 x14ac:dyDescent="0.2">
      <c r="A801" s="54">
        <v>54</v>
      </c>
      <c r="B801" s="76" t="s">
        <v>567</v>
      </c>
      <c r="C801" s="54" t="str">
        <f>FORMULACION!C781</f>
        <v>COCINA</v>
      </c>
      <c r="D801" s="54" t="str">
        <f>FORMULACION!E781</f>
        <v>UTENSILIOS</v>
      </c>
      <c r="E801" s="58" t="s">
        <v>488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 x14ac:dyDescent="0.2">
      <c r="A802" s="54">
        <v>55</v>
      </c>
      <c r="B802" s="76" t="s">
        <v>567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 x14ac:dyDescent="0.2">
      <c r="A803" s="54">
        <v>56</v>
      </c>
      <c r="B803" s="76" t="s">
        <v>567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 x14ac:dyDescent="0.2">
      <c r="A804" s="54">
        <v>57</v>
      </c>
      <c r="B804" s="76" t="s">
        <v>567</v>
      </c>
      <c r="C804" s="54" t="str">
        <f>FORMULACION!C774</f>
        <v>COCINA</v>
      </c>
      <c r="D804" s="54" t="str">
        <f>FORMULACION!E774</f>
        <v>UTENSILIOS</v>
      </c>
      <c r="E804" s="58" t="s">
        <v>446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 x14ac:dyDescent="0.2">
      <c r="A805" s="54">
        <v>58</v>
      </c>
      <c r="B805" s="76" t="s">
        <v>567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 x14ac:dyDescent="0.2">
      <c r="A806" s="54">
        <v>58</v>
      </c>
      <c r="B806" s="76" t="s">
        <v>567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 x14ac:dyDescent="0.2">
      <c r="A807" s="54">
        <v>60</v>
      </c>
      <c r="B807" s="76" t="s">
        <v>567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 x14ac:dyDescent="0.2">
      <c r="A808" s="54">
        <v>61</v>
      </c>
      <c r="B808" s="76" t="s">
        <v>567</v>
      </c>
      <c r="C808" s="54" t="str">
        <f>FORMULACION!C788</f>
        <v>COCINA</v>
      </c>
      <c r="D808" s="54" t="str">
        <f>FORMULACION!E788</f>
        <v>UTENSILIOS</v>
      </c>
      <c r="E808" s="56" t="s">
        <v>498</v>
      </c>
      <c r="F808" s="54">
        <f>FORMULACION!P788</f>
        <v>0</v>
      </c>
      <c r="G808" s="57">
        <v>18000</v>
      </c>
      <c r="H808" s="57">
        <f t="shared" si="23"/>
        <v>0</v>
      </c>
    </row>
    <row r="809" spans="1:8" hidden="1" x14ac:dyDescent="0.2">
      <c r="A809" s="54">
        <v>62</v>
      </c>
      <c r="B809" s="76" t="s">
        <v>567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60</v>
      </c>
      <c r="G809" s="57">
        <v>15000</v>
      </c>
      <c r="H809" s="57">
        <f t="shared" si="23"/>
        <v>900000</v>
      </c>
    </row>
    <row r="810" spans="1:8" hidden="1" x14ac:dyDescent="0.2">
      <c r="A810" s="54">
        <v>63</v>
      </c>
      <c r="B810" s="76" t="s">
        <v>567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 x14ac:dyDescent="0.2">
      <c r="A811" s="54">
        <v>64</v>
      </c>
      <c r="B811" s="76" t="s">
        <v>567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 x14ac:dyDescent="0.2">
      <c r="A812" s="54">
        <v>65</v>
      </c>
      <c r="B812" s="76" t="s">
        <v>567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 x14ac:dyDescent="0.2">
      <c r="A813" s="54">
        <v>66</v>
      </c>
      <c r="B813" s="76" t="s">
        <v>567</v>
      </c>
      <c r="C813" s="54" t="str">
        <f>FORMULACION!C778</f>
        <v>COCINA</v>
      </c>
      <c r="D813" s="54" t="str">
        <f>FORMULACION!E778</f>
        <v>UTENSILIOS</v>
      </c>
      <c r="E813" s="56" t="s">
        <v>447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 x14ac:dyDescent="0.2">
      <c r="A814" s="54">
        <v>67</v>
      </c>
      <c r="B814" s="76" t="s">
        <v>567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 x14ac:dyDescent="0.2">
      <c r="A815" s="54">
        <v>68</v>
      </c>
      <c r="B815" s="76" t="s">
        <v>567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0</v>
      </c>
      <c r="G815" s="57">
        <v>64000</v>
      </c>
      <c r="H815" s="57">
        <f t="shared" si="23"/>
        <v>0</v>
      </c>
    </row>
    <row r="816" spans="1:8" hidden="1" x14ac:dyDescent="0.2">
      <c r="A816" s="54">
        <v>69</v>
      </c>
      <c r="B816" s="76" t="s">
        <v>567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0</v>
      </c>
      <c r="G816" s="57">
        <v>25000</v>
      </c>
      <c r="H816" s="57">
        <f t="shared" si="23"/>
        <v>0</v>
      </c>
    </row>
    <row r="817" spans="1:8" hidden="1" x14ac:dyDescent="0.2">
      <c r="A817" s="54">
        <v>70</v>
      </c>
      <c r="B817" s="76" t="s">
        <v>567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 x14ac:dyDescent="0.2">
      <c r="A818" s="54">
        <v>71</v>
      </c>
      <c r="B818" s="76" t="s">
        <v>567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 x14ac:dyDescent="0.2">
      <c r="A819" s="54">
        <v>72</v>
      </c>
      <c r="B819" s="76" t="s">
        <v>567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 x14ac:dyDescent="0.2">
      <c r="A820" s="54">
        <v>73</v>
      </c>
      <c r="B820" s="76" t="s">
        <v>567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 x14ac:dyDescent="0.2">
      <c r="A821" s="54">
        <v>74</v>
      </c>
      <c r="B821" s="76" t="s">
        <v>567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448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 x14ac:dyDescent="0.2">
      <c r="A822" s="54">
        <v>75</v>
      </c>
      <c r="B822" s="76" t="s">
        <v>567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449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 x14ac:dyDescent="0.2">
      <c r="A823" s="54">
        <v>76</v>
      </c>
      <c r="B823" s="76" t="s">
        <v>567</v>
      </c>
      <c r="C823" s="54" t="str">
        <f>FORMULACION!C801</f>
        <v>EQUIPOS DE APOYO</v>
      </c>
      <c r="D823" s="54" t="str">
        <f>FORMULACION!D801</f>
        <v>APOYO EN LAVADO</v>
      </c>
      <c r="E823" s="56" t="s">
        <v>451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 x14ac:dyDescent="0.2">
      <c r="A824" s="54">
        <v>77</v>
      </c>
      <c r="B824" s="76" t="s">
        <v>567</v>
      </c>
      <c r="C824" s="54" t="str">
        <f>FORMULACION!C802</f>
        <v>LENCERIA</v>
      </c>
      <c r="D824" s="54" t="str">
        <f>FORMULACION!D802</f>
        <v>COLCHONES - COLCHONETAS</v>
      </c>
      <c r="E824" s="56" t="s">
        <v>450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 x14ac:dyDescent="0.2">
      <c r="A825" s="54">
        <v>78</v>
      </c>
      <c r="B825" s="76" t="s">
        <v>567</v>
      </c>
      <c r="C825" s="54" t="str">
        <f>FORMULACION!C803</f>
        <v>LENCERIA</v>
      </c>
      <c r="D825" s="54" t="str">
        <f>FORMULACION!D803</f>
        <v>COLCHONES - COLCHONETAS</v>
      </c>
      <c r="E825" s="56" t="s">
        <v>452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 x14ac:dyDescent="0.2">
      <c r="A826" s="54">
        <v>79</v>
      </c>
      <c r="B826" s="76" t="s">
        <v>567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 x14ac:dyDescent="0.2">
      <c r="A827" s="54">
        <v>80</v>
      </c>
      <c r="B827" s="76" t="s">
        <v>567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 x14ac:dyDescent="0.2">
      <c r="A828" s="54">
        <v>81</v>
      </c>
      <c r="B828" s="76" t="s">
        <v>567</v>
      </c>
      <c r="C828" s="54" t="str">
        <f>FORMULACION!C806</f>
        <v>LENCERIA</v>
      </c>
      <c r="D828" s="54" t="str">
        <f>FORMULACION!D806</f>
        <v>LENCERIA DE CAMA</v>
      </c>
      <c r="E828" s="62" t="s">
        <v>453</v>
      </c>
      <c r="F828" s="54"/>
      <c r="G828" s="61"/>
      <c r="H828" s="57"/>
    </row>
    <row r="829" spans="1:8" hidden="1" x14ac:dyDescent="0.2">
      <c r="A829" s="54">
        <v>82</v>
      </c>
      <c r="B829" s="76" t="s">
        <v>567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 x14ac:dyDescent="0.2">
      <c r="A830" s="54">
        <v>83</v>
      </c>
      <c r="B830" s="76" t="s">
        <v>567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 x14ac:dyDescent="0.2">
      <c r="A831" s="54">
        <v>84</v>
      </c>
      <c r="B831" s="76" t="s">
        <v>567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 x14ac:dyDescent="0.2">
      <c r="A832" s="54">
        <v>85</v>
      </c>
      <c r="B832" s="76" t="s">
        <v>567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 x14ac:dyDescent="0.2">
      <c r="A833" s="54">
        <v>86</v>
      </c>
      <c r="B833" s="76" t="s">
        <v>567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 x14ac:dyDescent="0.2">
      <c r="A834" s="54">
        <v>87</v>
      </c>
      <c r="B834" s="76" t="s">
        <v>567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 x14ac:dyDescent="0.2">
      <c r="A835" s="54">
        <v>88</v>
      </c>
      <c r="B835" s="76" t="s">
        <v>567</v>
      </c>
      <c r="C835" s="54" t="str">
        <f>FORMULACION!C810</f>
        <v>LENCERIA</v>
      </c>
      <c r="D835" s="54" t="str">
        <f>FORMULACION!D810</f>
        <v>LENCERIA DE CAMA</v>
      </c>
      <c r="E835" s="56" t="s">
        <v>454</v>
      </c>
      <c r="F835" s="54">
        <v>0</v>
      </c>
      <c r="G835" s="61">
        <v>32000</v>
      </c>
      <c r="H835" s="57">
        <f t="shared" si="24"/>
        <v>0</v>
      </c>
    </row>
    <row r="836" spans="1:8" hidden="1" x14ac:dyDescent="0.2">
      <c r="A836" s="54">
        <v>89</v>
      </c>
      <c r="B836" s="76" t="s">
        <v>567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0</v>
      </c>
      <c r="G836" s="57">
        <v>40000</v>
      </c>
      <c r="H836" s="57">
        <f t="shared" si="24"/>
        <v>0</v>
      </c>
    </row>
    <row r="837" spans="1:8" hidden="1" x14ac:dyDescent="0.2">
      <c r="A837" s="54">
        <v>90</v>
      </c>
      <c r="B837" s="76" t="s">
        <v>567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 x14ac:dyDescent="0.2">
      <c r="A838" s="54">
        <v>91</v>
      </c>
      <c r="B838" s="76" t="s">
        <v>567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 x14ac:dyDescent="0.2">
      <c r="A839" s="54">
        <v>92</v>
      </c>
      <c r="B839" s="76" t="s">
        <v>567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459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 x14ac:dyDescent="0.2">
      <c r="A840" s="54">
        <v>93</v>
      </c>
      <c r="B840" s="76" t="s">
        <v>567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460</v>
      </c>
      <c r="F840" s="54">
        <v>0</v>
      </c>
      <c r="G840" s="61">
        <v>55000</v>
      </c>
      <c r="H840" s="57">
        <f t="shared" si="24"/>
        <v>0</v>
      </c>
    </row>
    <row r="841" spans="1:8" hidden="1" x14ac:dyDescent="0.2">
      <c r="A841" s="54">
        <v>94</v>
      </c>
      <c r="B841" s="76" t="s">
        <v>567</v>
      </c>
      <c r="C841" s="54" t="e">
        <f>FORMULACION!#REF!</f>
        <v>#REF!</v>
      </c>
      <c r="D841" s="54" t="e">
        <f>FORMULACION!#REF!</f>
        <v>#REF!</v>
      </c>
      <c r="E841" s="56" t="s">
        <v>461</v>
      </c>
      <c r="F841" s="54">
        <v>0</v>
      </c>
      <c r="G841" s="61">
        <v>30000</v>
      </c>
      <c r="H841" s="57">
        <f t="shared" si="24"/>
        <v>0</v>
      </c>
    </row>
    <row r="842" spans="1:8" hidden="1" x14ac:dyDescent="0.2">
      <c r="A842" s="54">
        <v>95</v>
      </c>
      <c r="B842" s="76" t="s">
        <v>567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 x14ac:dyDescent="0.2">
      <c r="A843" s="54">
        <v>96</v>
      </c>
      <c r="B843" s="76" t="s">
        <v>567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462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 x14ac:dyDescent="0.2">
      <c r="A844" s="54">
        <v>97</v>
      </c>
      <c r="B844" s="76" t="s">
        <v>567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 x14ac:dyDescent="0.2">
      <c r="A845" s="54">
        <v>98</v>
      </c>
      <c r="B845" s="76" t="s">
        <v>567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 x14ac:dyDescent="0.2">
      <c r="A846" s="54">
        <v>99</v>
      </c>
      <c r="B846" s="76" t="s">
        <v>567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463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 x14ac:dyDescent="0.2">
      <c r="A847" s="54">
        <v>100</v>
      </c>
      <c r="B847" s="76" t="s">
        <v>567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 x14ac:dyDescent="0.2">
      <c r="A848" s="54">
        <v>101</v>
      </c>
      <c r="B848" s="76" t="s">
        <v>567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464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 x14ac:dyDescent="0.2">
      <c r="A849" s="54">
        <v>102</v>
      </c>
      <c r="B849" s="76" t="s">
        <v>567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 x14ac:dyDescent="0.2">
      <c r="A850" s="54">
        <v>103</v>
      </c>
      <c r="B850" s="76" t="s">
        <v>567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 x14ac:dyDescent="0.2">
      <c r="A851" s="54">
        <v>104</v>
      </c>
      <c r="B851" s="76" t="s">
        <v>567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465</v>
      </c>
      <c r="F851" s="54"/>
      <c r="G851" s="63"/>
      <c r="H851" s="57"/>
    </row>
    <row r="852" spans="1:8" hidden="1" x14ac:dyDescent="0.2">
      <c r="A852" s="54">
        <v>105</v>
      </c>
      <c r="B852" s="76" t="s">
        <v>567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 x14ac:dyDescent="0.2">
      <c r="A853" s="54">
        <v>106</v>
      </c>
      <c r="B853" s="76" t="s">
        <v>567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 x14ac:dyDescent="0.2">
      <c r="A854" s="54">
        <v>107</v>
      </c>
      <c r="B854" s="76" t="s">
        <v>567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 x14ac:dyDescent="0.2">
      <c r="A855" s="54">
        <v>108</v>
      </c>
      <c r="B855" s="76" t="s">
        <v>567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 x14ac:dyDescent="0.2">
      <c r="A856" s="54">
        <v>109</v>
      </c>
      <c r="B856" s="76" t="s">
        <v>567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 x14ac:dyDescent="0.2">
      <c r="A857" s="54">
        <v>110</v>
      </c>
      <c r="B857" s="76" t="s">
        <v>567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 x14ac:dyDescent="0.2">
      <c r="A858" s="54">
        <v>111</v>
      </c>
      <c r="B858" s="76" t="s">
        <v>567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 x14ac:dyDescent="0.2">
      <c r="A859" s="54">
        <v>112</v>
      </c>
      <c r="B859" s="76" t="s">
        <v>567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 x14ac:dyDescent="0.2">
      <c r="A860" s="54">
        <v>113</v>
      </c>
      <c r="B860" s="76" t="s">
        <v>567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 x14ac:dyDescent="0.2">
      <c r="A861" s="54">
        <v>114</v>
      </c>
      <c r="B861" s="76" t="s">
        <v>567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 x14ac:dyDescent="0.2">
      <c r="A862" s="54">
        <v>115</v>
      </c>
      <c r="B862" s="76" t="s">
        <v>567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 x14ac:dyDescent="0.2">
      <c r="A863" s="54">
        <v>116</v>
      </c>
      <c r="B863" s="76" t="s">
        <v>567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 x14ac:dyDescent="0.2">
      <c r="A864" s="54">
        <v>117</v>
      </c>
      <c r="B864" s="76" t="s">
        <v>567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 x14ac:dyDescent="0.2">
      <c r="A865" s="54">
        <v>118</v>
      </c>
      <c r="B865" s="76" t="s">
        <v>567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 x14ac:dyDescent="0.2">
      <c r="A866" s="54">
        <v>119</v>
      </c>
      <c r="B866" s="76" t="s">
        <v>567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 x14ac:dyDescent="0.2">
      <c r="A867" s="54">
        <v>120</v>
      </c>
      <c r="B867" s="76" t="s">
        <v>567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467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 x14ac:dyDescent="0.2">
      <c r="A868" s="54">
        <v>121</v>
      </c>
      <c r="B868" s="76" t="s">
        <v>567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466</v>
      </c>
      <c r="F868" s="54"/>
      <c r="G868" s="57">
        <v>11000</v>
      </c>
      <c r="H868" s="57">
        <f t="shared" si="25"/>
        <v>0</v>
      </c>
    </row>
    <row r="869" spans="1:8" hidden="1" x14ac:dyDescent="0.2">
      <c r="A869" s="54">
        <v>122</v>
      </c>
      <c r="B869" s="76" t="s">
        <v>567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468</v>
      </c>
      <c r="F869" s="54"/>
      <c r="G869" s="57">
        <v>18000</v>
      </c>
      <c r="H869" s="57">
        <f t="shared" si="25"/>
        <v>0</v>
      </c>
    </row>
    <row r="870" spans="1:8" hidden="1" x14ac:dyDescent="0.2">
      <c r="A870" s="54">
        <v>123</v>
      </c>
      <c r="B870" s="76" t="s">
        <v>567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469</v>
      </c>
      <c r="F870" s="54"/>
      <c r="G870" s="57">
        <v>13000</v>
      </c>
      <c r="H870" s="57">
        <f t="shared" si="25"/>
        <v>0</v>
      </c>
    </row>
    <row r="871" spans="1:8" hidden="1" x14ac:dyDescent="0.2">
      <c r="A871" s="54">
        <v>124</v>
      </c>
      <c r="B871" s="76" t="s">
        <v>567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 x14ac:dyDescent="0.2">
      <c r="A872" s="54">
        <v>125</v>
      </c>
      <c r="B872" s="76" t="s">
        <v>567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 x14ac:dyDescent="0.2">
      <c r="A873" s="54">
        <v>126</v>
      </c>
      <c r="B873" s="76" t="s">
        <v>567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 x14ac:dyDescent="0.2">
      <c r="A874" s="54">
        <v>127</v>
      </c>
      <c r="B874" s="76" t="s">
        <v>567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 x14ac:dyDescent="0.2">
      <c r="A875" s="54">
        <v>128</v>
      </c>
      <c r="B875" s="76" t="s">
        <v>567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 x14ac:dyDescent="0.2">
      <c r="A876" s="54">
        <v>129</v>
      </c>
      <c r="B876" s="76" t="s">
        <v>567</v>
      </c>
      <c r="C876" s="54" t="e">
        <f>FORMULACION!#REF!</f>
        <v>#REF!</v>
      </c>
      <c r="D876" s="54" t="e">
        <f>FORMULACION!#REF!</f>
        <v>#REF!</v>
      </c>
      <c r="E876" s="56" t="s">
        <v>514</v>
      </c>
      <c r="F876" s="54"/>
      <c r="G876" s="57">
        <v>150000</v>
      </c>
      <c r="H876" s="57">
        <f t="shared" si="25"/>
        <v>0</v>
      </c>
    </row>
    <row r="877" spans="1:8" hidden="1" x14ac:dyDescent="0.2">
      <c r="A877" s="54">
        <v>130</v>
      </c>
      <c r="B877" s="76" t="s">
        <v>567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 x14ac:dyDescent="0.2">
      <c r="A878" s="54">
        <v>132</v>
      </c>
      <c r="B878" s="76" t="s">
        <v>567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 x14ac:dyDescent="0.2">
      <c r="A879" s="54">
        <v>133</v>
      </c>
      <c r="B879" s="76" t="s">
        <v>567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 x14ac:dyDescent="0.2">
      <c r="A880" s="54">
        <v>135</v>
      </c>
      <c r="B880" s="76" t="s">
        <v>567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 x14ac:dyDescent="0.2">
      <c r="A881" s="54">
        <v>136</v>
      </c>
      <c r="B881" s="76" t="s">
        <v>567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 x14ac:dyDescent="0.2">
      <c r="A882" s="54">
        <v>137</v>
      </c>
      <c r="B882" s="76" t="s">
        <v>567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 x14ac:dyDescent="0.2">
      <c r="A883" s="54">
        <v>138</v>
      </c>
      <c r="B883" s="76" t="s">
        <v>567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 x14ac:dyDescent="0.2">
      <c r="A884" s="54">
        <v>139</v>
      </c>
      <c r="B884" s="76" t="s">
        <v>567</v>
      </c>
      <c r="C884" s="54" t="e">
        <f>FORMULACION!#REF!</f>
        <v>#REF!</v>
      </c>
      <c r="D884" s="54" t="e">
        <f>FORMULACION!#REF!</f>
        <v>#REF!</v>
      </c>
      <c r="E884" s="56" t="s">
        <v>470</v>
      </c>
      <c r="F884" s="54"/>
      <c r="G884" s="57">
        <v>32000</v>
      </c>
      <c r="H884" s="57">
        <f t="shared" si="25"/>
        <v>0</v>
      </c>
    </row>
    <row r="885" spans="1:8" hidden="1" x14ac:dyDescent="0.2">
      <c r="A885" s="54">
        <v>140</v>
      </c>
      <c r="B885" s="76" t="s">
        <v>567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 x14ac:dyDescent="0.2">
      <c r="A886" s="54">
        <v>141</v>
      </c>
      <c r="B886" s="76" t="s">
        <v>567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 x14ac:dyDescent="0.2">
      <c r="A887" s="54">
        <v>142</v>
      </c>
      <c r="B887" s="76" t="s">
        <v>567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 x14ac:dyDescent="0.2">
      <c r="A888" s="54">
        <v>143</v>
      </c>
      <c r="B888" s="76" t="s">
        <v>567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 x14ac:dyDescent="0.2">
      <c r="A889" s="54">
        <v>144</v>
      </c>
      <c r="B889" s="76" t="s">
        <v>567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471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 x14ac:dyDescent="0.2">
      <c r="A890" s="54">
        <v>145</v>
      </c>
      <c r="B890" s="76" t="s">
        <v>567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 x14ac:dyDescent="0.2">
      <c r="A891" s="54">
        <v>146</v>
      </c>
      <c r="B891" s="76" t="s">
        <v>567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472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 x14ac:dyDescent="0.2">
      <c r="A892" s="54">
        <v>147</v>
      </c>
      <c r="B892" s="76" t="s">
        <v>567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 x14ac:dyDescent="0.2">
      <c r="A893" s="54">
        <v>148</v>
      </c>
      <c r="B893" s="76" t="s">
        <v>567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 x14ac:dyDescent="0.2">
      <c r="A894" s="54">
        <v>149</v>
      </c>
      <c r="B894" s="76" t="s">
        <v>567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 x14ac:dyDescent="0.2">
      <c r="A895" s="54">
        <v>150</v>
      </c>
      <c r="B895" s="76" t="s">
        <v>567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473</v>
      </c>
      <c r="F895" s="54"/>
      <c r="G895" s="57">
        <v>12900</v>
      </c>
      <c r="H895" s="57">
        <f t="shared" si="25"/>
        <v>0</v>
      </c>
    </row>
    <row r="896" spans="1:8" hidden="1" x14ac:dyDescent="0.2">
      <c r="A896" s="54">
        <v>151</v>
      </c>
      <c r="B896" s="76" t="s">
        <v>567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474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 x14ac:dyDescent="0.2">
      <c r="A897" s="54">
        <v>152</v>
      </c>
      <c r="B897" s="76" t="s">
        <v>567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 x14ac:dyDescent="0.2">
      <c r="A898" s="54">
        <v>153</v>
      </c>
      <c r="B898" s="76" t="s">
        <v>567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475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 x14ac:dyDescent="0.2">
      <c r="A899" s="54">
        <v>154</v>
      </c>
      <c r="B899" s="76" t="s">
        <v>567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476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 x14ac:dyDescent="0.2">
      <c r="A900" s="54">
        <v>155</v>
      </c>
      <c r="B900" s="76" t="s">
        <v>567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477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 x14ac:dyDescent="0.2">
      <c r="A901" s="54">
        <v>156</v>
      </c>
      <c r="B901" s="76" t="s">
        <v>567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 x14ac:dyDescent="0.2">
      <c r="A902" s="54">
        <v>157</v>
      </c>
      <c r="B902" s="76" t="s">
        <v>567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478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 x14ac:dyDescent="0.2">
      <c r="A903" s="54">
        <v>158</v>
      </c>
      <c r="B903" s="76" t="s">
        <v>567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 x14ac:dyDescent="0.2">
      <c r="A904" s="54">
        <v>159</v>
      </c>
      <c r="B904" s="76" t="s">
        <v>567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 x14ac:dyDescent="0.2">
      <c r="A905" s="54">
        <v>160</v>
      </c>
      <c r="B905" s="76" t="s">
        <v>567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479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 x14ac:dyDescent="0.2">
      <c r="A906" s="54">
        <v>161</v>
      </c>
      <c r="B906" s="76" t="s">
        <v>567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480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 x14ac:dyDescent="0.2">
      <c r="A907" s="54">
        <v>162</v>
      </c>
      <c r="B907" s="76" t="s">
        <v>567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 x14ac:dyDescent="0.2">
      <c r="A908" s="54">
        <v>163</v>
      </c>
      <c r="B908" s="76" t="s">
        <v>567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 x14ac:dyDescent="0.2">
      <c r="A909" s="54">
        <v>164</v>
      </c>
      <c r="B909" s="76" t="s">
        <v>567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 x14ac:dyDescent="0.2">
      <c r="A910" s="54">
        <v>165</v>
      </c>
      <c r="B910" s="76" t="s">
        <v>567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 x14ac:dyDescent="0.2">
      <c r="A911" s="54">
        <v>166</v>
      </c>
      <c r="B911" s="76" t="s">
        <v>567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 x14ac:dyDescent="0.2">
      <c r="A912" s="54">
        <v>167</v>
      </c>
      <c r="B912" s="76" t="s">
        <v>567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 x14ac:dyDescent="0.2">
      <c r="A913" s="54">
        <v>168</v>
      </c>
      <c r="B913" s="76" t="s">
        <v>567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 x14ac:dyDescent="0.2">
      <c r="A914" s="54">
        <v>169</v>
      </c>
      <c r="B914" s="76" t="s">
        <v>567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 x14ac:dyDescent="0.2">
      <c r="A915" s="54">
        <v>170</v>
      </c>
      <c r="B915" s="76" t="s">
        <v>567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 x14ac:dyDescent="0.2">
      <c r="A916" s="54">
        <v>171</v>
      </c>
      <c r="B916" s="76" t="s">
        <v>567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18.75" hidden="1" x14ac:dyDescent="0.2">
      <c r="A917" s="54">
        <v>172</v>
      </c>
      <c r="B917" s="76" t="s">
        <v>567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 x14ac:dyDescent="0.2">
      <c r="A918" s="54">
        <v>173</v>
      </c>
      <c r="B918" s="76" t="s">
        <v>567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 x14ac:dyDescent="0.2">
      <c r="A919" s="54">
        <v>174</v>
      </c>
      <c r="B919" s="76" t="s">
        <v>567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 x14ac:dyDescent="0.2">
      <c r="A920" s="54">
        <v>175</v>
      </c>
      <c r="B920" s="76" t="s">
        <v>567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 x14ac:dyDescent="0.2">
      <c r="A921" s="54">
        <v>176</v>
      </c>
      <c r="B921" s="76" t="s">
        <v>567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 x14ac:dyDescent="0.2">
      <c r="A922" s="54">
        <v>177</v>
      </c>
      <c r="B922" s="76" t="s">
        <v>567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 x14ac:dyDescent="0.2">
      <c r="A923" s="54">
        <v>178</v>
      </c>
      <c r="B923" s="76" t="s">
        <v>567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 x14ac:dyDescent="0.2">
      <c r="A924" s="54">
        <v>179</v>
      </c>
      <c r="B924" s="76" t="s">
        <v>567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528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 x14ac:dyDescent="0.2">
      <c r="A925" s="54">
        <v>180</v>
      </c>
      <c r="B925" s="76" t="s">
        <v>567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 x14ac:dyDescent="0.2">
      <c r="A926" s="54">
        <v>181</v>
      </c>
      <c r="B926" s="76" t="s">
        <v>567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 x14ac:dyDescent="0.2">
      <c r="A927" s="54">
        <v>182</v>
      </c>
      <c r="B927" s="76" t="s">
        <v>567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 x14ac:dyDescent="0.2">
      <c r="A928" s="54">
        <v>183</v>
      </c>
      <c r="B928" s="76" t="s">
        <v>567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 x14ac:dyDescent="0.2">
      <c r="A929" s="54">
        <v>184</v>
      </c>
      <c r="B929" s="76" t="s">
        <v>567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 x14ac:dyDescent="0.2">
      <c r="A930" s="54">
        <v>185</v>
      </c>
      <c r="B930" s="76" t="s">
        <v>567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 x14ac:dyDescent="0.2">
      <c r="A931" s="54">
        <v>186</v>
      </c>
      <c r="B931" s="76" t="s">
        <v>567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 x14ac:dyDescent="0.2">
      <c r="A932" s="54">
        <v>187</v>
      </c>
      <c r="B932" s="76" t="s">
        <v>567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 x14ac:dyDescent="0.2">
      <c r="A933" s="54">
        <v>188</v>
      </c>
      <c r="B933" s="76" t="s">
        <v>567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 x14ac:dyDescent="0.2">
      <c r="A934" s="54">
        <v>189</v>
      </c>
      <c r="B934" s="76" t="s">
        <v>567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 x14ac:dyDescent="0.2">
      <c r="A935" s="54">
        <v>190</v>
      </c>
      <c r="B935" s="76" t="s">
        <v>567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 x14ac:dyDescent="0.2">
      <c r="A936" s="54">
        <v>191</v>
      </c>
      <c r="B936" s="76" t="s">
        <v>567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 x14ac:dyDescent="0.2">
      <c r="A937" s="54">
        <v>192</v>
      </c>
      <c r="B937" s="76" t="s">
        <v>567</v>
      </c>
      <c r="C937" s="54" t="str">
        <f>FORMULACION!C930</f>
        <v>MATERIAL PEDAGÓGICO</v>
      </c>
      <c r="D937" s="54" t="s">
        <v>135</v>
      </c>
      <c r="E937" s="56" t="s">
        <v>530</v>
      </c>
      <c r="F937" s="54"/>
      <c r="G937" s="57">
        <v>400000</v>
      </c>
      <c r="H937" s="57">
        <f t="shared" si="26"/>
        <v>0</v>
      </c>
    </row>
    <row r="938" spans="1:8" hidden="1" x14ac:dyDescent="0.2">
      <c r="A938" s="54">
        <v>193</v>
      </c>
      <c r="B938" s="76" t="s">
        <v>567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531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 x14ac:dyDescent="0.2">
      <c r="A939" s="54">
        <v>194</v>
      </c>
      <c r="B939" s="76" t="s">
        <v>567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 x14ac:dyDescent="0.2">
      <c r="A940" s="54">
        <v>195</v>
      </c>
      <c r="B940" s="76" t="s">
        <v>567</v>
      </c>
      <c r="C940" s="54" t="str">
        <f>FORMULACION!C876</f>
        <v>MATERIAL PEDAGÓGICO</v>
      </c>
      <c r="D940" s="78"/>
      <c r="E940" s="64" t="s">
        <v>481</v>
      </c>
      <c r="F940" s="54"/>
      <c r="G940" s="57"/>
      <c r="H940" s="57"/>
    </row>
    <row r="941" spans="1:8" hidden="1" x14ac:dyDescent="0.2">
      <c r="A941" s="54">
        <v>196</v>
      </c>
      <c r="B941" s="76" t="s">
        <v>567</v>
      </c>
      <c r="C941" s="54" t="str">
        <f>FORMULACION!C877</f>
        <v>MATERIAL PEDAGÓGICO</v>
      </c>
      <c r="D941" s="78"/>
      <c r="E941" s="64" t="s">
        <v>482</v>
      </c>
      <c r="F941" s="54"/>
      <c r="G941" s="57"/>
      <c r="H941" s="57"/>
    </row>
    <row r="942" spans="1:8" hidden="1" x14ac:dyDescent="0.2">
      <c r="A942" s="54">
        <v>197</v>
      </c>
      <c r="B942" s="76" t="s">
        <v>567</v>
      </c>
      <c r="C942" s="54" t="str">
        <f>FORMULACION!C878</f>
        <v>MATERIAL PEDAGÓGICO</v>
      </c>
      <c r="D942" s="78"/>
      <c r="E942" s="64" t="s">
        <v>483</v>
      </c>
      <c r="F942" s="54"/>
      <c r="G942" s="57"/>
      <c r="H942" s="57"/>
    </row>
    <row r="943" spans="1:8" hidden="1" x14ac:dyDescent="0.2">
      <c r="A943" s="54">
        <v>198</v>
      </c>
      <c r="B943" s="76" t="s">
        <v>567</v>
      </c>
      <c r="C943" s="54" t="str">
        <f>FORMULACION!C877</f>
        <v>MATERIAL PEDAGÓGICO</v>
      </c>
      <c r="D943" s="78"/>
      <c r="E943" s="64" t="s">
        <v>484</v>
      </c>
      <c r="F943" s="54"/>
      <c r="G943" s="57"/>
      <c r="H943" s="57"/>
    </row>
    <row r="944" spans="1:8" hidden="1" x14ac:dyDescent="0.2">
      <c r="A944" s="54">
        <v>199</v>
      </c>
      <c r="B944" s="76" t="s">
        <v>567</v>
      </c>
      <c r="C944" s="54" t="str">
        <f>FORMULACION!C878</f>
        <v>MATERIAL PEDAGÓGICO</v>
      </c>
      <c r="D944" s="78"/>
      <c r="E944" s="64" t="s">
        <v>533</v>
      </c>
      <c r="F944" s="54"/>
      <c r="G944" s="57"/>
      <c r="H944" s="57"/>
    </row>
    <row r="945" spans="1:8" hidden="1" x14ac:dyDescent="0.2">
      <c r="A945" s="54">
        <v>200</v>
      </c>
      <c r="B945" s="76" t="s">
        <v>567</v>
      </c>
      <c r="C945" s="54" t="str">
        <f>FORMULACION!C879</f>
        <v>MATERIAL PEDAGÓGICO</v>
      </c>
      <c r="D945" s="78"/>
      <c r="E945" s="64" t="s">
        <v>485</v>
      </c>
      <c r="F945" s="54"/>
      <c r="G945" s="57"/>
      <c r="H945" s="57"/>
    </row>
    <row r="946" spans="1:8" hidden="1" x14ac:dyDescent="0.2">
      <c r="A946" s="54">
        <v>201</v>
      </c>
      <c r="B946" s="76" t="s">
        <v>567</v>
      </c>
      <c r="C946" s="54" t="str">
        <f>FORMULACION!C880</f>
        <v>MATERIAL PEDAGÓGICO</v>
      </c>
      <c r="D946" s="78"/>
      <c r="E946" s="64" t="s">
        <v>486</v>
      </c>
      <c r="F946" s="54"/>
      <c r="G946" s="57"/>
      <c r="H946" s="57"/>
    </row>
    <row r="947" spans="1:8" hidden="1" x14ac:dyDescent="0.2">
      <c r="A947" s="54">
        <v>202</v>
      </c>
      <c r="B947" s="76" t="s">
        <v>567</v>
      </c>
      <c r="C947" s="54" t="str">
        <f>FORMULACION!C881</f>
        <v>MATERIAL PEDAGÓGICO</v>
      </c>
      <c r="D947" s="78"/>
      <c r="E947" s="64" t="s">
        <v>487</v>
      </c>
      <c r="F947" s="54"/>
      <c r="G947" s="57"/>
      <c r="H947" s="57"/>
    </row>
    <row r="948" spans="1:8" hidden="1" x14ac:dyDescent="0.2">
      <c r="A948" s="54">
        <v>203</v>
      </c>
      <c r="B948" s="76" t="s">
        <v>567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 x14ac:dyDescent="0.2">
      <c r="A949" s="54">
        <v>204</v>
      </c>
      <c r="B949" s="76" t="s">
        <v>567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 x14ac:dyDescent="0.2">
      <c r="A950" s="54">
        <v>205</v>
      </c>
      <c r="B950" s="76" t="s">
        <v>567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 x14ac:dyDescent="0.2">
      <c r="A951" s="54">
        <v>206</v>
      </c>
      <c r="B951" s="76" t="s">
        <v>567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 x14ac:dyDescent="0.2">
      <c r="A952" s="54">
        <v>207</v>
      </c>
      <c r="B952" s="76" t="s">
        <v>567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 x14ac:dyDescent="0.2">
      <c r="A953" s="54">
        <v>208</v>
      </c>
      <c r="B953" s="76" t="s">
        <v>567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 x14ac:dyDescent="0.2">
      <c r="A954" s="54">
        <v>209</v>
      </c>
      <c r="B954" s="76" t="s">
        <v>567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 x14ac:dyDescent="0.2">
      <c r="A955" s="54">
        <v>210</v>
      </c>
      <c r="B955" s="76" t="s">
        <v>567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 x14ac:dyDescent="0.2">
      <c r="A956" s="54">
        <v>211</v>
      </c>
      <c r="B956" s="76" t="s">
        <v>567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 x14ac:dyDescent="0.2">
      <c r="A957" s="54">
        <v>212</v>
      </c>
      <c r="B957" s="76" t="s">
        <v>567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 x14ac:dyDescent="0.2">
      <c r="A958" s="54">
        <v>213</v>
      </c>
      <c r="B958" s="76" t="s">
        <v>567</v>
      </c>
      <c r="C958" s="54" t="str">
        <f>FORMULACION!C828</f>
        <v>MOBILIARIO</v>
      </c>
      <c r="D958" s="54" t="str">
        <f>FORMULACION!D828</f>
        <v>MOBILIARIO COMEDOR</v>
      </c>
      <c r="E958" s="56" t="s">
        <v>455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 x14ac:dyDescent="0.2">
      <c r="A959" s="54">
        <v>214</v>
      </c>
      <c r="B959" s="76" t="s">
        <v>567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 x14ac:dyDescent="0.2">
      <c r="A960" s="54">
        <v>215</v>
      </c>
      <c r="B960" s="76" t="s">
        <v>567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 x14ac:dyDescent="0.2">
      <c r="A961" s="54">
        <v>216</v>
      </c>
      <c r="B961" s="76" t="s">
        <v>567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 x14ac:dyDescent="0.2">
      <c r="A962" s="54">
        <v>217</v>
      </c>
      <c r="B962" s="76" t="s">
        <v>567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 x14ac:dyDescent="0.2">
      <c r="A963" s="54">
        <v>218</v>
      </c>
      <c r="B963" s="76" t="s">
        <v>567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 x14ac:dyDescent="0.2">
      <c r="A964" s="54">
        <v>219</v>
      </c>
      <c r="B964" s="76" t="s">
        <v>567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 x14ac:dyDescent="0.2">
      <c r="A965" s="54">
        <v>220</v>
      </c>
      <c r="B965" s="76" t="s">
        <v>567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 x14ac:dyDescent="0.2">
      <c r="A966" s="54">
        <v>221</v>
      </c>
      <c r="B966" s="76" t="s">
        <v>567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 x14ac:dyDescent="0.2">
      <c r="A967" s="54">
        <v>222</v>
      </c>
      <c r="B967" s="76" t="s">
        <v>567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 x14ac:dyDescent="0.2">
      <c r="A968" s="54">
        <v>223</v>
      </c>
      <c r="B968" s="76" t="s">
        <v>567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 x14ac:dyDescent="0.2">
      <c r="A969" s="54">
        <v>224</v>
      </c>
      <c r="B969" s="76" t="s">
        <v>567</v>
      </c>
      <c r="C969" s="54" t="str">
        <f>FORMULACION!C839</f>
        <v>MOBILIARIO</v>
      </c>
      <c r="D969" s="54" t="str">
        <f>FORMULACION!D839</f>
        <v>MOBILIARIO OFICINA</v>
      </c>
      <c r="E969" s="56" t="s">
        <v>456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 x14ac:dyDescent="0.2">
      <c r="A970" s="54">
        <v>225</v>
      </c>
      <c r="B970" s="76" t="s">
        <v>567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 x14ac:dyDescent="0.2">
      <c r="A971" s="54">
        <v>226</v>
      </c>
      <c r="B971" s="76" t="s">
        <v>567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 x14ac:dyDescent="0.2">
      <c r="A972" s="54">
        <v>227</v>
      </c>
      <c r="B972" s="76" t="s">
        <v>567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 x14ac:dyDescent="0.2">
      <c r="A973" s="54">
        <v>228</v>
      </c>
      <c r="B973" s="76" t="s">
        <v>567</v>
      </c>
      <c r="C973" s="54" t="str">
        <f>FORMULACION!C840</f>
        <v>MOBILIARIO</v>
      </c>
      <c r="D973" s="54" t="str">
        <f>FORMULACION!D840</f>
        <v>MOBILIARIO OFICINA</v>
      </c>
      <c r="E973" s="56" t="s">
        <v>535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 x14ac:dyDescent="0.2">
      <c r="A974" s="54">
        <v>229</v>
      </c>
      <c r="B974" s="76" t="s">
        <v>567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457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 x14ac:dyDescent="0.2">
      <c r="A975" s="54">
        <v>230</v>
      </c>
      <c r="B975" s="76" t="s">
        <v>567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 x14ac:dyDescent="0.2">
      <c r="A976" s="54">
        <v>231</v>
      </c>
      <c r="B976" s="76" t="s">
        <v>567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 x14ac:dyDescent="0.2">
      <c r="A977" s="54">
        <v>232</v>
      </c>
      <c r="B977" s="76" t="s">
        <v>567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 x14ac:dyDescent="0.2">
      <c r="A978" s="54">
        <v>233</v>
      </c>
      <c r="B978" s="76" t="s">
        <v>567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 x14ac:dyDescent="0.2">
      <c r="A979" s="54">
        <v>234</v>
      </c>
      <c r="B979" s="76" t="s">
        <v>567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 x14ac:dyDescent="0.2">
      <c r="A980" s="54">
        <v>235</v>
      </c>
      <c r="B980" s="76" t="s">
        <v>567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458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 x14ac:dyDescent="0.2">
      <c r="A981" s="54">
        <v>236</v>
      </c>
      <c r="B981" s="76" t="s">
        <v>567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 x14ac:dyDescent="0.2">
      <c r="A982" s="54">
        <v>237</v>
      </c>
      <c r="B982" s="76" t="s">
        <v>567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 x14ac:dyDescent="0.2">
      <c r="A983" s="54">
        <v>238</v>
      </c>
      <c r="B983" s="76" t="s">
        <v>567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 x14ac:dyDescent="0.2">
      <c r="A984" s="54">
        <v>239</v>
      </c>
      <c r="B984" s="76" t="s">
        <v>567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 x14ac:dyDescent="0.2">
      <c r="A985" s="54">
        <v>240</v>
      </c>
      <c r="B985" s="76" t="s">
        <v>567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 x14ac:dyDescent="0.2">
      <c r="A986" s="54">
        <v>241</v>
      </c>
      <c r="B986" s="76" t="s">
        <v>567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 x14ac:dyDescent="0.2">
      <c r="A987" s="54">
        <v>1</v>
      </c>
      <c r="B987" s="75" t="s">
        <v>568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 x14ac:dyDescent="0.2">
      <c r="A988" s="54">
        <v>2</v>
      </c>
      <c r="B988" s="75" t="s">
        <v>568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 x14ac:dyDescent="0.2">
      <c r="A989" s="54">
        <v>3</v>
      </c>
      <c r="B989" s="75" t="s">
        <v>568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 x14ac:dyDescent="0.2">
      <c r="A990" s="54">
        <v>4</v>
      </c>
      <c r="B990" s="75" t="s">
        <v>568</v>
      </c>
      <c r="C990" s="54" t="s">
        <v>16</v>
      </c>
      <c r="D990" s="54" t="s">
        <v>20</v>
      </c>
      <c r="E990" s="56" t="s">
        <v>433</v>
      </c>
      <c r="F990" s="55"/>
      <c r="G990" s="57"/>
      <c r="H990" s="57"/>
    </row>
    <row r="991" spans="1:8" hidden="1" x14ac:dyDescent="0.2">
      <c r="A991" s="54">
        <v>5</v>
      </c>
      <c r="B991" s="75" t="s">
        <v>568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 x14ac:dyDescent="0.2">
      <c r="A992" s="54">
        <v>6</v>
      </c>
      <c r="B992" s="75" t="s">
        <v>568</v>
      </c>
      <c r="C992" s="54" t="str">
        <f>FORMULACION!C971</f>
        <v>COCINA</v>
      </c>
      <c r="D992" s="54" t="str">
        <f>FORMULACION!D971</f>
        <v>EQUIPOS</v>
      </c>
      <c r="E992" s="58" t="s">
        <v>439</v>
      </c>
      <c r="F992" s="55">
        <v>1</v>
      </c>
      <c r="G992" s="57">
        <v>50000</v>
      </c>
      <c r="H992" s="57">
        <f t="shared" si="28"/>
        <v>50000</v>
      </c>
    </row>
    <row r="993" spans="1:8" hidden="1" x14ac:dyDescent="0.2">
      <c r="A993" s="54">
        <v>7</v>
      </c>
      <c r="B993" s="75" t="s">
        <v>568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 x14ac:dyDescent="0.2">
      <c r="A994" s="54">
        <v>8</v>
      </c>
      <c r="B994" s="75" t="s">
        <v>568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 x14ac:dyDescent="0.2">
      <c r="A995" s="54">
        <v>9</v>
      </c>
      <c r="B995" s="75" t="s">
        <v>568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 x14ac:dyDescent="0.2">
      <c r="A996" s="54">
        <v>10</v>
      </c>
      <c r="B996" s="75" t="s">
        <v>568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 x14ac:dyDescent="0.2">
      <c r="A997" s="54">
        <v>11</v>
      </c>
      <c r="B997" s="75" t="s">
        <v>568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 x14ac:dyDescent="0.2">
      <c r="A998" s="54">
        <v>12</v>
      </c>
      <c r="B998" s="75" t="s">
        <v>568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 x14ac:dyDescent="0.2">
      <c r="A999" s="54">
        <v>13</v>
      </c>
      <c r="B999" s="75" t="s">
        <v>568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 x14ac:dyDescent="0.2">
      <c r="A1000" s="54">
        <v>14</v>
      </c>
      <c r="B1000" s="75" t="s">
        <v>568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0</v>
      </c>
      <c r="G1000" s="57">
        <v>42000</v>
      </c>
      <c r="H1000" s="57">
        <f t="shared" si="28"/>
        <v>0</v>
      </c>
    </row>
    <row r="1001" spans="1:8" hidden="1" x14ac:dyDescent="0.2">
      <c r="A1001" s="54">
        <v>15</v>
      </c>
      <c r="B1001" s="75" t="s">
        <v>568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 x14ac:dyDescent="0.2">
      <c r="A1002" s="54">
        <v>16</v>
      </c>
      <c r="B1002" s="75" t="s">
        <v>568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 x14ac:dyDescent="0.2">
      <c r="A1003" s="54">
        <v>17</v>
      </c>
      <c r="B1003" s="75" t="s">
        <v>568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 x14ac:dyDescent="0.2">
      <c r="A1004" s="54">
        <v>18</v>
      </c>
      <c r="B1004" s="75" t="s">
        <v>568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 x14ac:dyDescent="0.2">
      <c r="A1005" s="54">
        <v>19</v>
      </c>
      <c r="B1005" s="75" t="s">
        <v>568</v>
      </c>
      <c r="C1005" s="54" t="str">
        <f>FORMULACION!C997</f>
        <v>COCINA</v>
      </c>
      <c r="D1005" s="54" t="str">
        <f>FORMULACION!E997</f>
        <v>CUBERTERIA</v>
      </c>
      <c r="E1005" s="58" t="s">
        <v>438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 x14ac:dyDescent="0.2">
      <c r="A1006" s="54">
        <v>20</v>
      </c>
      <c r="B1006" s="75" t="s">
        <v>568</v>
      </c>
      <c r="C1006" s="54" t="str">
        <f>FORMULACION!C998</f>
        <v>COCINA</v>
      </c>
      <c r="D1006" s="54" t="str">
        <f>FORMULACION!E998</f>
        <v>CUBERTERIA</v>
      </c>
      <c r="E1006" s="56" t="s">
        <v>434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 x14ac:dyDescent="0.2">
      <c r="A1007" s="54">
        <v>21</v>
      </c>
      <c r="B1007" s="75" t="s">
        <v>568</v>
      </c>
      <c r="C1007" s="54" t="str">
        <f>FORMULACION!C1001</f>
        <v>COCINA</v>
      </c>
      <c r="D1007" s="54" t="str">
        <f>FORMULACION!E1001</f>
        <v>RECIPIENTES</v>
      </c>
      <c r="E1007" s="56" t="s">
        <v>435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 x14ac:dyDescent="0.2">
      <c r="A1008" s="54">
        <v>22</v>
      </c>
      <c r="B1008" s="75" t="s">
        <v>568</v>
      </c>
      <c r="C1008" s="54" t="str">
        <f>FORMULACION!C1003</f>
        <v>COCINA</v>
      </c>
      <c r="D1008" s="54" t="s">
        <v>41</v>
      </c>
      <c r="E1008" s="59" t="s">
        <v>436</v>
      </c>
      <c r="F1008" s="55">
        <v>1</v>
      </c>
      <c r="G1008" s="57"/>
      <c r="H1008" s="57"/>
    </row>
    <row r="1009" spans="1:8" hidden="1" x14ac:dyDescent="0.2">
      <c r="A1009" s="54">
        <v>23</v>
      </c>
      <c r="B1009" s="75" t="s">
        <v>568</v>
      </c>
      <c r="C1009" s="54" t="str">
        <f>FORMULACION!C1003</f>
        <v>COCINA</v>
      </c>
      <c r="D1009" s="54" t="str">
        <f>FORMULACION!E1003</f>
        <v>RECIPIENTES</v>
      </c>
      <c r="E1009" s="60" t="s">
        <v>437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 x14ac:dyDescent="0.2">
      <c r="A1010" s="54">
        <v>24</v>
      </c>
      <c r="B1010" s="75" t="s">
        <v>568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 x14ac:dyDescent="0.2">
      <c r="A1011" s="54">
        <v>25</v>
      </c>
      <c r="B1011" s="75" t="s">
        <v>568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0</v>
      </c>
      <c r="G1011" s="57">
        <v>950000</v>
      </c>
      <c r="H1011" s="57">
        <f t="shared" si="29"/>
        <v>0</v>
      </c>
    </row>
    <row r="1012" spans="1:8" hidden="1" x14ac:dyDescent="0.2">
      <c r="A1012" s="54">
        <v>26</v>
      </c>
      <c r="B1012" s="75" t="s">
        <v>568</v>
      </c>
      <c r="C1012" s="54" t="s">
        <v>22</v>
      </c>
      <c r="D1012" s="54" t="s">
        <v>443</v>
      </c>
      <c r="E1012" s="56" t="s">
        <v>492</v>
      </c>
      <c r="F1012" s="54">
        <v>0</v>
      </c>
      <c r="G1012" s="57">
        <v>40000</v>
      </c>
      <c r="H1012" s="57">
        <f t="shared" si="29"/>
        <v>0</v>
      </c>
    </row>
    <row r="1013" spans="1:8" hidden="1" x14ac:dyDescent="0.2">
      <c r="A1013" s="54">
        <v>27</v>
      </c>
      <c r="B1013" s="75" t="s">
        <v>568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 x14ac:dyDescent="0.2">
      <c r="A1014" s="54">
        <v>28</v>
      </c>
      <c r="B1014" s="75" t="s">
        <v>568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 x14ac:dyDescent="0.2">
      <c r="A1015" s="54">
        <v>29</v>
      </c>
      <c r="B1015" s="75" t="s">
        <v>568</v>
      </c>
      <c r="C1015" s="54" t="str">
        <f>FORMULACION!C978</f>
        <v>COCINA</v>
      </c>
      <c r="D1015" s="54" t="str">
        <f>FORMULACION!E978</f>
        <v>EQUIPOS DE MEDICION</v>
      </c>
      <c r="E1015" s="56" t="s">
        <v>440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 x14ac:dyDescent="0.2">
      <c r="A1016" s="54">
        <v>30</v>
      </c>
      <c r="B1016" s="75" t="s">
        <v>568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 x14ac:dyDescent="0.2">
      <c r="A1017" s="54">
        <v>31</v>
      </c>
      <c r="B1017" s="75" t="s">
        <v>568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 x14ac:dyDescent="0.2">
      <c r="A1018" s="54">
        <v>32</v>
      </c>
      <c r="B1018" s="75" t="s">
        <v>568</v>
      </c>
      <c r="C1018" s="54" t="str">
        <f>FORMULACION!C979</f>
        <v>COCINA</v>
      </c>
      <c r="D1018" s="54" t="str">
        <f>FORMULACION!E979</f>
        <v>EQUIPOS DE MEDICION</v>
      </c>
      <c r="E1018" s="56" t="s">
        <v>441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 x14ac:dyDescent="0.2">
      <c r="A1019" s="54">
        <v>33</v>
      </c>
      <c r="B1019" s="75" t="s">
        <v>568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 x14ac:dyDescent="0.2">
      <c r="A1020" s="54">
        <v>34</v>
      </c>
      <c r="B1020" s="75" t="s">
        <v>568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442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 x14ac:dyDescent="0.2">
      <c r="A1021" s="54">
        <v>35</v>
      </c>
      <c r="B1021" s="75" t="s">
        <v>568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 x14ac:dyDescent="0.2">
      <c r="A1022" s="54">
        <v>36</v>
      </c>
      <c r="B1022" s="75" t="s">
        <v>568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 x14ac:dyDescent="0.2">
      <c r="A1023" s="54">
        <v>37</v>
      </c>
      <c r="B1023" s="75" t="s">
        <v>568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 x14ac:dyDescent="0.2">
      <c r="A1024" s="54">
        <v>38</v>
      </c>
      <c r="B1024" s="75" t="s">
        <v>568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495</v>
      </c>
      <c r="F1024" s="54">
        <f>FORMULACION!P984</f>
        <v>0</v>
      </c>
      <c r="G1024" s="57">
        <v>230000</v>
      </c>
      <c r="H1024" s="57">
        <f t="shared" si="29"/>
        <v>0</v>
      </c>
    </row>
    <row r="1025" spans="1:8" hidden="1" x14ac:dyDescent="0.2">
      <c r="A1025" s="54">
        <v>39</v>
      </c>
      <c r="B1025" s="75" t="s">
        <v>568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 x14ac:dyDescent="0.2">
      <c r="A1026" s="54">
        <v>40</v>
      </c>
      <c r="B1026" s="75" t="s">
        <v>568</v>
      </c>
      <c r="C1026" s="54" t="str">
        <f>FORMULACION!C1008</f>
        <v>COCINA</v>
      </c>
      <c r="D1026" s="54" t="str">
        <f>FORMULACION!E1008</f>
        <v>UTENSILIOS</v>
      </c>
      <c r="E1026" s="56" t="s">
        <v>444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 x14ac:dyDescent="0.2">
      <c r="A1027" s="54">
        <v>41</v>
      </c>
      <c r="B1027" s="75" t="s">
        <v>568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 x14ac:dyDescent="0.2">
      <c r="A1028" s="54">
        <v>42</v>
      </c>
      <c r="B1028" s="75" t="s">
        <v>568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 x14ac:dyDescent="0.2">
      <c r="A1029" s="54">
        <v>43</v>
      </c>
      <c r="B1029" s="75" t="s">
        <v>568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 x14ac:dyDescent="0.2">
      <c r="A1030" s="54">
        <v>44</v>
      </c>
      <c r="B1030" s="75" t="s">
        <v>568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 x14ac:dyDescent="0.2">
      <c r="A1031" s="54">
        <v>45</v>
      </c>
      <c r="B1031" s="75" t="s">
        <v>568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 x14ac:dyDescent="0.2">
      <c r="A1032" s="54">
        <v>46</v>
      </c>
      <c r="B1032" s="75" t="s">
        <v>568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 x14ac:dyDescent="0.2">
      <c r="A1033" s="54">
        <v>47</v>
      </c>
      <c r="B1033" s="75" t="s">
        <v>568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 x14ac:dyDescent="0.2">
      <c r="A1034" s="54">
        <v>48</v>
      </c>
      <c r="B1034" s="75" t="s">
        <v>568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 x14ac:dyDescent="0.2">
      <c r="A1035" s="54">
        <v>49</v>
      </c>
      <c r="B1035" s="75" t="s">
        <v>568</v>
      </c>
      <c r="C1035" s="54" t="str">
        <f>FORMULACION!C1014</f>
        <v>COCINA</v>
      </c>
      <c r="D1035" s="54" t="str">
        <f>FORMULACION!E1014</f>
        <v>UTENSILIOS</v>
      </c>
      <c r="E1035" s="56" t="s">
        <v>445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 x14ac:dyDescent="0.2">
      <c r="A1036" s="54">
        <v>50</v>
      </c>
      <c r="B1036" s="75" t="s">
        <v>568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 x14ac:dyDescent="0.2">
      <c r="A1037" s="54">
        <v>51</v>
      </c>
      <c r="B1037" s="75" t="s">
        <v>568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 x14ac:dyDescent="0.2">
      <c r="A1038" s="54">
        <v>52</v>
      </c>
      <c r="B1038" s="75" t="s">
        <v>568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 x14ac:dyDescent="0.2">
      <c r="A1039" s="54">
        <v>53</v>
      </c>
      <c r="B1039" s="75" t="s">
        <v>568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 x14ac:dyDescent="0.2">
      <c r="A1040" s="54">
        <v>54</v>
      </c>
      <c r="B1040" s="75" t="s">
        <v>568</v>
      </c>
      <c r="C1040" s="54" t="str">
        <f>FORMULACION!C1020</f>
        <v>COCINA</v>
      </c>
      <c r="D1040" s="54" t="str">
        <f>FORMULACION!E1020</f>
        <v>UTENSILIOS</v>
      </c>
      <c r="E1040" s="58" t="s">
        <v>488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 x14ac:dyDescent="0.2">
      <c r="A1041" s="54">
        <v>55</v>
      </c>
      <c r="B1041" s="75" t="s">
        <v>568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 x14ac:dyDescent="0.2">
      <c r="A1042" s="54">
        <v>56</v>
      </c>
      <c r="B1042" s="75" t="s">
        <v>568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0</v>
      </c>
      <c r="G1042" s="57">
        <v>59000</v>
      </c>
      <c r="H1042" s="57">
        <f t="shared" si="29"/>
        <v>0</v>
      </c>
    </row>
    <row r="1043" spans="1:8" hidden="1" x14ac:dyDescent="0.2">
      <c r="A1043" s="54">
        <v>57</v>
      </c>
      <c r="B1043" s="75" t="s">
        <v>568</v>
      </c>
      <c r="C1043" s="54" t="str">
        <f>FORMULACION!C1013</f>
        <v>COCINA</v>
      </c>
      <c r="D1043" s="54" t="str">
        <f>FORMULACION!E1013</f>
        <v>UTENSILIOS</v>
      </c>
      <c r="E1043" s="58" t="s">
        <v>446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 x14ac:dyDescent="0.2">
      <c r="A1044" s="54">
        <v>58</v>
      </c>
      <c r="B1044" s="75" t="s">
        <v>568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 x14ac:dyDescent="0.2">
      <c r="A1045" s="54">
        <v>58</v>
      </c>
      <c r="B1045" s="75" t="s">
        <v>568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60</v>
      </c>
      <c r="G1045" s="57">
        <v>19000</v>
      </c>
      <c r="H1045" s="57">
        <f t="shared" si="29"/>
        <v>1140000</v>
      </c>
    </row>
    <row r="1046" spans="1:8" hidden="1" x14ac:dyDescent="0.2">
      <c r="A1046" s="54">
        <v>60</v>
      </c>
      <c r="B1046" s="75" t="s">
        <v>568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 x14ac:dyDescent="0.2">
      <c r="A1047" s="54">
        <v>61</v>
      </c>
      <c r="B1047" s="75" t="s">
        <v>568</v>
      </c>
      <c r="C1047" s="54" t="str">
        <f>FORMULACION!C1027</f>
        <v>COCINA</v>
      </c>
      <c r="D1047" s="54" t="str">
        <f>FORMULACION!E1027</f>
        <v>UTENSILIOS</v>
      </c>
      <c r="E1047" s="56" t="s">
        <v>498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 x14ac:dyDescent="0.2">
      <c r="A1048" s="54">
        <v>62</v>
      </c>
      <c r="B1048" s="75" t="s">
        <v>568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 x14ac:dyDescent="0.2">
      <c r="A1049" s="54">
        <v>63</v>
      </c>
      <c r="B1049" s="75" t="s">
        <v>568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 x14ac:dyDescent="0.2">
      <c r="A1050" s="54">
        <v>64</v>
      </c>
      <c r="B1050" s="75" t="s">
        <v>568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 x14ac:dyDescent="0.2">
      <c r="A1051" s="54">
        <v>65</v>
      </c>
      <c r="B1051" s="75" t="s">
        <v>568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 x14ac:dyDescent="0.2">
      <c r="A1052" s="54">
        <v>66</v>
      </c>
      <c r="B1052" s="75" t="s">
        <v>568</v>
      </c>
      <c r="C1052" s="54" t="str">
        <f>FORMULACION!C1017</f>
        <v>COCINA</v>
      </c>
      <c r="D1052" s="54" t="str">
        <f>FORMULACION!E1017</f>
        <v>UTENSILIOS</v>
      </c>
      <c r="E1052" s="56" t="s">
        <v>447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 x14ac:dyDescent="0.2">
      <c r="A1053" s="54">
        <v>67</v>
      </c>
      <c r="B1053" s="75" t="s">
        <v>568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0</v>
      </c>
      <c r="G1053" s="57">
        <v>10000</v>
      </c>
      <c r="H1053" s="57">
        <f t="shared" si="29"/>
        <v>0</v>
      </c>
    </row>
    <row r="1054" spans="1:8" hidden="1" x14ac:dyDescent="0.2">
      <c r="A1054" s="54">
        <v>68</v>
      </c>
      <c r="B1054" s="75" t="s">
        <v>568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 x14ac:dyDescent="0.2">
      <c r="A1055" s="54">
        <v>69</v>
      </c>
      <c r="B1055" s="75" t="s">
        <v>568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0</v>
      </c>
      <c r="G1055" s="57">
        <v>25000</v>
      </c>
      <c r="H1055" s="57">
        <f t="shared" si="29"/>
        <v>0</v>
      </c>
    </row>
    <row r="1056" spans="1:8" hidden="1" x14ac:dyDescent="0.2">
      <c r="A1056" s="54">
        <v>70</v>
      </c>
      <c r="B1056" s="75" t="s">
        <v>568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 x14ac:dyDescent="0.2">
      <c r="A1057" s="54">
        <v>71</v>
      </c>
      <c r="B1057" s="75" t="s">
        <v>568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 x14ac:dyDescent="0.2">
      <c r="A1058" s="54">
        <v>72</v>
      </c>
      <c r="B1058" s="75" t="s">
        <v>568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 x14ac:dyDescent="0.2">
      <c r="A1059" s="54">
        <v>73</v>
      </c>
      <c r="B1059" s="75" t="s">
        <v>568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 x14ac:dyDescent="0.2">
      <c r="A1060" s="54">
        <v>74</v>
      </c>
      <c r="B1060" s="75" t="s">
        <v>568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448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 x14ac:dyDescent="0.2">
      <c r="A1061" s="54">
        <v>75</v>
      </c>
      <c r="B1061" s="75" t="s">
        <v>568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449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 x14ac:dyDescent="0.2">
      <c r="A1062" s="54">
        <v>76</v>
      </c>
      <c r="B1062" s="75" t="s">
        <v>568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451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 x14ac:dyDescent="0.2">
      <c r="A1063" s="54">
        <v>77</v>
      </c>
      <c r="B1063" s="75" t="s">
        <v>568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450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 x14ac:dyDescent="0.2">
      <c r="A1064" s="54">
        <v>78</v>
      </c>
      <c r="B1064" s="75" t="s">
        <v>568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452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 x14ac:dyDescent="0.2">
      <c r="A1065" s="54">
        <v>79</v>
      </c>
      <c r="B1065" s="75" t="s">
        <v>568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 x14ac:dyDescent="0.2">
      <c r="A1066" s="54">
        <v>80</v>
      </c>
      <c r="B1066" s="75" t="s">
        <v>568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 x14ac:dyDescent="0.2">
      <c r="A1067" s="54">
        <v>81</v>
      </c>
      <c r="B1067" s="75" t="s">
        <v>568</v>
      </c>
      <c r="C1067" s="54" t="str">
        <f>FORMULACION!C1045</f>
        <v>LENCERIA</v>
      </c>
      <c r="D1067" s="54" t="str">
        <f>FORMULACION!D1045</f>
        <v>LENCERIA DE CAMA</v>
      </c>
      <c r="E1067" s="62" t="s">
        <v>453</v>
      </c>
      <c r="F1067" s="54"/>
      <c r="G1067" s="61"/>
      <c r="H1067" s="57"/>
    </row>
    <row r="1068" spans="1:8" hidden="1" x14ac:dyDescent="0.2">
      <c r="A1068" s="54">
        <v>82</v>
      </c>
      <c r="B1068" s="75" t="s">
        <v>568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 x14ac:dyDescent="0.2">
      <c r="A1069" s="54">
        <v>83</v>
      </c>
      <c r="B1069" s="75" t="s">
        <v>568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 x14ac:dyDescent="0.2">
      <c r="A1070" s="54">
        <v>84</v>
      </c>
      <c r="B1070" s="75" t="s">
        <v>568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 x14ac:dyDescent="0.2">
      <c r="A1071" s="54">
        <v>85</v>
      </c>
      <c r="B1071" s="75" t="s">
        <v>568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 x14ac:dyDescent="0.2">
      <c r="A1072" s="54">
        <v>86</v>
      </c>
      <c r="B1072" s="75" t="s">
        <v>568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 x14ac:dyDescent="0.2">
      <c r="A1073" s="54">
        <v>87</v>
      </c>
      <c r="B1073" s="75" t="s">
        <v>568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 x14ac:dyDescent="0.2">
      <c r="A1074" s="54">
        <v>88</v>
      </c>
      <c r="B1074" s="75" t="s">
        <v>568</v>
      </c>
      <c r="C1074" s="54" t="str">
        <f>FORMULACION!C1049</f>
        <v>LENCERIA</v>
      </c>
      <c r="D1074" s="54" t="str">
        <f>FORMULACION!D1049</f>
        <v>LENCERIA</v>
      </c>
      <c r="E1074" s="56" t="s">
        <v>454</v>
      </c>
      <c r="F1074" s="54">
        <v>0</v>
      </c>
      <c r="G1074" s="61">
        <v>32000</v>
      </c>
      <c r="H1074" s="57">
        <f t="shared" si="30"/>
        <v>0</v>
      </c>
    </row>
    <row r="1075" spans="1:8" hidden="1" x14ac:dyDescent="0.2">
      <c r="A1075" s="54">
        <v>89</v>
      </c>
      <c r="B1075" s="75" t="s">
        <v>568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 x14ac:dyDescent="0.2">
      <c r="A1076" s="54">
        <v>90</v>
      </c>
      <c r="B1076" s="75" t="s">
        <v>568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0</v>
      </c>
      <c r="G1076" s="57">
        <v>32000</v>
      </c>
      <c r="H1076" s="57">
        <f t="shared" si="30"/>
        <v>0</v>
      </c>
    </row>
    <row r="1077" spans="1:8" hidden="1" x14ac:dyDescent="0.2">
      <c r="A1077" s="54">
        <v>91</v>
      </c>
      <c r="B1077" s="75" t="s">
        <v>568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 x14ac:dyDescent="0.2">
      <c r="A1078" s="54">
        <v>92</v>
      </c>
      <c r="B1078" s="75" t="s">
        <v>568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459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 x14ac:dyDescent="0.2">
      <c r="A1079" s="54">
        <v>93</v>
      </c>
      <c r="B1079" s="75" t="s">
        <v>568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460</v>
      </c>
      <c r="F1079" s="54">
        <v>0</v>
      </c>
      <c r="G1079" s="61">
        <v>55000</v>
      </c>
      <c r="H1079" s="57">
        <f t="shared" si="30"/>
        <v>0</v>
      </c>
    </row>
    <row r="1080" spans="1:8" hidden="1" x14ac:dyDescent="0.2">
      <c r="A1080" s="54">
        <v>94</v>
      </c>
      <c r="B1080" s="75" t="s">
        <v>568</v>
      </c>
      <c r="C1080" s="54" t="e">
        <f>FORMULACION!#REF!</f>
        <v>#REF!</v>
      </c>
      <c r="D1080" s="54" t="e">
        <f>FORMULACION!#REF!</f>
        <v>#REF!</v>
      </c>
      <c r="E1080" s="56" t="s">
        <v>461</v>
      </c>
      <c r="F1080" s="54">
        <v>0</v>
      </c>
      <c r="G1080" s="61">
        <v>30000</v>
      </c>
      <c r="H1080" s="57">
        <f t="shared" si="30"/>
        <v>0</v>
      </c>
    </row>
    <row r="1081" spans="1:8" hidden="1" x14ac:dyDescent="0.2">
      <c r="A1081" s="54">
        <v>95</v>
      </c>
      <c r="B1081" s="75" t="s">
        <v>568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 x14ac:dyDescent="0.2">
      <c r="A1082" s="54">
        <v>96</v>
      </c>
      <c r="B1082" s="75" t="s">
        <v>568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462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 x14ac:dyDescent="0.2">
      <c r="A1083" s="54">
        <v>97</v>
      </c>
      <c r="B1083" s="75" t="s">
        <v>568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 x14ac:dyDescent="0.2">
      <c r="A1084" s="54">
        <v>98</v>
      </c>
      <c r="B1084" s="75" t="s">
        <v>568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 x14ac:dyDescent="0.2">
      <c r="A1085" s="54">
        <v>99</v>
      </c>
      <c r="B1085" s="75" t="s">
        <v>568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463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 x14ac:dyDescent="0.2">
      <c r="A1086" s="54">
        <v>100</v>
      </c>
      <c r="B1086" s="75" t="s">
        <v>568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 x14ac:dyDescent="0.2">
      <c r="A1087" s="54">
        <v>101</v>
      </c>
      <c r="B1087" s="75" t="s">
        <v>568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464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 x14ac:dyDescent="0.2">
      <c r="A1088" s="54">
        <v>102</v>
      </c>
      <c r="B1088" s="75" t="s">
        <v>568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 x14ac:dyDescent="0.2">
      <c r="A1089" s="54">
        <v>103</v>
      </c>
      <c r="B1089" s="75" t="s">
        <v>568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 x14ac:dyDescent="0.2">
      <c r="A1090" s="54">
        <v>104</v>
      </c>
      <c r="B1090" s="75" t="s">
        <v>568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465</v>
      </c>
      <c r="F1090" s="54"/>
      <c r="G1090" s="63"/>
      <c r="H1090" s="57"/>
    </row>
    <row r="1091" spans="1:8" hidden="1" x14ac:dyDescent="0.2">
      <c r="A1091" s="54">
        <v>105</v>
      </c>
      <c r="B1091" s="75" t="s">
        <v>568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 x14ac:dyDescent="0.2">
      <c r="A1092" s="54">
        <v>106</v>
      </c>
      <c r="B1092" s="75" t="s">
        <v>568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 x14ac:dyDescent="0.2">
      <c r="A1093" s="54">
        <v>107</v>
      </c>
      <c r="B1093" s="75" t="s">
        <v>568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 x14ac:dyDescent="0.2">
      <c r="A1094" s="54">
        <v>108</v>
      </c>
      <c r="B1094" s="75" t="s">
        <v>568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 x14ac:dyDescent="0.2">
      <c r="A1095" s="54">
        <v>109</v>
      </c>
      <c r="B1095" s="75" t="s">
        <v>568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 x14ac:dyDescent="0.2">
      <c r="A1096" s="54">
        <v>110</v>
      </c>
      <c r="B1096" s="75" t="s">
        <v>568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 x14ac:dyDescent="0.2">
      <c r="A1097" s="54">
        <v>111</v>
      </c>
      <c r="B1097" s="75" t="s">
        <v>568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 x14ac:dyDescent="0.2">
      <c r="A1098" s="54">
        <v>112</v>
      </c>
      <c r="B1098" s="75" t="s">
        <v>568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 x14ac:dyDescent="0.2">
      <c r="A1099" s="54">
        <v>113</v>
      </c>
      <c r="B1099" s="75" t="s">
        <v>568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 x14ac:dyDescent="0.2">
      <c r="A1100" s="54">
        <v>114</v>
      </c>
      <c r="B1100" s="75" t="s">
        <v>568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 x14ac:dyDescent="0.2">
      <c r="A1101" s="54">
        <v>115</v>
      </c>
      <c r="B1101" s="75" t="s">
        <v>568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 x14ac:dyDescent="0.2">
      <c r="A1102" s="54">
        <v>116</v>
      </c>
      <c r="B1102" s="75" t="s">
        <v>568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 x14ac:dyDescent="0.2">
      <c r="A1103" s="54">
        <v>117</v>
      </c>
      <c r="B1103" s="75" t="s">
        <v>568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 x14ac:dyDescent="0.2">
      <c r="A1104" s="54">
        <v>118</v>
      </c>
      <c r="B1104" s="75" t="s">
        <v>568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 x14ac:dyDescent="0.2">
      <c r="A1105" s="54">
        <v>119</v>
      </c>
      <c r="B1105" s="75" t="s">
        <v>568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 x14ac:dyDescent="0.2">
      <c r="A1106" s="54">
        <v>120</v>
      </c>
      <c r="B1106" s="75" t="s">
        <v>568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467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 x14ac:dyDescent="0.2">
      <c r="A1107" s="54">
        <v>121</v>
      </c>
      <c r="B1107" s="75" t="s">
        <v>568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466</v>
      </c>
      <c r="F1107" s="54"/>
      <c r="G1107" s="57">
        <v>11000</v>
      </c>
      <c r="H1107" s="57">
        <f t="shared" si="31"/>
        <v>0</v>
      </c>
    </row>
    <row r="1108" spans="1:8" hidden="1" x14ac:dyDescent="0.2">
      <c r="A1108" s="54">
        <v>122</v>
      </c>
      <c r="B1108" s="75" t="s">
        <v>568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468</v>
      </c>
      <c r="F1108" s="54"/>
      <c r="G1108" s="57">
        <v>18000</v>
      </c>
      <c r="H1108" s="57">
        <f t="shared" si="31"/>
        <v>0</v>
      </c>
    </row>
    <row r="1109" spans="1:8" hidden="1" x14ac:dyDescent="0.2">
      <c r="A1109" s="54">
        <v>123</v>
      </c>
      <c r="B1109" s="75" t="s">
        <v>568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469</v>
      </c>
      <c r="F1109" s="54"/>
      <c r="G1109" s="57">
        <v>13000</v>
      </c>
      <c r="H1109" s="57">
        <f t="shared" si="31"/>
        <v>0</v>
      </c>
    </row>
    <row r="1110" spans="1:8" hidden="1" x14ac:dyDescent="0.2">
      <c r="A1110" s="54">
        <v>124</v>
      </c>
      <c r="B1110" s="75" t="s">
        <v>568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 x14ac:dyDescent="0.2">
      <c r="A1111" s="54">
        <v>125</v>
      </c>
      <c r="B1111" s="75" t="s">
        <v>568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 x14ac:dyDescent="0.2">
      <c r="A1112" s="54">
        <v>126</v>
      </c>
      <c r="B1112" s="75" t="s">
        <v>568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 x14ac:dyDescent="0.2">
      <c r="A1113" s="54">
        <v>127</v>
      </c>
      <c r="B1113" s="75" t="s">
        <v>568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 x14ac:dyDescent="0.2">
      <c r="A1114" s="54">
        <v>128</v>
      </c>
      <c r="B1114" s="75" t="s">
        <v>568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 x14ac:dyDescent="0.2">
      <c r="A1115" s="54">
        <v>129</v>
      </c>
      <c r="B1115" s="75" t="s">
        <v>568</v>
      </c>
      <c r="C1115" s="54" t="e">
        <f>FORMULACION!#REF!</f>
        <v>#REF!</v>
      </c>
      <c r="D1115" s="54" t="e">
        <f>FORMULACION!#REF!</f>
        <v>#REF!</v>
      </c>
      <c r="E1115" s="56" t="s">
        <v>514</v>
      </c>
      <c r="F1115" s="54"/>
      <c r="G1115" s="57">
        <v>150000</v>
      </c>
      <c r="H1115" s="57">
        <f t="shared" si="31"/>
        <v>0</v>
      </c>
    </row>
    <row r="1116" spans="1:8" hidden="1" x14ac:dyDescent="0.2">
      <c r="A1116" s="54">
        <v>130</v>
      </c>
      <c r="B1116" s="75" t="s">
        <v>568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 x14ac:dyDescent="0.2">
      <c r="A1117" s="54">
        <v>132</v>
      </c>
      <c r="B1117" s="75" t="s">
        <v>568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 x14ac:dyDescent="0.2">
      <c r="A1118" s="54">
        <v>133</v>
      </c>
      <c r="B1118" s="75" t="s">
        <v>568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 x14ac:dyDescent="0.2">
      <c r="A1119" s="54">
        <v>135</v>
      </c>
      <c r="B1119" s="75" t="s">
        <v>568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 x14ac:dyDescent="0.2">
      <c r="A1120" s="54">
        <v>136</v>
      </c>
      <c r="B1120" s="75" t="s">
        <v>568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 x14ac:dyDescent="0.2">
      <c r="A1121" s="54">
        <v>137</v>
      </c>
      <c r="B1121" s="75" t="s">
        <v>568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 x14ac:dyDescent="0.2">
      <c r="A1122" s="54">
        <v>138</v>
      </c>
      <c r="B1122" s="75" t="s">
        <v>568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 x14ac:dyDescent="0.2">
      <c r="A1123" s="54">
        <v>139</v>
      </c>
      <c r="B1123" s="75" t="s">
        <v>568</v>
      </c>
      <c r="C1123" s="54" t="e">
        <f>FORMULACION!#REF!</f>
        <v>#REF!</v>
      </c>
      <c r="D1123" s="54" t="e">
        <f>FORMULACION!#REF!</f>
        <v>#REF!</v>
      </c>
      <c r="E1123" s="56" t="s">
        <v>470</v>
      </c>
      <c r="F1123" s="54"/>
      <c r="G1123" s="57">
        <v>32000</v>
      </c>
      <c r="H1123" s="57">
        <f t="shared" si="31"/>
        <v>0</v>
      </c>
    </row>
    <row r="1124" spans="1:8" hidden="1" x14ac:dyDescent="0.2">
      <c r="A1124" s="54">
        <v>140</v>
      </c>
      <c r="B1124" s="75" t="s">
        <v>568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 x14ac:dyDescent="0.2">
      <c r="A1125" s="54">
        <v>141</v>
      </c>
      <c r="B1125" s="75" t="s">
        <v>568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 x14ac:dyDescent="0.2">
      <c r="A1126" s="54">
        <v>142</v>
      </c>
      <c r="B1126" s="75" t="s">
        <v>568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 x14ac:dyDescent="0.2">
      <c r="A1127" s="54">
        <v>143</v>
      </c>
      <c r="B1127" s="75" t="s">
        <v>568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 x14ac:dyDescent="0.2">
      <c r="A1128" s="54">
        <v>144</v>
      </c>
      <c r="B1128" s="75" t="s">
        <v>568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471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 x14ac:dyDescent="0.2">
      <c r="A1129" s="54">
        <v>145</v>
      </c>
      <c r="B1129" s="75" t="s">
        <v>568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 x14ac:dyDescent="0.2">
      <c r="A1130" s="54">
        <v>146</v>
      </c>
      <c r="B1130" s="75" t="s">
        <v>568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472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 x14ac:dyDescent="0.2">
      <c r="A1131" s="54">
        <v>147</v>
      </c>
      <c r="B1131" s="75" t="s">
        <v>568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 x14ac:dyDescent="0.2">
      <c r="A1132" s="54">
        <v>148</v>
      </c>
      <c r="B1132" s="75" t="s">
        <v>568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 x14ac:dyDescent="0.2">
      <c r="A1133" s="54">
        <v>149</v>
      </c>
      <c r="B1133" s="75" t="s">
        <v>568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 x14ac:dyDescent="0.2">
      <c r="A1134" s="54">
        <v>150</v>
      </c>
      <c r="B1134" s="75" t="s">
        <v>568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473</v>
      </c>
      <c r="F1134" s="54"/>
      <c r="G1134" s="57">
        <v>12900</v>
      </c>
      <c r="H1134" s="57">
        <f t="shared" si="31"/>
        <v>0</v>
      </c>
    </row>
    <row r="1135" spans="1:8" hidden="1" x14ac:dyDescent="0.2">
      <c r="A1135" s="54">
        <v>151</v>
      </c>
      <c r="B1135" s="75" t="s">
        <v>568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474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 x14ac:dyDescent="0.2">
      <c r="A1136" s="54">
        <v>152</v>
      </c>
      <c r="B1136" s="75" t="s">
        <v>568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 x14ac:dyDescent="0.2">
      <c r="A1137" s="54">
        <v>153</v>
      </c>
      <c r="B1137" s="75" t="s">
        <v>568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475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 x14ac:dyDescent="0.2">
      <c r="A1138" s="54">
        <v>154</v>
      </c>
      <c r="B1138" s="75" t="s">
        <v>568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476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 x14ac:dyDescent="0.2">
      <c r="A1139" s="54">
        <v>155</v>
      </c>
      <c r="B1139" s="75" t="s">
        <v>568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477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 x14ac:dyDescent="0.2">
      <c r="A1140" s="54">
        <v>156</v>
      </c>
      <c r="B1140" s="75" t="s">
        <v>568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 x14ac:dyDescent="0.2">
      <c r="A1141" s="54">
        <v>157</v>
      </c>
      <c r="B1141" s="75" t="s">
        <v>568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478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 x14ac:dyDescent="0.2">
      <c r="A1142" s="54">
        <v>158</v>
      </c>
      <c r="B1142" s="75" t="s">
        <v>568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 x14ac:dyDescent="0.2">
      <c r="A1143" s="54">
        <v>159</v>
      </c>
      <c r="B1143" s="75" t="s">
        <v>568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 x14ac:dyDescent="0.2">
      <c r="A1144" s="54">
        <v>160</v>
      </c>
      <c r="B1144" s="75" t="s">
        <v>568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479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 x14ac:dyDescent="0.2">
      <c r="A1145" s="54">
        <v>161</v>
      </c>
      <c r="B1145" s="75" t="s">
        <v>568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480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 x14ac:dyDescent="0.2">
      <c r="A1146" s="54">
        <v>162</v>
      </c>
      <c r="B1146" s="75" t="s">
        <v>568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 x14ac:dyDescent="0.2">
      <c r="A1147" s="54">
        <v>163</v>
      </c>
      <c r="B1147" s="75" t="s">
        <v>568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 x14ac:dyDescent="0.2">
      <c r="A1148" s="54">
        <v>164</v>
      </c>
      <c r="B1148" s="75" t="s">
        <v>568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 x14ac:dyDescent="0.2">
      <c r="A1149" s="54">
        <v>165</v>
      </c>
      <c r="B1149" s="75" t="s">
        <v>568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 x14ac:dyDescent="0.2">
      <c r="A1150" s="54">
        <v>166</v>
      </c>
      <c r="B1150" s="75" t="s">
        <v>568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 x14ac:dyDescent="0.2">
      <c r="A1151" s="54">
        <v>167</v>
      </c>
      <c r="B1151" s="75" t="s">
        <v>568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 x14ac:dyDescent="0.2">
      <c r="A1152" s="54">
        <v>168</v>
      </c>
      <c r="B1152" s="75" t="s">
        <v>568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 x14ac:dyDescent="0.2">
      <c r="A1153" s="54">
        <v>169</v>
      </c>
      <c r="B1153" s="75" t="s">
        <v>568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 x14ac:dyDescent="0.2">
      <c r="A1154" s="54">
        <v>170</v>
      </c>
      <c r="B1154" s="75" t="s">
        <v>568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18.75" hidden="1" x14ac:dyDescent="0.2">
      <c r="A1155" s="54">
        <v>171</v>
      </c>
      <c r="B1155" s="75" t="s">
        <v>568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 x14ac:dyDescent="0.2">
      <c r="A1156" s="54">
        <v>172</v>
      </c>
      <c r="B1156" s="75" t="s">
        <v>568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 x14ac:dyDescent="0.2">
      <c r="A1157" s="54">
        <v>173</v>
      </c>
      <c r="B1157" s="75" t="s">
        <v>568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 x14ac:dyDescent="0.2">
      <c r="A1158" s="54">
        <v>174</v>
      </c>
      <c r="B1158" s="75" t="s">
        <v>568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 x14ac:dyDescent="0.2">
      <c r="A1159" s="54">
        <v>175</v>
      </c>
      <c r="B1159" s="75" t="s">
        <v>568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 x14ac:dyDescent="0.2">
      <c r="A1160" s="54">
        <v>176</v>
      </c>
      <c r="B1160" s="75" t="s">
        <v>568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 x14ac:dyDescent="0.2">
      <c r="A1161" s="54">
        <v>177</v>
      </c>
      <c r="B1161" s="75" t="s">
        <v>568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 x14ac:dyDescent="0.2">
      <c r="A1162" s="54">
        <v>178</v>
      </c>
      <c r="B1162" s="75" t="s">
        <v>568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 x14ac:dyDescent="0.2">
      <c r="A1163" s="54">
        <v>179</v>
      </c>
      <c r="B1163" s="75" t="s">
        <v>568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528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 x14ac:dyDescent="0.2">
      <c r="A1164" s="54">
        <v>180</v>
      </c>
      <c r="B1164" s="75" t="s">
        <v>568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 x14ac:dyDescent="0.2">
      <c r="A1165" s="54">
        <v>181</v>
      </c>
      <c r="B1165" s="75" t="s">
        <v>568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 x14ac:dyDescent="0.2">
      <c r="A1166" s="54">
        <v>182</v>
      </c>
      <c r="B1166" s="75" t="s">
        <v>568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 x14ac:dyDescent="0.2">
      <c r="A1167" s="54">
        <v>183</v>
      </c>
      <c r="B1167" s="75" t="s">
        <v>568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 x14ac:dyDescent="0.2">
      <c r="A1168" s="54">
        <v>184</v>
      </c>
      <c r="B1168" s="75" t="s">
        <v>568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 x14ac:dyDescent="0.2">
      <c r="A1169" s="54">
        <v>185</v>
      </c>
      <c r="B1169" s="75" t="s">
        <v>568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 x14ac:dyDescent="0.2">
      <c r="A1170" s="54">
        <v>186</v>
      </c>
      <c r="B1170" s="75" t="s">
        <v>568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 x14ac:dyDescent="0.2">
      <c r="A1171" s="54">
        <v>187</v>
      </c>
      <c r="B1171" s="75" t="s">
        <v>568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 x14ac:dyDescent="0.2">
      <c r="A1172" s="54">
        <v>188</v>
      </c>
      <c r="B1172" s="75" t="s">
        <v>568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 x14ac:dyDescent="0.2">
      <c r="A1173" s="54">
        <v>189</v>
      </c>
      <c r="B1173" s="75" t="s">
        <v>568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 x14ac:dyDescent="0.2">
      <c r="A1174" s="54">
        <v>190</v>
      </c>
      <c r="B1174" s="75" t="s">
        <v>568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 x14ac:dyDescent="0.2">
      <c r="A1175" s="54">
        <v>191</v>
      </c>
      <c r="B1175" s="75" t="s">
        <v>568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 x14ac:dyDescent="0.2">
      <c r="A1176" s="54">
        <v>192</v>
      </c>
      <c r="B1176" s="75" t="s">
        <v>568</v>
      </c>
      <c r="C1176" s="54" t="str">
        <f>FORMULACION!C1169</f>
        <v>MATERIAL PEDAGÓGICO</v>
      </c>
      <c r="D1176" s="54" t="s">
        <v>135</v>
      </c>
      <c r="E1176" s="56" t="s">
        <v>530</v>
      </c>
      <c r="F1176" s="54"/>
      <c r="G1176" s="57">
        <v>400000</v>
      </c>
      <c r="H1176" s="57">
        <f t="shared" si="32"/>
        <v>0</v>
      </c>
    </row>
    <row r="1177" spans="1:8" hidden="1" x14ac:dyDescent="0.2">
      <c r="A1177" s="54">
        <v>193</v>
      </c>
      <c r="B1177" s="75" t="s">
        <v>568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531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 x14ac:dyDescent="0.2">
      <c r="A1178" s="54">
        <v>194</v>
      </c>
      <c r="B1178" s="75" t="s">
        <v>568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 x14ac:dyDescent="0.2">
      <c r="A1179" s="54">
        <v>195</v>
      </c>
      <c r="B1179" s="75" t="s">
        <v>568</v>
      </c>
      <c r="C1179" s="54" t="str">
        <f>FORMULACION!C1115</f>
        <v>MATERIAL PEDAGÓGICO</v>
      </c>
      <c r="D1179" s="78"/>
      <c r="E1179" s="64" t="s">
        <v>481</v>
      </c>
      <c r="F1179" s="54"/>
      <c r="G1179" s="57"/>
      <c r="H1179" s="57"/>
    </row>
    <row r="1180" spans="1:8" hidden="1" x14ac:dyDescent="0.2">
      <c r="A1180" s="54">
        <v>196</v>
      </c>
      <c r="B1180" s="75" t="s">
        <v>568</v>
      </c>
      <c r="C1180" s="54" t="str">
        <f>FORMULACION!C1116</f>
        <v>MATERIAL PEDAGÓGICO</v>
      </c>
      <c r="D1180" s="78"/>
      <c r="E1180" s="64" t="s">
        <v>482</v>
      </c>
      <c r="F1180" s="54"/>
      <c r="G1180" s="57"/>
      <c r="H1180" s="57"/>
    </row>
    <row r="1181" spans="1:8" hidden="1" x14ac:dyDescent="0.2">
      <c r="A1181" s="54">
        <v>197</v>
      </c>
      <c r="B1181" s="75" t="s">
        <v>568</v>
      </c>
      <c r="C1181" s="54" t="str">
        <f>FORMULACION!C1117</f>
        <v>MATERIAL PEDAGÓGICO</v>
      </c>
      <c r="D1181" s="78"/>
      <c r="E1181" s="64" t="s">
        <v>483</v>
      </c>
      <c r="F1181" s="54"/>
      <c r="G1181" s="57"/>
      <c r="H1181" s="57"/>
    </row>
    <row r="1182" spans="1:8" hidden="1" x14ac:dyDescent="0.2">
      <c r="A1182" s="54">
        <v>198</v>
      </c>
      <c r="B1182" s="75" t="s">
        <v>568</v>
      </c>
      <c r="C1182" s="54" t="str">
        <f>FORMULACION!C1116</f>
        <v>MATERIAL PEDAGÓGICO</v>
      </c>
      <c r="D1182" s="78"/>
      <c r="E1182" s="64" t="s">
        <v>484</v>
      </c>
      <c r="F1182" s="54"/>
      <c r="G1182" s="57"/>
      <c r="H1182" s="57"/>
    </row>
    <row r="1183" spans="1:8" hidden="1" x14ac:dyDescent="0.2">
      <c r="A1183" s="54">
        <v>199</v>
      </c>
      <c r="B1183" s="75" t="s">
        <v>568</v>
      </c>
      <c r="C1183" s="54" t="str">
        <f>FORMULACION!C1117</f>
        <v>MATERIAL PEDAGÓGICO</v>
      </c>
      <c r="D1183" s="78"/>
      <c r="E1183" s="64" t="s">
        <v>533</v>
      </c>
      <c r="F1183" s="54"/>
      <c r="G1183" s="57"/>
      <c r="H1183" s="57"/>
    </row>
    <row r="1184" spans="1:8" hidden="1" x14ac:dyDescent="0.2">
      <c r="A1184" s="54">
        <v>200</v>
      </c>
      <c r="B1184" s="75" t="s">
        <v>568</v>
      </c>
      <c r="C1184" s="54" t="str">
        <f>FORMULACION!C1118</f>
        <v>MATERIAL PEDAGÓGICO</v>
      </c>
      <c r="D1184" s="78"/>
      <c r="E1184" s="64" t="s">
        <v>485</v>
      </c>
      <c r="F1184" s="54"/>
      <c r="G1184" s="57"/>
      <c r="H1184" s="57"/>
    </row>
    <row r="1185" spans="1:8" hidden="1" x14ac:dyDescent="0.2">
      <c r="A1185" s="54">
        <v>201</v>
      </c>
      <c r="B1185" s="75" t="s">
        <v>568</v>
      </c>
      <c r="C1185" s="54" t="str">
        <f>FORMULACION!C1119</f>
        <v>MATERIAL PEDAGÓGICO</v>
      </c>
      <c r="D1185" s="78"/>
      <c r="E1185" s="64" t="s">
        <v>486</v>
      </c>
      <c r="F1185" s="54"/>
      <c r="G1185" s="57"/>
      <c r="H1185" s="57"/>
    </row>
    <row r="1186" spans="1:8" hidden="1" x14ac:dyDescent="0.2">
      <c r="A1186" s="54">
        <v>202</v>
      </c>
      <c r="B1186" s="75" t="s">
        <v>568</v>
      </c>
      <c r="C1186" s="54" t="str">
        <f>FORMULACION!C1120</f>
        <v>MATERIAL PEDAGÓGICO</v>
      </c>
      <c r="D1186" s="78"/>
      <c r="E1186" s="64" t="s">
        <v>487</v>
      </c>
      <c r="F1186" s="54"/>
      <c r="G1186" s="57"/>
      <c r="H1186" s="57"/>
    </row>
    <row r="1187" spans="1:8" hidden="1" x14ac:dyDescent="0.2">
      <c r="A1187" s="54">
        <v>203</v>
      </c>
      <c r="B1187" s="75" t="s">
        <v>568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 x14ac:dyDescent="0.2">
      <c r="A1188" s="54">
        <v>204</v>
      </c>
      <c r="B1188" s="75" t="s">
        <v>568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 x14ac:dyDescent="0.2">
      <c r="A1189" s="54">
        <v>205</v>
      </c>
      <c r="B1189" s="75" t="s">
        <v>568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 x14ac:dyDescent="0.2">
      <c r="A1190" s="54">
        <v>206</v>
      </c>
      <c r="B1190" s="75" t="s">
        <v>568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 x14ac:dyDescent="0.2">
      <c r="A1191" s="54">
        <v>207</v>
      </c>
      <c r="B1191" s="75" t="s">
        <v>568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6</v>
      </c>
      <c r="G1191" s="57">
        <v>320000</v>
      </c>
      <c r="H1191" s="57">
        <f t="shared" si="33"/>
        <v>1920000</v>
      </c>
    </row>
    <row r="1192" spans="1:8" hidden="1" x14ac:dyDescent="0.2">
      <c r="A1192" s="54">
        <v>208</v>
      </c>
      <c r="B1192" s="75" t="s">
        <v>568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 x14ac:dyDescent="0.2">
      <c r="A1193" s="54">
        <v>209</v>
      </c>
      <c r="B1193" s="75" t="s">
        <v>568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 x14ac:dyDescent="0.2">
      <c r="A1194" s="54">
        <v>210</v>
      </c>
      <c r="B1194" s="75" t="s">
        <v>568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 x14ac:dyDescent="0.2">
      <c r="A1195" s="54">
        <v>211</v>
      </c>
      <c r="B1195" s="75" t="s">
        <v>568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 x14ac:dyDescent="0.2">
      <c r="A1196" s="54">
        <v>212</v>
      </c>
      <c r="B1196" s="75" t="s">
        <v>568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 x14ac:dyDescent="0.2">
      <c r="A1197" s="54">
        <v>213</v>
      </c>
      <c r="B1197" s="75" t="s">
        <v>568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455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 x14ac:dyDescent="0.2">
      <c r="A1198" s="54">
        <v>214</v>
      </c>
      <c r="B1198" s="75" t="s">
        <v>568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 x14ac:dyDescent="0.2">
      <c r="A1199" s="54">
        <v>215</v>
      </c>
      <c r="B1199" s="75" t="s">
        <v>568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 x14ac:dyDescent="0.2">
      <c r="A1200" s="54">
        <v>216</v>
      </c>
      <c r="B1200" s="75" t="s">
        <v>568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 x14ac:dyDescent="0.2">
      <c r="A1201" s="54">
        <v>217</v>
      </c>
      <c r="B1201" s="75" t="s">
        <v>568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 x14ac:dyDescent="0.2">
      <c r="A1202" s="54">
        <v>218</v>
      </c>
      <c r="B1202" s="75" t="s">
        <v>568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 x14ac:dyDescent="0.2">
      <c r="A1203" s="54">
        <v>219</v>
      </c>
      <c r="B1203" s="75" t="s">
        <v>568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 x14ac:dyDescent="0.2">
      <c r="A1204" s="54">
        <v>220</v>
      </c>
      <c r="B1204" s="75" t="s">
        <v>568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 x14ac:dyDescent="0.2">
      <c r="A1205" s="54">
        <v>221</v>
      </c>
      <c r="B1205" s="75" t="s">
        <v>568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 x14ac:dyDescent="0.2">
      <c r="A1206" s="54">
        <v>222</v>
      </c>
      <c r="B1206" s="75" t="s">
        <v>568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 x14ac:dyDescent="0.2">
      <c r="A1207" s="54">
        <v>223</v>
      </c>
      <c r="B1207" s="75" t="s">
        <v>568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 x14ac:dyDescent="0.2">
      <c r="A1208" s="54">
        <v>224</v>
      </c>
      <c r="B1208" s="75" t="s">
        <v>568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456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 x14ac:dyDescent="0.2">
      <c r="A1209" s="54">
        <v>225</v>
      </c>
      <c r="B1209" s="75" t="s">
        <v>568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 x14ac:dyDescent="0.2">
      <c r="A1210" s="54">
        <v>226</v>
      </c>
      <c r="B1210" s="75" t="s">
        <v>568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 x14ac:dyDescent="0.2">
      <c r="A1211" s="54">
        <v>227</v>
      </c>
      <c r="B1211" s="75" t="s">
        <v>568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 x14ac:dyDescent="0.2">
      <c r="A1212" s="54">
        <v>228</v>
      </c>
      <c r="B1212" s="75" t="s">
        <v>568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535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 x14ac:dyDescent="0.2">
      <c r="A1213" s="54">
        <v>229</v>
      </c>
      <c r="B1213" s="75" t="s">
        <v>568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457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 x14ac:dyDescent="0.2">
      <c r="A1214" s="54">
        <v>230</v>
      </c>
      <c r="B1214" s="75" t="s">
        <v>568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 x14ac:dyDescent="0.2">
      <c r="A1215" s="54">
        <v>231</v>
      </c>
      <c r="B1215" s="75" t="s">
        <v>568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 x14ac:dyDescent="0.2">
      <c r="A1216" s="54">
        <v>232</v>
      </c>
      <c r="B1216" s="75" t="s">
        <v>568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 x14ac:dyDescent="0.2">
      <c r="A1217" s="54">
        <v>233</v>
      </c>
      <c r="B1217" s="75" t="s">
        <v>568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 x14ac:dyDescent="0.2">
      <c r="A1218" s="54">
        <v>234</v>
      </c>
      <c r="B1218" s="75" t="s">
        <v>568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 x14ac:dyDescent="0.2">
      <c r="A1219" s="54">
        <v>235</v>
      </c>
      <c r="B1219" s="75" t="s">
        <v>568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458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 x14ac:dyDescent="0.2">
      <c r="A1220" s="54">
        <v>236</v>
      </c>
      <c r="B1220" s="75" t="s">
        <v>568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 x14ac:dyDescent="0.2">
      <c r="A1221" s="54">
        <v>237</v>
      </c>
      <c r="B1221" s="75" t="s">
        <v>568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 x14ac:dyDescent="0.2">
      <c r="A1222" s="54">
        <v>238</v>
      </c>
      <c r="B1222" s="75" t="s">
        <v>568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 x14ac:dyDescent="0.2">
      <c r="A1223" s="54">
        <v>239</v>
      </c>
      <c r="B1223" s="75" t="s">
        <v>568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 x14ac:dyDescent="0.2">
      <c r="A1224" s="54">
        <v>240</v>
      </c>
      <c r="B1224" s="75" t="s">
        <v>568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 x14ac:dyDescent="0.2">
      <c r="A1225" s="54">
        <v>241</v>
      </c>
      <c r="B1225" s="75" t="s">
        <v>568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xmlns:xlrd2="http://schemas.microsoft.com/office/spreadsheetml/2017/richdata2" ref="B43:G296">
    <sortCondition ref="B43:B296"/>
    <sortCondition ref="C43:C296"/>
    <sortCondition ref="D43:D296"/>
  </sortState>
  <mergeCells count="291"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</mergeCells>
  <pageMargins left="0.47244094488188981" right="0.39370078740157483" top="0.74803149606299213" bottom="0.74803149606299213" header="0.31496062992125984" footer="0.31496062992125984"/>
  <pageSetup scale="60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42578125" defaultRowHeight="15" x14ac:dyDescent="0.25"/>
  <cols>
    <col min="3" max="3" width="11.42578125" customWidth="1"/>
  </cols>
  <sheetData>
    <row r="1" spans="1:1" x14ac:dyDescent="0.25">
      <c r="A1">
        <v>130</v>
      </c>
    </row>
    <row r="2" spans="1:1" x14ac:dyDescent="0.25">
      <c r="A2">
        <v>241</v>
      </c>
    </row>
    <row r="3" spans="1:1" x14ac:dyDescent="0.25">
      <c r="A3">
        <f>A2-A1</f>
        <v>111</v>
      </c>
    </row>
    <row r="7" spans="1:1" x14ac:dyDescent="0.25">
      <c r="A7">
        <v>130</v>
      </c>
    </row>
    <row r="8" spans="1:1" x14ac:dyDescent="0.25">
      <c r="A8">
        <v>131</v>
      </c>
    </row>
    <row r="9" spans="1:1" x14ac:dyDescent="0.25">
      <c r="A9">
        <v>132</v>
      </c>
    </row>
    <row r="10" spans="1:1" x14ac:dyDescent="0.25">
      <c r="A10">
        <v>133</v>
      </c>
    </row>
    <row r="11" spans="1:1" x14ac:dyDescent="0.25">
      <c r="A11">
        <v>134</v>
      </c>
    </row>
    <row r="12" spans="1:1" x14ac:dyDescent="0.25">
      <c r="A12">
        <v>135</v>
      </c>
    </row>
    <row r="13" spans="1:1" x14ac:dyDescent="0.25">
      <c r="A13">
        <v>136</v>
      </c>
    </row>
    <row r="14" spans="1:1" x14ac:dyDescent="0.25">
      <c r="A14">
        <v>137</v>
      </c>
    </row>
    <row r="15" spans="1:1" x14ac:dyDescent="0.25">
      <c r="A15">
        <v>138</v>
      </c>
    </row>
    <row r="16" spans="1:1" x14ac:dyDescent="0.25">
      <c r="A16">
        <v>139</v>
      </c>
    </row>
    <row r="17" spans="1:1" x14ac:dyDescent="0.25">
      <c r="A17">
        <v>140</v>
      </c>
    </row>
    <row r="18" spans="1:1" x14ac:dyDescent="0.25">
      <c r="A18">
        <v>141</v>
      </c>
    </row>
    <row r="19" spans="1:1" x14ac:dyDescent="0.25">
      <c r="A19">
        <v>142</v>
      </c>
    </row>
    <row r="20" spans="1:1" x14ac:dyDescent="0.25">
      <c r="A20">
        <v>143</v>
      </c>
    </row>
    <row r="21" spans="1:1" x14ac:dyDescent="0.25">
      <c r="A21">
        <v>144</v>
      </c>
    </row>
    <row r="22" spans="1:1" x14ac:dyDescent="0.25">
      <c r="A22">
        <v>145</v>
      </c>
    </row>
    <row r="23" spans="1:1" x14ac:dyDescent="0.25">
      <c r="A23">
        <v>146</v>
      </c>
    </row>
    <row r="24" spans="1:1" x14ac:dyDescent="0.25">
      <c r="A24">
        <v>147</v>
      </c>
    </row>
    <row r="25" spans="1:1" x14ac:dyDescent="0.25">
      <c r="A25">
        <v>148</v>
      </c>
    </row>
    <row r="26" spans="1:1" x14ac:dyDescent="0.25">
      <c r="A26">
        <v>149</v>
      </c>
    </row>
    <row r="27" spans="1:1" x14ac:dyDescent="0.25">
      <c r="A27">
        <v>150</v>
      </c>
    </row>
    <row r="28" spans="1:1" x14ac:dyDescent="0.25">
      <c r="A28">
        <v>151</v>
      </c>
    </row>
    <row r="29" spans="1:1" x14ac:dyDescent="0.25">
      <c r="A29">
        <v>152</v>
      </c>
    </row>
    <row r="30" spans="1:1" x14ac:dyDescent="0.25">
      <c r="A30">
        <v>153</v>
      </c>
    </row>
    <row r="31" spans="1:1" x14ac:dyDescent="0.25">
      <c r="A31">
        <v>154</v>
      </c>
    </row>
    <row r="32" spans="1:1" x14ac:dyDescent="0.25">
      <c r="A32">
        <v>155</v>
      </c>
    </row>
    <row r="33" spans="1:1" x14ac:dyDescent="0.25">
      <c r="A33">
        <v>156</v>
      </c>
    </row>
    <row r="34" spans="1:1" x14ac:dyDescent="0.25">
      <c r="A34">
        <v>157</v>
      </c>
    </row>
    <row r="35" spans="1:1" x14ac:dyDescent="0.25">
      <c r="A35">
        <v>158</v>
      </c>
    </row>
    <row r="36" spans="1:1" x14ac:dyDescent="0.25">
      <c r="A36">
        <v>159</v>
      </c>
    </row>
    <row r="37" spans="1:1" x14ac:dyDescent="0.25">
      <c r="A37">
        <v>160</v>
      </c>
    </row>
    <row r="38" spans="1:1" x14ac:dyDescent="0.25">
      <c r="A38">
        <v>161</v>
      </c>
    </row>
    <row r="39" spans="1:1" x14ac:dyDescent="0.25">
      <c r="A39">
        <v>162</v>
      </c>
    </row>
    <row r="40" spans="1:1" x14ac:dyDescent="0.25">
      <c r="A40">
        <v>163</v>
      </c>
    </row>
    <row r="41" spans="1:1" x14ac:dyDescent="0.25">
      <c r="A41">
        <v>164</v>
      </c>
    </row>
    <row r="42" spans="1:1" x14ac:dyDescent="0.25">
      <c r="A42">
        <v>165</v>
      </c>
    </row>
    <row r="43" spans="1:1" x14ac:dyDescent="0.25">
      <c r="A43">
        <v>166</v>
      </c>
    </row>
    <row r="44" spans="1:1" x14ac:dyDescent="0.25">
      <c r="A44">
        <v>167</v>
      </c>
    </row>
    <row r="45" spans="1:1" x14ac:dyDescent="0.25">
      <c r="A45">
        <v>168</v>
      </c>
    </row>
    <row r="46" spans="1:1" x14ac:dyDescent="0.25">
      <c r="A46">
        <v>169</v>
      </c>
    </row>
    <row r="47" spans="1:1" x14ac:dyDescent="0.25">
      <c r="A47">
        <v>170</v>
      </c>
    </row>
    <row r="48" spans="1:1" x14ac:dyDescent="0.25">
      <c r="A48">
        <v>171</v>
      </c>
    </row>
    <row r="49" spans="1:1" x14ac:dyDescent="0.25">
      <c r="A49">
        <v>172</v>
      </c>
    </row>
    <row r="50" spans="1:1" x14ac:dyDescent="0.25">
      <c r="A50">
        <v>173</v>
      </c>
    </row>
    <row r="51" spans="1:1" x14ac:dyDescent="0.25">
      <c r="A51">
        <v>174</v>
      </c>
    </row>
    <row r="52" spans="1:1" x14ac:dyDescent="0.25">
      <c r="A52">
        <v>175</v>
      </c>
    </row>
    <row r="53" spans="1:1" x14ac:dyDescent="0.25">
      <c r="A53">
        <v>176</v>
      </c>
    </row>
    <row r="54" spans="1:1" x14ac:dyDescent="0.25">
      <c r="A54">
        <v>177</v>
      </c>
    </row>
    <row r="55" spans="1:1" x14ac:dyDescent="0.25">
      <c r="A55">
        <v>178</v>
      </c>
    </row>
    <row r="56" spans="1:1" x14ac:dyDescent="0.25">
      <c r="A56">
        <v>179</v>
      </c>
    </row>
    <row r="57" spans="1:1" x14ac:dyDescent="0.25">
      <c r="A57">
        <v>180</v>
      </c>
    </row>
    <row r="58" spans="1:1" x14ac:dyDescent="0.25">
      <c r="A58">
        <v>181</v>
      </c>
    </row>
    <row r="59" spans="1:1" x14ac:dyDescent="0.25">
      <c r="A59">
        <v>182</v>
      </c>
    </row>
    <row r="60" spans="1:1" x14ac:dyDescent="0.25">
      <c r="A60">
        <v>183</v>
      </c>
    </row>
    <row r="61" spans="1:1" x14ac:dyDescent="0.25">
      <c r="A61">
        <v>184</v>
      </c>
    </row>
    <row r="62" spans="1:1" x14ac:dyDescent="0.25">
      <c r="A62">
        <v>185</v>
      </c>
    </row>
    <row r="63" spans="1:1" x14ac:dyDescent="0.25">
      <c r="A63">
        <v>186</v>
      </c>
    </row>
    <row r="64" spans="1:1" x14ac:dyDescent="0.25">
      <c r="A64">
        <v>187</v>
      </c>
    </row>
    <row r="65" spans="1:1" x14ac:dyDescent="0.25">
      <c r="A65">
        <v>188</v>
      </c>
    </row>
    <row r="66" spans="1:1" x14ac:dyDescent="0.25">
      <c r="A66">
        <v>189</v>
      </c>
    </row>
    <row r="67" spans="1:1" x14ac:dyDescent="0.25">
      <c r="A67">
        <v>190</v>
      </c>
    </row>
    <row r="68" spans="1:1" x14ac:dyDescent="0.25">
      <c r="A68">
        <v>191</v>
      </c>
    </row>
    <row r="69" spans="1:1" x14ac:dyDescent="0.25">
      <c r="A69">
        <v>192</v>
      </c>
    </row>
    <row r="70" spans="1:1" x14ac:dyDescent="0.25">
      <c r="A70">
        <v>193</v>
      </c>
    </row>
    <row r="71" spans="1:1" x14ac:dyDescent="0.25">
      <c r="A71">
        <v>194</v>
      </c>
    </row>
    <row r="72" spans="1:1" x14ac:dyDescent="0.25">
      <c r="A72">
        <v>195</v>
      </c>
    </row>
    <row r="73" spans="1:1" x14ac:dyDescent="0.25">
      <c r="A73">
        <v>196</v>
      </c>
    </row>
    <row r="74" spans="1:1" x14ac:dyDescent="0.25">
      <c r="A74">
        <v>197</v>
      </c>
    </row>
    <row r="75" spans="1:1" x14ac:dyDescent="0.25">
      <c r="A75">
        <v>198</v>
      </c>
    </row>
    <row r="76" spans="1:1" x14ac:dyDescent="0.25">
      <c r="A76">
        <v>199</v>
      </c>
    </row>
    <row r="77" spans="1:1" x14ac:dyDescent="0.25">
      <c r="A77">
        <v>200</v>
      </c>
    </row>
    <row r="78" spans="1:1" x14ac:dyDescent="0.25">
      <c r="A78">
        <v>201</v>
      </c>
    </row>
    <row r="79" spans="1:1" x14ac:dyDescent="0.25">
      <c r="A79">
        <v>202</v>
      </c>
    </row>
    <row r="80" spans="1:1" x14ac:dyDescent="0.25">
      <c r="A80">
        <v>203</v>
      </c>
    </row>
    <row r="81" spans="1:1" x14ac:dyDescent="0.25">
      <c r="A81">
        <v>204</v>
      </c>
    </row>
    <row r="82" spans="1:1" x14ac:dyDescent="0.25">
      <c r="A82">
        <v>205</v>
      </c>
    </row>
    <row r="83" spans="1:1" x14ac:dyDescent="0.25">
      <c r="A83">
        <v>206</v>
      </c>
    </row>
    <row r="84" spans="1:1" x14ac:dyDescent="0.25">
      <c r="A84">
        <v>207</v>
      </c>
    </row>
    <row r="85" spans="1:1" x14ac:dyDescent="0.25">
      <c r="A85">
        <v>208</v>
      </c>
    </row>
    <row r="86" spans="1:1" x14ac:dyDescent="0.25">
      <c r="A86">
        <v>209</v>
      </c>
    </row>
    <row r="87" spans="1:1" x14ac:dyDescent="0.25">
      <c r="A87">
        <v>210</v>
      </c>
    </row>
    <row r="88" spans="1:1" x14ac:dyDescent="0.25">
      <c r="A88">
        <v>211</v>
      </c>
    </row>
    <row r="89" spans="1:1" x14ac:dyDescent="0.25">
      <c r="A89">
        <v>212</v>
      </c>
    </row>
    <row r="90" spans="1:1" x14ac:dyDescent="0.25">
      <c r="A90">
        <v>213</v>
      </c>
    </row>
    <row r="91" spans="1:1" x14ac:dyDescent="0.25">
      <c r="A91">
        <v>214</v>
      </c>
    </row>
    <row r="92" spans="1:1" x14ac:dyDescent="0.25">
      <c r="A92">
        <v>215</v>
      </c>
    </row>
    <row r="93" spans="1:1" x14ac:dyDescent="0.25">
      <c r="A93">
        <v>216</v>
      </c>
    </row>
    <row r="94" spans="1:1" x14ac:dyDescent="0.25">
      <c r="A94">
        <v>217</v>
      </c>
    </row>
    <row r="95" spans="1:1" x14ac:dyDescent="0.25">
      <c r="A95">
        <v>218</v>
      </c>
    </row>
    <row r="96" spans="1:1" x14ac:dyDescent="0.25">
      <c r="A96">
        <v>219</v>
      </c>
    </row>
    <row r="97" spans="1:1" x14ac:dyDescent="0.25">
      <c r="A97">
        <v>220</v>
      </c>
    </row>
    <row r="98" spans="1:1" x14ac:dyDescent="0.25">
      <c r="A98">
        <v>221</v>
      </c>
    </row>
    <row r="99" spans="1:1" x14ac:dyDescent="0.25">
      <c r="A99">
        <v>222</v>
      </c>
    </row>
    <row r="100" spans="1:1" x14ac:dyDescent="0.25">
      <c r="A100">
        <v>223</v>
      </c>
    </row>
    <row r="101" spans="1:1" x14ac:dyDescent="0.25">
      <c r="A101">
        <v>224</v>
      </c>
    </row>
    <row r="102" spans="1:1" x14ac:dyDescent="0.25">
      <c r="A102">
        <v>225</v>
      </c>
    </row>
    <row r="103" spans="1:1" x14ac:dyDescent="0.25">
      <c r="A103">
        <v>226</v>
      </c>
    </row>
    <row r="104" spans="1:1" x14ac:dyDescent="0.25">
      <c r="A104">
        <v>227</v>
      </c>
    </row>
    <row r="105" spans="1:1" x14ac:dyDescent="0.25">
      <c r="A105">
        <v>228</v>
      </c>
    </row>
    <row r="106" spans="1:1" x14ac:dyDescent="0.25">
      <c r="A106">
        <v>229</v>
      </c>
    </row>
    <row r="107" spans="1:1" x14ac:dyDescent="0.25">
      <c r="A107">
        <v>230</v>
      </c>
    </row>
    <row r="108" spans="1:1" x14ac:dyDescent="0.25">
      <c r="A108">
        <v>231</v>
      </c>
    </row>
    <row r="109" spans="1:1" x14ac:dyDescent="0.25">
      <c r="A109">
        <v>232</v>
      </c>
    </row>
    <row r="110" spans="1:1" x14ac:dyDescent="0.25">
      <c r="A110">
        <v>233</v>
      </c>
    </row>
    <row r="111" spans="1:1" x14ac:dyDescent="0.25">
      <c r="A111">
        <v>234</v>
      </c>
    </row>
    <row r="112" spans="1:1" x14ac:dyDescent="0.25">
      <c r="A112">
        <v>235</v>
      </c>
    </row>
    <row r="113" spans="1:1" x14ac:dyDescent="0.25">
      <c r="A113">
        <v>236</v>
      </c>
    </row>
    <row r="114" spans="1:1" x14ac:dyDescent="0.25">
      <c r="A114">
        <v>237</v>
      </c>
    </row>
    <row r="115" spans="1:1" x14ac:dyDescent="0.25">
      <c r="A115">
        <v>238</v>
      </c>
    </row>
    <row r="116" spans="1:1" x14ac:dyDescent="0.25">
      <c r="A116">
        <v>239</v>
      </c>
    </row>
    <row r="117" spans="1:1" x14ac:dyDescent="0.25">
      <c r="A117">
        <v>240</v>
      </c>
    </row>
    <row r="118" spans="1:1" x14ac:dyDescent="0.25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Andrea Ospina Patiño</cp:lastModifiedBy>
  <cp:lastPrinted>2019-01-14T17:35:07Z</cp:lastPrinted>
  <dcterms:created xsi:type="dcterms:W3CDTF">2015-12-30T16:21:58Z</dcterms:created>
  <dcterms:modified xsi:type="dcterms:W3CDTF">2019-01-14T19:04:12Z</dcterms:modified>
</cp:coreProperties>
</file>