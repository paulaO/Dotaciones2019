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drea Ospina Patiño\Documents\GitHub\Dotaciones2019\5.GestionDotaciones\IdentificacionNecesidades\"/>
    </mc:Choice>
  </mc:AlternateContent>
  <xr:revisionPtr revIDLastSave="0" documentId="13_ncr:1_{C54A30C3-DF10-4D84-A52A-95F302AFCF4F}" xr6:coauthVersionLast="40" xr6:coauthVersionMax="40" xr10:uidLastSave="{00000000-0000-0000-0000-000000000000}"/>
  <bookViews>
    <workbookView xWindow="0" yWindow="0" windowWidth="20415" windowHeight="6180" tabRatio="776" activeTab="2" xr2:uid="{00000000-000D-0000-FFFF-FFFF00000000}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<sst xmlns="http://schemas.openxmlformats.org/spreadsheetml/2006/main" count="9643" uniqueCount="741">
  <si>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</si>
  <si>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</si>
  <si>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</si>
  <si>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</si>
  <si>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</si>
  <si>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</si>
  <si>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</si>
  <si>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</si>
  <si>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</si>
  <si>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</si>
  <si>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</si>
  <si>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</si>
  <si>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</si>
  <si>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</si>
  <si>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</si>
  <si>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</si>
  <si>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</si>
  <si>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</si>
  <si>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</si>
  <si>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</si>
  <si>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</si>
  <si>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</si>
  <si>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</si>
  <si>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</si>
  <si>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</si>
  <si>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</si>
  <si>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</si>
  <si>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</si>
  <si>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</si>
  <si>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</si>
  <si>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</si>
  <si>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</si>
  <si>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</si>
  <si>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</si>
  <si>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</si>
  <si>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</si>
  <si>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</si>
  <si>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</si>
  <si>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</si>
  <si>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</si>
  <si>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</si>
  <si>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</si>
  <si>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</si>
  <si>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</si>
  <si>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</si>
  <si>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</si>
  <si>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</si>
  <si>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</si>
  <si>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</si>
  <si>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</si>
  <si>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</si>
  <si>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</si>
  <si>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</si>
  <si>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</si>
  <si>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</si>
  <si>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</si>
  <si>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</si>
  <si>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</si>
  <si>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</si>
  <si>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</si>
  <si>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</si>
  <si>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</si>
  <si>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</si>
  <si>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</si>
  <si>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</si>
  <si>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</si>
  <si>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</si>
  <si>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</si>
  <si>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</si>
  <si>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</si>
  <si>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</si>
  <si>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</si>
  <si>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</si>
  <si>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</si>
  <si>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</si>
  <si>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</si>
  <si>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</si>
  <si>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</si>
  <si>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</si>
  <si>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</si>
  <si>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</si>
  <si>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</si>
  <si>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</si>
  <si>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</si>
  <si>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</si>
  <si>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</si>
  <si>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</si>
  <si>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</si>
  <si>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</si>
  <si>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</si>
  <si>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</si>
  <si>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</si>
  <si>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</si>
  <si>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</si>
  <si>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</si>
  <si>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</si>
  <si>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</si>
  <si>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</si>
  <si>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</si>
  <si>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</si>
  <si>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</si>
  <si>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</si>
  <si>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</si>
  <si>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</si>
  <si>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</si>
  <si>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</si>
  <si>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</si>
  <si>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</si>
  <si>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</si>
  <si>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</si>
  <si>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</si>
  <si>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</si>
  <si>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</si>
  <si>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</si>
  <si>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</si>
  <si>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</si>
  <si>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</si>
  <si>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</si>
  <si>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</si>
  <si>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</si>
  <si>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</si>
  <si>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</si>
  <si>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</si>
  <si>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</si>
  <si>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</si>
  <si>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</si>
  <si>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</si>
  <si>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</si>
  <si>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</si>
  <si>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</si>
  <si>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</si>
  <si>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</si>
  <si>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</si>
  <si>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</si>
  <si>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</si>
  <si>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</si>
  <si>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</si>
  <si>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</si>
  <si>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</si>
  <si>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</si>
  <si>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</si>
  <si>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</si>
  <si>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</si>
  <si>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</si>
  <si>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</si>
  <si>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</si>
  <si>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</si>
  <si>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</si>
  <si>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</si>
  <si>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</si>
  <si>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</si>
  <si>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</si>
  <si>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</si>
  <si>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</si>
  <si>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</si>
  <si>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</si>
  <si>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</si>
  <si>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</si>
  <si>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</si>
  <si>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</si>
  <si>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</si>
  <si>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</si>
  <si>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</si>
  <si>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</si>
  <si>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</si>
  <si>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</si>
  <si>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</si>
  <si>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</si>
  <si>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</si>
  <si>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</si>
  <si>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</si>
  <si>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</si>
  <si>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</si>
  <si>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</si>
  <si>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</si>
  <si>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</si>
  <si>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</si>
  <si>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</si>
  <si>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</si>
  <si>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</si>
  <si>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</si>
  <si>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</si>
  <si>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</si>
  <si>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</si>
  <si>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</si>
  <si>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</si>
  <si>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</si>
  <si>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</si>
  <si>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</si>
  <si>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</si>
  <si>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</si>
  <si>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</si>
  <si>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</si>
  <si>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</si>
  <si>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</si>
  <si>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</si>
  <si>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</si>
  <si>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</si>
  <si>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</si>
  <si>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</si>
  <si>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</si>
  <si>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</si>
  <si>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</si>
  <si>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</si>
  <si>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</si>
  <si>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</si>
  <si>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</si>
  <si>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</si>
  <si>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</si>
  <si>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</si>
  <si>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</si>
  <si>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</si>
  <si>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</si>
  <si>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</si>
  <si>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</si>
  <si>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</si>
  <si>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</si>
  <si>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</si>
  <si>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</si>
  <si>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</si>
  <si>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</si>
  <si>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</si>
  <si>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</si>
  <si>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</si>
  <si>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</si>
  <si>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</si>
  <si>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</si>
  <si>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</si>
  <si>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</si>
  <si>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</si>
  <si>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</si>
  <si>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</si>
  <si>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</si>
  <si>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</si>
  <si>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</si>
  <si>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</si>
  <si>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</si>
  <si>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</si>
  <si>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</si>
  <si>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</si>
  <si>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</si>
  <si>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</si>
  <si>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</si>
  <si>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</si>
  <si>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</si>
  <si>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</si>
  <si>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</si>
  <si>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</si>
  <si>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</si>
  <si>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</si>
  <si>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</si>
  <si>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</si>
  <si>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</si>
  <si>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</si>
  <si>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</si>
  <si>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</si>
  <si>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</si>
  <si>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</si>
  <si>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</si>
  <si>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</si>
  <si>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</si>
  <si>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</si>
  <si>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</si>
  <si>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</si>
  <si>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</si>
  <si>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</si>
  <si>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</si>
  <si>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</si>
  <si>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</si>
  <si>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</si>
  <si>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</si>
  <si>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</si>
  <si>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</si>
  <si>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</si>
  <si>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</si>
  <si>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</si>
  <si>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</si>
  <si>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</si>
  <si>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</si>
  <si>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</si>
  <si>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</si>
  <si>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</si>
  <si>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</si>
  <si>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</si>
  <si>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</si>
  <si>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</si>
  <si>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</si>
  <si>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</si>
  <si>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</si>
  <si>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</si>
  <si>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</si>
  <si>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</si>
  <si>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</si>
  <si>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</si>
  <si>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</si>
  <si>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</si>
  <si>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</si>
  <si>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</si>
  <si>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</si>
  <si>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</si>
  <si>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</si>
  <si>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</si>
  <si>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</si>
  <si>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</si>
  <si>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</si>
  <si>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</si>
  <si>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</si>
  <si>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</si>
  <si>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</si>
  <si>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</si>
  <si>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</si>
  <si>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</si>
  <si>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</si>
  <si>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</si>
  <si>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</si>
  <si>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</si>
  <si>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</si>
  <si>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</si>
  <si>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</si>
  <si>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</si>
  <si>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</si>
  <si>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</si>
  <si>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</si>
  <si>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</si>
  <si>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</si>
  <si>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</si>
  <si>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</si>
  <si>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</si>
  <si>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</si>
  <si>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</si>
  <si>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</si>
  <si>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</si>
  <si>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</si>
  <si>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</si>
  <si>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</si>
  <si>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</si>
  <si>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</si>
  <si>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</si>
  <si>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</si>
  <si>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</si>
  <si>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</si>
  <si>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</si>
  <si>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</si>
  <si>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</si>
  <si>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</si>
  <si>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</si>
  <si>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</si>
  <si>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</si>
  <si>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</si>
  <si>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</si>
  <si>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</si>
  <si>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</si>
  <si>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</si>
  <si>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</si>
  <si>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</si>
  <si>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</si>
  <si>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</si>
  <si>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</si>
  <si>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</si>
  <si>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</si>
  <si>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</si>
  <si>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</si>
  <si>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</si>
  <si>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</si>
  <si>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</si>
  <si>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</si>
  <si>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</si>
  <si>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</si>
  <si>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</si>
  <si>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</si>
  <si>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</si>
  <si>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</si>
  <si>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</si>
  <si>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</si>
  <si>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</si>
  <si>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</si>
  <si>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</si>
  <si>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</si>
  <si>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</si>
  <si>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</si>
  <si>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</si>
  <si>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</si>
  <si>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</si>
  <si>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</si>
  <si>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</si>
  <si>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</si>
  <si>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</si>
  <si>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</si>
  <si>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</si>
  <si>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</si>
  <si>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</si>
  <si>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</si>
  <si>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</si>
  <si>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</si>
  <si>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</si>
  <si>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</si>
  <si>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</si>
  <si>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</si>
  <si>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</si>
  <si>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</si>
  <si>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</si>
  <si>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</si>
  <si>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</si>
  <si>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</si>
  <si>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</si>
  <si>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</si>
  <si>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</si>
  <si>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</si>
  <si>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</si>
  <si>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</si>
  <si>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</si>
  <si>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</si>
  <si>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</si>
  <si>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</si>
  <si>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</si>
  <si>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</si>
  <si>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</si>
  <si>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</si>
  <si>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</si>
  <si>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</si>
  <si>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</si>
  <si>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</si>
  <si>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</si>
  <si>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</si>
  <si>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</si>
  <si>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</si>
  <si>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</si>
  <si>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</si>
  <si>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</si>
  <si>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</si>
  <si>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</si>
  <si>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</si>
  <si>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</si>
  <si>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</si>
  <si>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</si>
  <si>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</si>
  <si>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</si>
  <si>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</si>
  <si>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</si>
  <si>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</si>
  <si>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</si>
  <si>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</si>
  <si>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</si>
  <si>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</si>
  <si>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</si>
  <si>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</si>
  <si>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</si>
  <si>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</si>
  <si>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</si>
  <si>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</si>
  <si>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</si>
  <si>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</si>
  <si>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</si>
  <si>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</si>
  <si>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</si>
  <si>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</si>
  <si>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</si>
  <si>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</si>
  <si>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</si>
  <si>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</si>
  <si>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</si>
  <si>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</si>
  <si>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</si>
  <si>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</si>
  <si>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</si>
  <si>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</si>
  <si>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</si>
  <si>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</si>
  <si>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</si>
  <si>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</si>
  <si>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</si>
  <si>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</si>
  <si>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</si>
  <si>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</si>
  <si>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</si>
  <si>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</si>
  <si>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</si>
  <si>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</si>
  <si>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</si>
  <si>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</si>
  <si>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</si>
  <si>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</si>
  <si>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</si>
  <si>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</si>
  <si>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</si>
  <si>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</si>
  <si>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</si>
  <si>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</si>
  <si>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</si>
  <si>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</si>
  <si>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</si>
  <si>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</si>
  <si>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</si>
  <si>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</si>
  <si>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</si>
  <si>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</si>
  <si>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</si>
  <si>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</si>
  <si>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</si>
  <si>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</si>
  <si>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</si>
  <si>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</si>
  <si>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</si>
  <si>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</si>
  <si>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</si>
  <si>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</si>
  <si>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</si>
  <si>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</si>
  <si>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</si>
  <si>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</si>
  <si>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</si>
  <si>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</si>
  <si>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</si>
  <si>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</si>
  <si>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</si>
  <si>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</si>
  <si>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</si>
  <si>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</si>
  <si>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</si>
  <si>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</si>
  <si>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</si>
  <si>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</si>
  <si>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</si>
  <si>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</si>
  <si>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</si>
  <si>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</si>
  <si>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</si>
  <si>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</si>
  <si>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</si>
  <si>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</si>
  <si>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</si>
  <si>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</si>
  <si>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</si>
  <si>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</si>
  <si>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</si>
  <si>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</si>
  <si>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</si>
  <si>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</si>
  <si>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</si>
  <si>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</si>
  <si>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</si>
  <si>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</si>
  <si>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</si>
  <si>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</si>
  <si>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</si>
  <si>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</si>
  <si>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</si>
  <si>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</si>
  <si>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</si>
  <si>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</si>
  <si>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</si>
  <si>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</si>
  <si>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</si>
  <si>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</si>
  <si>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</si>
  <si>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</si>
  <si>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</si>
  <si>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</si>
  <si>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</si>
  <si>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</si>
  <si>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</si>
  <si>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</si>
  <si>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</si>
  <si>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</si>
  <si>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</si>
  <si>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</si>
  <si>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</si>
  <si>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</si>
  <si>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</si>
  <si>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</si>
  <si>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</si>
  <si>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</si>
  <si>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</si>
  <si>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</si>
  <si>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</si>
  <si>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</si>
  <si>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</si>
  <si>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</si>
  <si>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</si>
  <si>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</si>
  <si>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</si>
  <si>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</si>
  <si>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</si>
  <si>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</si>
  <si>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</si>
  <si>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</si>
  <si>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</si>
  <si>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</si>
  <si>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</si>
  <si>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</si>
  <si>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</si>
  <si>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</si>
  <si>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</si>
  <si>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</si>
  <si>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</si>
  <si>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</si>
  <si>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</si>
  <si>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</si>
  <si>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</si>
  <si>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</si>
  <si>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</si>
  <si>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</si>
  <si>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</si>
  <si>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</si>
  <si>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</si>
  <si>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</si>
  <si>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</si>
  <si>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</si>
  <si>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</si>
  <si>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</si>
  <si>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</si>
  <si>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</si>
  <si>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</si>
  <si>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</si>
  <si>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</si>
  <si>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</si>
  <si>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</si>
  <si>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</si>
  <si>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</si>
  <si>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</si>
  <si>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</si>
  <si>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</si>
  <si>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</si>
  <si>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</si>
  <si>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</si>
  <si>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</si>
  <si>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</si>
  <si>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</si>
  <si>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</si>
  <si>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</si>
  <si>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</si>
  <si>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</si>
  <si>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</si>
  <si>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</si>
  <si>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</si>
  <si>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</si>
  <si>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</si>
  <si>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</si>
  <si>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</si>
  <si>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</si>
  <si>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</si>
  <si>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</si>
  <si>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</si>
  <si>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</si>
  <si>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</si>
  <si>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</si>
  <si>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</si>
  <si>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</si>
  <si>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</si>
  <si>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</si>
  <si>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</si>
  <si>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</si>
  <si>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</si>
  <si>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</si>
  <si>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</si>
  <si>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</si>
  <si>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</si>
  <si>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</si>
  <si>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</si>
  <si>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</si>
  <si>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</si>
  <si>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</si>
  <si>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</si>
  <si>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</si>
  <si>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</si>
  <si>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</si>
  <si>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</si>
  <si>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</si>
  <si>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</si>
  <si>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</si>
  <si>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</si>
  <si>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</si>
  <si>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</si>
  <si>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</si>
  <si>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</si>
  <si>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</si>
  <si>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</si>
  <si>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</si>
  <si>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</si>
  <si>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</si>
  <si>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</si>
  <si>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</si>
  <si>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</si>
  <si>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</si>
  <si>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</si>
  <si>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</si>
  <si>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</si>
  <si>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</si>
  <si>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</si>
  <si>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</si>
  <si>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</si>
  <si>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</si>
  <si>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</si>
  <si>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</si>
  <si>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</si>
  <si>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</si>
  <si>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</si>
  <si>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</si>
  <si>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</si>
  <si>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</si>
  <si>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</si>
  <si>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</si>
  <si>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</si>
  <si>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</si>
  <si>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</si>
  <si>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</si>
  <si>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</si>
  <si>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</si>
  <si>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</si>
  <si>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</si>
  <si>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</si>
  <si>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</si>
  <si>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</si>
  <si>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</si>
  <si>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</si>
  <si>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</si>
  <si>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</si>
  <si>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</si>
  <si>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</si>
  <si>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</si>
  <si>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</si>
  <si>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</si>
  <si>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</si>
  <si>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</si>
  <si>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</si>
  <si>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</si>
  <si>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</si>
  <si>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</si>
  <si>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</si>
  <si>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Fundación Sembrando Esperanza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</si>
  <si>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</si>
  <si>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</si>
  <si>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</si>
  <si>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</si>
  <si>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</si>
  <si>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</si>
  <si>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</si>
  <si>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Campo de la Cruz- I.E La Inmaculada</t>
  </si>
  <si>
    <t>SEMBRANDO HUELLAS 1</t>
  </si>
  <si>
    <t>Por Definir</t>
  </si>
  <si>
    <t>Subtotal - Lencería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</si>
</sst>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#,##0_ ;\-#,##0\ 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7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164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164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164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65" fontId="18" fillId="22" borderId="6" xfId="0" applyNumberFormat="1" applyFont="1" applyFill="1" applyBorder="1" applyAlignment="1">
      <alignment horizontal="center"/>
    </xf>
    <xf numFmtId="165" fontId="18" fillId="22" borderId="0" xfId="0" applyNumberFormat="1" applyFont="1" applyFill="1" applyBorder="1" applyAlignment="1">
      <alignment horizontal="center"/>
    </xf>
    <xf numFmtId="165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23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left" wrapText="1"/>
    </xf>
    <xf numFmtId="1" fontId="30" fillId="2" borderId="38" xfId="0" applyNumberFormat="1" applyFont="1" applyFill="1" applyBorder="1" applyAlignment="1">
      <alignment horizontal="center" vertical="center" wrapText="1"/>
    </xf>
    <xf numFmtId="1" fontId="30" fillId="2" borderId="39" xfId="0" applyNumberFormat="1" applyFont="1" applyFill="1" applyBorder="1" applyAlignment="1">
      <alignment horizontal="center" vertical="center" wrapText="1"/>
    </xf>
    <xf numFmtId="1" fontId="30" fillId="2" borderId="4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5962266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view="pageBreakPreview" topLeftCell="A10" zoomScale="87" zoomScaleNormal="106" zoomScaleSheetLayoutView="87" workbookViewId="0">
      <selection activeCell="E29" sqref="E29:F29"/>
    </sheetView>
  </sheetViews>
  <sheetFormatPr baseColWidth="10" defaultColWidth="11.42578125" defaultRowHeight="14.25" x14ac:dyDescent="0.2"/>
  <cols>
    <col min="1" max="3" width="11.42578125" style="39"/>
    <col min="4" max="4" width="13.42578125" style="39" customWidth="1"/>
    <col min="5" max="5" width="29.85546875" style="39" customWidth="1"/>
    <col min="6" max="6" width="14.140625" style="39" customWidth="1"/>
    <col min="7" max="7" width="9.140625" style="36" customWidth="1"/>
    <col min="8" max="8" width="8.7109375" style="36" customWidth="1"/>
    <col min="9" max="10" width="11.42578125" style="36"/>
    <col min="11" max="12" width="11.42578125" style="36" customWidth="1"/>
    <col min="13" max="13" width="11.42578125" style="37" customWidth="1"/>
    <col min="14" max="14" width="29.42578125" style="39" hidden="1" customWidth="1"/>
    <col min="15" max="15" width="11.42578125" style="39" hidden="1" customWidth="1"/>
    <col min="16" max="16" width="11.85546875" style="39" hidden="1" customWidth="1"/>
    <col min="17" max="21" width="11.42578125" style="39" hidden="1" customWidth="1"/>
    <col min="22" max="29" width="11.42578125" style="39" customWidth="1"/>
    <col min="30" max="16384" width="11.42578125" style="39"/>
  </cols>
  <sheetData>
    <row r="1" spans="1:19" ht="84.75" customHeight="1" x14ac:dyDescent="0.2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 x14ac:dyDescent="0.2">
      <c r="A2" s="148" t="s">
        <v>550</v>
      </c>
      <c r="B2" s="149"/>
      <c r="C2" s="149"/>
      <c r="D2" s="149"/>
      <c r="E2" s="149"/>
      <c r="F2" s="150"/>
      <c r="G2" s="115"/>
      <c r="H2" s="115"/>
      <c r="N2" s="39" t="s">
        <v>192</v>
      </c>
      <c r="O2" s="39" t="s">
        <v>224</v>
      </c>
      <c r="P2" s="39" t="str">
        <f>IF((D20&gt;=1),"CUMPLE","NO CUMPLE")</f>
        <v>NO CUMPLE</v>
      </c>
      <c r="Q2" s="39" t="str">
        <f>IF((D20&gt;=1),"CUMPLE","NO CUMPLE")</f>
        <v>NO CUMPLE</v>
      </c>
      <c r="R2" s="39" t="s">
        <v>296</v>
      </c>
      <c r="S2" s="39" t="s">
        <v>355</v>
      </c>
    </row>
    <row r="3" spans="1:19" ht="14.25" customHeight="1" x14ac:dyDescent="0.2">
      <c r="A3" s="168" t="s">
        <v>417</v>
      </c>
      <c r="B3" s="169"/>
      <c r="C3" s="169"/>
      <c r="D3" s="169"/>
      <c r="E3" s="169"/>
      <c r="F3" s="170"/>
      <c r="G3" s="115"/>
      <c r="H3" s="115"/>
      <c r="N3" s="39" t="s">
        <v>202</v>
      </c>
      <c r="O3" s="39" t="s">
        <v>723</v>
      </c>
      <c r="P3" s="41">
        <f>COUNTIF(P2:P2,"CUMPLE")</f>
        <v>0</v>
      </c>
      <c r="Q3" s="39" t="str">
        <f>IF((D21&gt;=1),"CUMPLE","NO CUMPLE")</f>
        <v>CUMPLE</v>
      </c>
      <c r="S3" s="39" t="s">
        <v>356</v>
      </c>
    </row>
    <row r="4" spans="1:19" ht="14.25" customHeight="1" x14ac:dyDescent="0.2">
      <c r="A4" s="168"/>
      <c r="B4" s="169"/>
      <c r="C4" s="169"/>
      <c r="D4" s="169"/>
      <c r="E4" s="169"/>
      <c r="F4" s="170"/>
      <c r="G4" s="115"/>
      <c r="H4" s="115"/>
      <c r="N4" s="39" t="s">
        <v>204</v>
      </c>
      <c r="P4" s="42" t="str">
        <f>IF(AND(P3&lt;=2,P3&gt;=1),"CUMPLE","NO CUMPLE")</f>
        <v>NO CUMPLE</v>
      </c>
      <c r="Q4" s="41">
        <f>COUNTIF(Q2:Q3,"CUMPLE")</f>
        <v>1</v>
      </c>
      <c r="S4" s="39" t="s">
        <v>357</v>
      </c>
    </row>
    <row r="5" spans="1:19" ht="9.75" customHeight="1" x14ac:dyDescent="0.2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 x14ac:dyDescent="0.2">
      <c r="A6" s="161" t="s">
        <v>736</v>
      </c>
      <c r="B6" s="162"/>
      <c r="C6" s="162"/>
      <c r="D6" s="162"/>
      <c r="E6" s="162"/>
      <c r="F6" s="163"/>
      <c r="G6" s="117"/>
      <c r="H6" s="117"/>
      <c r="N6" s="39" t="s">
        <v>205</v>
      </c>
      <c r="S6" s="39" t="s">
        <v>359</v>
      </c>
    </row>
    <row r="7" spans="1:19" ht="15.75" x14ac:dyDescent="0.25">
      <c r="A7" s="151" t="s">
        <v>721</v>
      </c>
      <c r="B7" s="152"/>
      <c r="C7" s="152"/>
      <c r="D7" s="152"/>
      <c r="E7" s="152"/>
      <c r="F7" s="153"/>
      <c r="G7" s="118"/>
      <c r="H7" s="118"/>
      <c r="N7" s="39" t="s">
        <v>206</v>
      </c>
      <c r="S7" s="39" t="s">
        <v>360</v>
      </c>
    </row>
    <row r="8" spans="1:19" x14ac:dyDescent="0.2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5.75" x14ac:dyDescent="0.25">
      <c r="A9" s="186" t="s">
        <v>212</v>
      </c>
      <c r="B9" s="187"/>
      <c r="C9" s="187"/>
      <c r="D9" s="187"/>
      <c r="E9" s="187"/>
      <c r="F9" s="188"/>
      <c r="G9" s="119"/>
      <c r="H9" s="119"/>
      <c r="N9" s="39" t="s">
        <v>207</v>
      </c>
      <c r="S9" s="39" t="s">
        <v>363</v>
      </c>
    </row>
    <row r="10" spans="1:19" x14ac:dyDescent="0.2">
      <c r="A10" s="126"/>
      <c r="B10" s="119"/>
      <c r="C10" s="119"/>
      <c r="D10" s="119"/>
      <c r="E10" s="159" t="s">
        <v>211</v>
      </c>
      <c r="F10" s="160"/>
      <c r="G10" s="119"/>
      <c r="H10" s="119"/>
      <c r="N10" s="39" t="s">
        <v>191</v>
      </c>
      <c r="S10" s="39" t="s">
        <v>362</v>
      </c>
    </row>
    <row r="11" spans="1:19" x14ac:dyDescent="0.2">
      <c r="A11" s="173" t="s">
        <v>188</v>
      </c>
      <c r="B11" s="174"/>
      <c r="C11" s="174"/>
      <c r="D11" s="174"/>
      <c r="E11" s="164" t="s">
        <v>204</v>
      </c>
      <c r="F11" s="165"/>
      <c r="G11" s="119"/>
      <c r="H11" s="119"/>
      <c r="N11" s="39" t="s">
        <v>203</v>
      </c>
    </row>
    <row r="12" spans="1:19" ht="24.75" customHeight="1" x14ac:dyDescent="0.2">
      <c r="A12" s="173" t="s">
        <v>418</v>
      </c>
      <c r="B12" s="174"/>
      <c r="C12" s="174"/>
      <c r="D12" s="174"/>
      <c r="E12" s="164" t="s">
        <v>737</v>
      </c>
      <c r="F12" s="165"/>
      <c r="G12" s="119"/>
      <c r="H12" s="119"/>
      <c r="N12" s="39" t="s">
        <v>193</v>
      </c>
    </row>
    <row r="13" spans="1:19" x14ac:dyDescent="0.2">
      <c r="A13" s="175" t="s">
        <v>549</v>
      </c>
      <c r="B13" s="176"/>
      <c r="C13" s="176"/>
      <c r="D13" s="176"/>
      <c r="E13" s="164" t="s">
        <v>729</v>
      </c>
      <c r="F13" s="165"/>
      <c r="G13" s="119"/>
      <c r="H13" s="119"/>
      <c r="N13" s="36" t="s">
        <v>197</v>
      </c>
    </row>
    <row r="14" spans="1:19" ht="15" x14ac:dyDescent="0.2">
      <c r="A14" s="157" t="s">
        <v>189</v>
      </c>
      <c r="B14" s="158"/>
      <c r="C14" s="158"/>
      <c r="D14" s="158"/>
      <c r="E14" s="164" t="s">
        <v>738</v>
      </c>
      <c r="F14" s="165"/>
      <c r="G14" s="119"/>
      <c r="H14" s="119"/>
      <c r="N14" s="39" t="s">
        <v>427</v>
      </c>
    </row>
    <row r="15" spans="1:19" x14ac:dyDescent="0.2">
      <c r="A15" s="173" t="s">
        <v>726</v>
      </c>
      <c r="B15" s="174"/>
      <c r="C15" s="174"/>
      <c r="D15" s="174"/>
      <c r="E15" s="166" t="s">
        <v>739</v>
      </c>
      <c r="F15" s="167"/>
      <c r="G15" s="119"/>
      <c r="H15" s="119"/>
      <c r="N15" s="39" t="s">
        <v>428</v>
      </c>
    </row>
    <row r="16" spans="1:19" ht="15.75" x14ac:dyDescent="0.25">
      <c r="A16" s="154"/>
      <c r="B16" s="155"/>
      <c r="C16" s="155"/>
      <c r="D16" s="155"/>
      <c r="E16" s="155"/>
      <c r="F16" s="156"/>
      <c r="G16" s="119"/>
      <c r="H16" s="119"/>
      <c r="N16" s="39" t="s">
        <v>425</v>
      </c>
    </row>
    <row r="17" spans="1:19" x14ac:dyDescent="0.2">
      <c r="A17" s="126"/>
      <c r="B17" s="177" t="s">
        <v>221</v>
      </c>
      <c r="C17" s="177"/>
      <c r="D17" s="177"/>
      <c r="E17" s="177"/>
      <c r="F17" s="127"/>
      <c r="G17" s="119"/>
      <c r="H17" s="119"/>
      <c r="N17" s="39" t="s">
        <v>424</v>
      </c>
    </row>
    <row r="18" spans="1:19" ht="15" x14ac:dyDescent="0.2">
      <c r="A18" s="189" t="s">
        <v>213</v>
      </c>
      <c r="B18" s="190"/>
      <c r="C18" s="190"/>
      <c r="D18" s="120" t="s">
        <v>219</v>
      </c>
      <c r="E18" s="190" t="s">
        <v>220</v>
      </c>
      <c r="F18" s="191"/>
      <c r="G18" s="119"/>
      <c r="H18" s="119"/>
      <c r="N18" s="39" t="s">
        <v>426</v>
      </c>
    </row>
    <row r="19" spans="1:19" ht="15" customHeight="1" x14ac:dyDescent="0.2">
      <c r="A19" s="192" t="s">
        <v>214</v>
      </c>
      <c r="B19" s="193"/>
      <c r="C19" s="193"/>
      <c r="D19" s="114">
        <v>0</v>
      </c>
      <c r="E19" s="180">
        <v>0</v>
      </c>
      <c r="F19" s="181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 x14ac:dyDescent="0.2">
      <c r="A20" s="192" t="s">
        <v>215</v>
      </c>
      <c r="B20" s="193"/>
      <c r="C20" s="193"/>
      <c r="D20" s="114">
        <v>0</v>
      </c>
      <c r="E20" s="180">
        <v>0</v>
      </c>
      <c r="F20" s="181"/>
      <c r="G20" s="119"/>
      <c r="H20" s="119"/>
      <c r="N20" s="39" t="s">
        <v>201</v>
      </c>
    </row>
    <row r="21" spans="1:19" ht="15" customHeight="1" x14ac:dyDescent="0.2">
      <c r="A21" s="192" t="s">
        <v>216</v>
      </c>
      <c r="B21" s="193"/>
      <c r="C21" s="193"/>
      <c r="D21" s="114">
        <v>20</v>
      </c>
      <c r="E21" s="180">
        <v>1</v>
      </c>
      <c r="F21" s="181"/>
      <c r="G21" s="119"/>
      <c r="H21" s="119"/>
      <c r="N21" s="39" t="s">
        <v>208</v>
      </c>
    </row>
    <row r="22" spans="1:19" ht="15" customHeight="1" x14ac:dyDescent="0.2">
      <c r="A22" s="192" t="s">
        <v>217</v>
      </c>
      <c r="B22" s="193"/>
      <c r="C22" s="193"/>
      <c r="D22" s="114">
        <v>20</v>
      </c>
      <c r="E22" s="180">
        <v>1</v>
      </c>
      <c r="F22" s="181"/>
      <c r="G22" s="119"/>
      <c r="H22" s="119"/>
      <c r="N22" s="39" t="s">
        <v>198</v>
      </c>
    </row>
    <row r="23" spans="1:19" ht="15" customHeight="1" x14ac:dyDescent="0.2">
      <c r="A23" s="192" t="s">
        <v>218</v>
      </c>
      <c r="B23" s="193"/>
      <c r="C23" s="193"/>
      <c r="D23" s="114">
        <v>20</v>
      </c>
      <c r="E23" s="180">
        <v>1</v>
      </c>
      <c r="F23" s="181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 x14ac:dyDescent="0.2">
      <c r="A24" s="192" t="s">
        <v>225</v>
      </c>
      <c r="B24" s="193"/>
      <c r="C24" s="193"/>
      <c r="D24" s="114">
        <v>0</v>
      </c>
      <c r="E24" s="180">
        <v>0</v>
      </c>
      <c r="F24" s="181"/>
      <c r="G24" s="119"/>
      <c r="H24" s="119"/>
      <c r="N24" s="39" t="s">
        <v>195</v>
      </c>
    </row>
    <row r="25" spans="1:19" ht="15" customHeight="1" x14ac:dyDescent="0.2">
      <c r="A25" s="194" t="s">
        <v>226</v>
      </c>
      <c r="B25" s="195"/>
      <c r="C25" s="195"/>
      <c r="D25" s="113">
        <f>SUM(D19:D24)</f>
        <v>60</v>
      </c>
      <c r="E25" s="178">
        <f>SUM(E19:F24)</f>
        <v>3</v>
      </c>
      <c r="F25" s="179"/>
      <c r="G25" s="119"/>
      <c r="H25" s="119"/>
      <c r="N25" s="39" t="s">
        <v>196</v>
      </c>
    </row>
    <row r="26" spans="1:19" s="130" customFormat="1" ht="15" x14ac:dyDescent="0.25">
      <c r="A26" s="196" t="s">
        <v>724</v>
      </c>
      <c r="B26" s="197"/>
      <c r="C26" s="197"/>
      <c r="D26" s="132">
        <v>2</v>
      </c>
      <c r="E26" s="132" t="s">
        <v>725</v>
      </c>
      <c r="F26" s="133">
        <f>D26*D25</f>
        <v>120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 x14ac:dyDescent="0.2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 x14ac:dyDescent="0.2">
      <c r="A28" s="184" t="s">
        <v>354</v>
      </c>
      <c r="B28" s="185"/>
      <c r="C28" s="185"/>
      <c r="D28" s="185"/>
      <c r="E28" s="198">
        <v>322.43</v>
      </c>
      <c r="F28" s="199"/>
      <c r="G28" s="119"/>
      <c r="H28" s="119"/>
    </row>
    <row r="29" spans="1:19" x14ac:dyDescent="0.2">
      <c r="A29" s="184" t="s">
        <v>301</v>
      </c>
      <c r="B29" s="185"/>
      <c r="C29" s="185"/>
      <c r="D29" s="185"/>
      <c r="E29" s="200">
        <v>75.8</v>
      </c>
      <c r="F29" s="201"/>
      <c r="G29" s="119"/>
      <c r="H29" s="119"/>
    </row>
    <row r="30" spans="1:19" ht="15.75" customHeight="1" thickBot="1" x14ac:dyDescent="0.25">
      <c r="A30" s="171" t="s">
        <v>222</v>
      </c>
      <c r="B30" s="172"/>
      <c r="C30" s="172"/>
      <c r="D30" s="172"/>
      <c r="E30" s="182" t="s">
        <v>224</v>
      </c>
      <c r="F30" s="183"/>
      <c r="G30" s="119"/>
      <c r="H30" s="119"/>
    </row>
    <row r="31" spans="1:19" s="36" customFormat="1" ht="10.5" customHeight="1" x14ac:dyDescent="0.2"/>
    <row r="32" spans="1:19" x14ac:dyDescent="0.2">
      <c r="A32" s="36"/>
      <c r="B32" s="36"/>
      <c r="C32" s="36"/>
      <c r="D32" s="36"/>
      <c r="E32" s="36"/>
      <c r="F32" s="36"/>
    </row>
    <row r="33" spans="1:6" x14ac:dyDescent="0.2">
      <c r="A33" s="36"/>
      <c r="B33" s="36"/>
      <c r="C33" s="36"/>
      <c r="D33" s="36"/>
      <c r="E33" s="36"/>
      <c r="F33" s="36"/>
    </row>
    <row r="34" spans="1:6" x14ac:dyDescent="0.2">
      <c r="A34" s="36"/>
      <c r="B34" s="36"/>
      <c r="C34" s="36"/>
      <c r="D34" s="36"/>
      <c r="E34" s="36"/>
      <c r="F34" s="36"/>
    </row>
    <row r="35" spans="1:6" x14ac:dyDescent="0.2">
      <c r="A35" s="36"/>
      <c r="B35" s="36"/>
      <c r="C35" s="36"/>
      <c r="D35" s="36"/>
      <c r="E35" s="36"/>
      <c r="F35" s="36"/>
    </row>
    <row r="36" spans="1:6" x14ac:dyDescent="0.2">
      <c r="A36" s="36"/>
      <c r="B36" s="36"/>
      <c r="C36" s="36"/>
      <c r="D36" s="36"/>
      <c r="E36" s="36"/>
      <c r="F36" s="36"/>
    </row>
    <row r="37" spans="1:6" x14ac:dyDescent="0.2">
      <c r="A37" s="36"/>
      <c r="B37" s="36"/>
      <c r="C37" s="36"/>
      <c r="D37" s="36"/>
      <c r="E37" s="36"/>
      <c r="F37" s="36"/>
    </row>
    <row r="38" spans="1:6" x14ac:dyDescent="0.2">
      <c r="A38" s="36"/>
      <c r="B38" s="36"/>
      <c r="C38" s="36"/>
      <c r="D38" s="36"/>
      <c r="E38" s="36"/>
      <c r="F38" s="36"/>
    </row>
    <row r="39" spans="1:6" x14ac:dyDescent="0.2">
      <c r="A39" s="36"/>
      <c r="B39" s="36"/>
      <c r="C39" s="36"/>
      <c r="D39" s="36"/>
      <c r="E39" s="36"/>
      <c r="F39" s="36"/>
    </row>
    <row r="40" spans="1:6" x14ac:dyDescent="0.2">
      <c r="A40" s="36"/>
      <c r="B40" s="36"/>
      <c r="C40" s="36"/>
      <c r="D40" s="36"/>
      <c r="E40" s="36"/>
      <c r="F40" s="36"/>
    </row>
    <row r="41" spans="1:6" x14ac:dyDescent="0.2">
      <c r="A41" s="36"/>
      <c r="B41" s="36"/>
      <c r="C41" s="36"/>
      <c r="D41" s="36"/>
      <c r="E41" s="36"/>
      <c r="F41" s="36"/>
    </row>
    <row r="42" spans="1:6" x14ac:dyDescent="0.2">
      <c r="A42" s="36"/>
      <c r="B42" s="36"/>
      <c r="C42" s="36"/>
      <c r="D42" s="36"/>
      <c r="E42" s="36"/>
      <c r="F42" s="36"/>
    </row>
    <row r="43" spans="1:6" x14ac:dyDescent="0.2">
      <c r="A43" s="36"/>
      <c r="B43" s="36"/>
      <c r="C43" s="36"/>
      <c r="D43" s="36"/>
      <c r="E43" s="36"/>
      <c r="F43" s="36"/>
    </row>
    <row r="44" spans="1:6" x14ac:dyDescent="0.2">
      <c r="A44" s="36"/>
      <c r="B44" s="36"/>
      <c r="C44" s="36"/>
      <c r="D44" s="36"/>
      <c r="E44" s="36"/>
      <c r="F44" s="36"/>
    </row>
    <row r="45" spans="1:6" x14ac:dyDescent="0.2">
      <c r="A45" s="36"/>
      <c r="B45" s="36"/>
      <c r="C45" s="36"/>
      <c r="D45" s="36"/>
      <c r="E45" s="36"/>
      <c r="F45" s="36"/>
    </row>
    <row r="46" spans="1:6" x14ac:dyDescent="0.2">
      <c r="A46" s="36"/>
      <c r="B46" s="36"/>
      <c r="C46" s="36"/>
      <c r="D46" s="36"/>
      <c r="E46" s="36"/>
      <c r="F46" s="36"/>
    </row>
    <row r="47" spans="1:6" x14ac:dyDescent="0.2">
      <c r="A47" s="36"/>
      <c r="B47" s="36"/>
      <c r="C47" s="36"/>
      <c r="D47" s="36"/>
      <c r="E47" s="36"/>
      <c r="F47" s="36"/>
    </row>
    <row r="48" spans="1:6" x14ac:dyDescent="0.2">
      <c r="A48" s="36"/>
      <c r="B48" s="36"/>
      <c r="C48" s="36"/>
      <c r="D48" s="36"/>
      <c r="E48" s="36"/>
      <c r="F48" s="36"/>
    </row>
    <row r="49" spans="1:6" x14ac:dyDescent="0.2">
      <c r="A49" s="36"/>
      <c r="B49" s="36"/>
      <c r="C49" s="36"/>
      <c r="D49" s="36"/>
      <c r="E49" s="36"/>
      <c r="F49" s="36"/>
    </row>
    <row r="50" spans="1:6" x14ac:dyDescent="0.2">
      <c r="A50" s="36"/>
      <c r="B50" s="36"/>
      <c r="C50" s="36"/>
      <c r="D50" s="36"/>
      <c r="E50" s="36"/>
      <c r="F50" s="36"/>
    </row>
    <row r="51" spans="1:6" x14ac:dyDescent="0.2">
      <c r="A51" s="36"/>
      <c r="B51" s="36"/>
      <c r="C51" s="36"/>
      <c r="D51" s="36"/>
      <c r="E51" s="36"/>
      <c r="F51" s="36"/>
    </row>
    <row r="52" spans="1:6" x14ac:dyDescent="0.2">
      <c r="A52" s="36"/>
      <c r="B52" s="36"/>
      <c r="C52" s="36"/>
      <c r="D52" s="36"/>
      <c r="E52" s="36"/>
      <c r="F52" s="36"/>
    </row>
    <row r="53" spans="1:6" x14ac:dyDescent="0.2">
      <c r="A53" s="36"/>
      <c r="B53" s="36"/>
      <c r="C53" s="36"/>
      <c r="D53" s="36"/>
      <c r="E53" s="36"/>
      <c r="F53" s="36"/>
    </row>
    <row r="54" spans="1:6" x14ac:dyDescent="0.2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8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topLeftCell="H1" zoomScale="68" zoomScaleNormal="68" workbookViewId="0">
      <pane ySplit="3" topLeftCell="A16" activePane="bottomLeft" state="frozen"/>
      <selection activeCell="F1" sqref="F1"/>
      <selection pane="bottomLeft" activeCell="R29" sqref="R29"/>
    </sheetView>
  </sheetViews>
  <sheetFormatPr baseColWidth="10" defaultColWidth="11.42578125" defaultRowHeight="15" x14ac:dyDescent="0.25"/>
  <cols>
    <col min="1" max="1" width="5.140625" style="14" bestFit="1" customWidth="1"/>
    <col min="2" max="2" width="8.85546875" customWidth="1"/>
    <col min="3" max="3" width="22.28515625" style="15" customWidth="1"/>
    <col min="4" max="5" width="27.85546875" style="16" hidden="1" customWidth="1"/>
    <col min="6" max="6" width="47.140625" style="9" customWidth="1"/>
    <col min="7" max="7" width="71" style="17" customWidth="1"/>
    <col min="8" max="9" width="15.28515625" style="21" customWidth="1"/>
    <col min="10" max="13" width="15.28515625" style="22" customWidth="1"/>
    <col min="14" max="14" width="22.5703125" style="80" customWidth="1"/>
    <col min="15" max="15" width="15.28515625" style="25" customWidth="1"/>
    <col min="16" max="16" width="15.28515625" style="139" customWidth="1"/>
    <col min="17" max="17" width="53.42578125" style="86" customWidth="1"/>
  </cols>
  <sheetData>
    <row r="1" spans="1:17" x14ac:dyDescent="0.25">
      <c r="A1" s="212" t="s">
        <v>0</v>
      </c>
      <c r="B1" s="212" t="s">
        <v>1</v>
      </c>
      <c r="C1" s="212" t="s">
        <v>2</v>
      </c>
      <c r="D1" s="212" t="s">
        <v>3</v>
      </c>
      <c r="E1" s="212" t="s">
        <v>4</v>
      </c>
      <c r="F1" s="212" t="s">
        <v>5</v>
      </c>
      <c r="G1" s="209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75.8</v>
      </c>
      <c r="O1" s="23" t="s">
        <v>650</v>
      </c>
      <c r="P1" s="134">
        <f>'INFORMACION BASE'!E28</f>
        <v>322.43</v>
      </c>
      <c r="Q1" s="202" t="s">
        <v>6</v>
      </c>
    </row>
    <row r="2" spans="1:17" ht="15.75" x14ac:dyDescent="0.25">
      <c r="A2" s="212"/>
      <c r="B2" s="212"/>
      <c r="C2" s="212"/>
      <c r="D2" s="212"/>
      <c r="E2" s="212"/>
      <c r="F2" s="212"/>
      <c r="G2" s="210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07" t="s">
        <v>13</v>
      </c>
      <c r="O2" s="205" t="s">
        <v>14</v>
      </c>
      <c r="P2" s="135" t="s">
        <v>15</v>
      </c>
      <c r="Q2" s="203"/>
    </row>
    <row r="3" spans="1:17" x14ac:dyDescent="0.25">
      <c r="A3" s="212"/>
      <c r="B3" s="212"/>
      <c r="C3" s="212"/>
      <c r="D3" s="212"/>
      <c r="E3" s="212"/>
      <c r="F3" s="212"/>
      <c r="G3" s="211"/>
      <c r="H3" s="4">
        <f>'INFORMACION BASE'!D19</f>
        <v>0</v>
      </c>
      <c r="I3" s="4">
        <f>'INFORMACION BASE'!D20</f>
        <v>0</v>
      </c>
      <c r="J3" s="4">
        <f>'INFORMACION BASE'!D21</f>
        <v>20</v>
      </c>
      <c r="K3" s="4">
        <f>'INFORMACION BASE'!D22</f>
        <v>20</v>
      </c>
      <c r="L3" s="4">
        <f>'INFORMACION BASE'!D23</f>
        <v>20</v>
      </c>
      <c r="M3" s="4">
        <f>'INFORMACION BASE'!D24</f>
        <v>0</v>
      </c>
      <c r="N3" s="208"/>
      <c r="O3" s="206"/>
      <c r="P3" s="136">
        <f>'INFORMACION BASE'!D25</f>
        <v>60</v>
      </c>
      <c r="Q3" s="204"/>
    </row>
    <row r="4" spans="1:17" s="9" customFormat="1" ht="30" x14ac:dyDescent="0.25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30" x14ac:dyDescent="0.25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30" x14ac:dyDescent="0.25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30" x14ac:dyDescent="0.25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30" x14ac:dyDescent="0.25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 x14ac:dyDescent="0.25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3</v>
      </c>
      <c r="O9" s="24">
        <f>IF(N9&gt;=1,(N9*1),(((1-N9)+N9)))</f>
        <v>3</v>
      </c>
      <c r="P9" s="137">
        <f>ROUND(O9,0)</f>
        <v>3</v>
      </c>
      <c r="Q9" s="13" t="s">
        <v>570</v>
      </c>
    </row>
    <row r="10" spans="1:17" s="9" customFormat="1" x14ac:dyDescent="0.25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3</v>
      </c>
      <c r="O10" s="24">
        <f>N10</f>
        <v>3</v>
      </c>
      <c r="P10" s="137">
        <f>ROUND(O10,0)</f>
        <v>3</v>
      </c>
      <c r="Q10" s="13" t="s">
        <v>571</v>
      </c>
    </row>
    <row r="11" spans="1:17" s="9" customFormat="1" x14ac:dyDescent="0.25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 x14ac:dyDescent="0.25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30" x14ac:dyDescent="0.25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30" x14ac:dyDescent="0.25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30" x14ac:dyDescent="0.25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30" x14ac:dyDescent="0.25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0</v>
      </c>
      <c r="Q16" s="13" t="s">
        <v>576</v>
      </c>
    </row>
    <row r="17" spans="1:17" s="9" customFormat="1" ht="30" x14ac:dyDescent="0.25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30" x14ac:dyDescent="0.25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30" x14ac:dyDescent="0.25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30" x14ac:dyDescent="0.25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30" x14ac:dyDescent="0.25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30" x14ac:dyDescent="0.25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30" x14ac:dyDescent="0.25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30" x14ac:dyDescent="0.25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40</v>
      </c>
      <c r="O24" s="24"/>
      <c r="P24" s="137">
        <f t="shared" si="1"/>
        <v>40</v>
      </c>
      <c r="Q24" s="13" t="s">
        <v>578</v>
      </c>
    </row>
    <row r="25" spans="1:17" s="9" customFormat="1" ht="30" x14ac:dyDescent="0.25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20</v>
      </c>
      <c r="O25" s="24"/>
      <c r="P25" s="137">
        <f t="shared" si="1"/>
        <v>20</v>
      </c>
      <c r="Q25" s="13" t="s">
        <v>579</v>
      </c>
    </row>
    <row r="26" spans="1:17" s="9" customFormat="1" ht="30" x14ac:dyDescent="0.25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5" x14ac:dyDescent="0.25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30" x14ac:dyDescent="0.25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0</v>
      </c>
      <c r="Q28" s="13" t="s">
        <v>576</v>
      </c>
    </row>
    <row r="29" spans="1:17" s="9" customFormat="1" ht="30" x14ac:dyDescent="0.25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30" x14ac:dyDescent="0.25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30" x14ac:dyDescent="0.25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30" x14ac:dyDescent="0.25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30" x14ac:dyDescent="0.25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30" x14ac:dyDescent="0.25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0</v>
      </c>
      <c r="Q34" s="13" t="s">
        <v>576</v>
      </c>
    </row>
    <row r="35" spans="1:17" s="9" customFormat="1" x14ac:dyDescent="0.25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 x14ac:dyDescent="0.25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 x14ac:dyDescent="0.25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30" x14ac:dyDescent="0.25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30" x14ac:dyDescent="0.25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30" x14ac:dyDescent="0.25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 x14ac:dyDescent="0.25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30" x14ac:dyDescent="0.25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30" x14ac:dyDescent="0.25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30" x14ac:dyDescent="0.25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30" x14ac:dyDescent="0.25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30" x14ac:dyDescent="0.25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30" x14ac:dyDescent="0.25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30" x14ac:dyDescent="0.25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30" x14ac:dyDescent="0.25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30" x14ac:dyDescent="0.25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0</v>
      </c>
      <c r="Q50" s="13" t="s">
        <v>576</v>
      </c>
    </row>
    <row r="51" spans="1:17" s="9" customFormat="1" ht="30" x14ac:dyDescent="0.25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30" x14ac:dyDescent="0.25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30" x14ac:dyDescent="0.25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30" x14ac:dyDescent="0.25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30" x14ac:dyDescent="0.25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30" x14ac:dyDescent="0.25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30" x14ac:dyDescent="0.25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30" x14ac:dyDescent="0.25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30" x14ac:dyDescent="0.25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30" x14ac:dyDescent="0.25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30" x14ac:dyDescent="0.25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30" x14ac:dyDescent="0.25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30" x14ac:dyDescent="0.25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30" x14ac:dyDescent="0.25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30" x14ac:dyDescent="0.25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30" x14ac:dyDescent="0.25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30" x14ac:dyDescent="0.25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30" x14ac:dyDescent="0.25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30" x14ac:dyDescent="0.25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 ht="30" x14ac:dyDescent="0.25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30" x14ac:dyDescent="0.25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 x14ac:dyDescent="0.25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60</v>
      </c>
      <c r="Q72" s="13" t="s">
        <v>583</v>
      </c>
    </row>
    <row r="73" spans="1:17" s="9" customFormat="1" ht="30" x14ac:dyDescent="0.25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 ht="30" x14ac:dyDescent="0.25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 ht="30" x14ac:dyDescent="0.25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 ht="30" x14ac:dyDescent="0.25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30" x14ac:dyDescent="0.25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 x14ac:dyDescent="0.25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 x14ac:dyDescent="0.25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 x14ac:dyDescent="0.25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30" x14ac:dyDescent="0.25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6</v>
      </c>
      <c r="O81" s="24"/>
      <c r="P81" s="137">
        <f>N81</f>
        <v>6</v>
      </c>
      <c r="Q81" s="13" t="s">
        <v>586</v>
      </c>
    </row>
    <row r="82" spans="1:17" s="9" customFormat="1" x14ac:dyDescent="0.25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 x14ac:dyDescent="0.25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30" x14ac:dyDescent="0.25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60</v>
      </c>
      <c r="O84" s="24"/>
      <c r="P84" s="137">
        <f>N84</f>
        <v>60</v>
      </c>
      <c r="Q84" s="13" t="s">
        <v>587</v>
      </c>
    </row>
    <row r="85" spans="1:17" s="9" customFormat="1" ht="30" x14ac:dyDescent="0.25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 x14ac:dyDescent="0.25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30" x14ac:dyDescent="0.25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 x14ac:dyDescent="0.25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 x14ac:dyDescent="0.25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30" x14ac:dyDescent="0.25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30" x14ac:dyDescent="0.25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30" x14ac:dyDescent="0.25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120</v>
      </c>
      <c r="O92" s="24"/>
      <c r="P92" s="137">
        <f>N92</f>
        <v>120</v>
      </c>
      <c r="Q92" s="13" t="s">
        <v>593</v>
      </c>
    </row>
    <row r="93" spans="1:17" s="9" customFormat="1" ht="30" x14ac:dyDescent="0.25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0</v>
      </c>
      <c r="O93" s="24"/>
      <c r="P93" s="137">
        <f>N93</f>
        <v>0</v>
      </c>
      <c r="Q93" s="13" t="s">
        <v>592</v>
      </c>
    </row>
    <row r="94" spans="1:17" s="9" customFormat="1" ht="30" x14ac:dyDescent="0.25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20</v>
      </c>
      <c r="O94" s="24">
        <f>N94</f>
        <v>20</v>
      </c>
      <c r="P94" s="137">
        <f>ROUND(O94,0)</f>
        <v>20</v>
      </c>
      <c r="Q94" s="13" t="s">
        <v>601</v>
      </c>
    </row>
    <row r="95" spans="1:17" s="9" customFormat="1" x14ac:dyDescent="0.25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60</v>
      </c>
      <c r="O95" s="24">
        <f>N95</f>
        <v>60</v>
      </c>
      <c r="P95" s="137">
        <f>ROUND(O95,0)</f>
        <v>60</v>
      </c>
      <c r="Q95" s="13" t="s">
        <v>600</v>
      </c>
    </row>
    <row r="96" spans="1:17" s="9" customFormat="1" x14ac:dyDescent="0.25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 x14ac:dyDescent="0.25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 x14ac:dyDescent="0.25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3</v>
      </c>
      <c r="O98" s="24"/>
      <c r="P98" s="137">
        <f t="shared" si="6"/>
        <v>3</v>
      </c>
      <c r="Q98" s="13" t="s">
        <v>596</v>
      </c>
    </row>
    <row r="99" spans="1:17" s="9" customFormat="1" x14ac:dyDescent="0.25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3</v>
      </c>
      <c r="O99" s="24"/>
      <c r="P99" s="137">
        <f t="shared" si="6"/>
        <v>3</v>
      </c>
      <c r="Q99" s="13" t="s">
        <v>596</v>
      </c>
    </row>
    <row r="100" spans="1:17" s="9" customFormat="1" x14ac:dyDescent="0.25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3</v>
      </c>
      <c r="O100" s="24"/>
      <c r="P100" s="137">
        <f t="shared" si="6"/>
        <v>3</v>
      </c>
      <c r="Q100" s="13" t="s">
        <v>596</v>
      </c>
    </row>
    <row r="101" spans="1:17" s="9" customFormat="1" ht="30" x14ac:dyDescent="0.25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0</v>
      </c>
      <c r="O101" s="24"/>
      <c r="P101" s="137">
        <f t="shared" si="6"/>
        <v>0</v>
      </c>
      <c r="Q101" s="13" t="s">
        <v>598</v>
      </c>
    </row>
    <row r="102" spans="1:17" s="9" customFormat="1" x14ac:dyDescent="0.25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3</v>
      </c>
      <c r="O102" s="24"/>
      <c r="P102" s="137">
        <f t="shared" si="6"/>
        <v>3</v>
      </c>
      <c r="Q102" s="13" t="s">
        <v>596</v>
      </c>
    </row>
    <row r="103" spans="1:17" s="9" customFormat="1" x14ac:dyDescent="0.25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30" x14ac:dyDescent="0.25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30" x14ac:dyDescent="0.25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30" x14ac:dyDescent="0.25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30" x14ac:dyDescent="0.25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30" x14ac:dyDescent="0.25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30" x14ac:dyDescent="0.25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17</v>
      </c>
      <c r="O109" s="24"/>
      <c r="P109" s="137">
        <f>ROUND(N109,0)</f>
        <v>17</v>
      </c>
      <c r="Q109" s="13" t="s">
        <v>607</v>
      </c>
    </row>
    <row r="110" spans="1:17" s="9" customFormat="1" x14ac:dyDescent="0.25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0</v>
      </c>
      <c r="O110" s="24"/>
      <c r="P110" s="137">
        <f>ROUND(N110,0)</f>
        <v>0</v>
      </c>
      <c r="Q110" s="13" t="s">
        <v>605</v>
      </c>
    </row>
    <row r="111" spans="1:17" s="9" customFormat="1" ht="30" x14ac:dyDescent="0.25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60</v>
      </c>
      <c r="O111" s="24"/>
      <c r="P111" s="137">
        <f>N111</f>
        <v>60</v>
      </c>
      <c r="Q111" s="13" t="s">
        <v>608</v>
      </c>
    </row>
    <row r="112" spans="1:17" s="9" customFormat="1" x14ac:dyDescent="0.25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 x14ac:dyDescent="0.25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 x14ac:dyDescent="0.25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 x14ac:dyDescent="0.25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 x14ac:dyDescent="0.25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30" x14ac:dyDescent="0.25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 x14ac:dyDescent="0.25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30" x14ac:dyDescent="0.25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 x14ac:dyDescent="0.25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 x14ac:dyDescent="0.25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30" x14ac:dyDescent="0.25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36</v>
      </c>
      <c r="O122" s="24"/>
      <c r="P122" s="137">
        <f>ROUND(N122,0)</f>
        <v>36</v>
      </c>
      <c r="Q122" s="13" t="s">
        <v>610</v>
      </c>
    </row>
    <row r="123" spans="1:17" s="9" customFormat="1" ht="30" x14ac:dyDescent="0.25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3</v>
      </c>
      <c r="O123" s="24"/>
      <c r="P123" s="137">
        <f>N123</f>
        <v>3</v>
      </c>
      <c r="Q123" s="27" t="s">
        <v>611</v>
      </c>
    </row>
    <row r="124" spans="1:17" s="9" customFormat="1" ht="30" x14ac:dyDescent="0.25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30" x14ac:dyDescent="0.25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30" x14ac:dyDescent="0.25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30" x14ac:dyDescent="0.25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30" x14ac:dyDescent="0.25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3</v>
      </c>
      <c r="O128" s="24"/>
      <c r="P128" s="137">
        <f>N128</f>
        <v>3</v>
      </c>
      <c r="Q128" s="13" t="s">
        <v>613</v>
      </c>
    </row>
    <row r="129" spans="1:17" s="9" customFormat="1" ht="30" x14ac:dyDescent="0.25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30" x14ac:dyDescent="0.25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30" x14ac:dyDescent="0.25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30" x14ac:dyDescent="0.25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 ht="30" x14ac:dyDescent="0.25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 ht="30" x14ac:dyDescent="0.25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30" x14ac:dyDescent="0.25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30" x14ac:dyDescent="0.25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3</v>
      </c>
      <c r="O136" s="24"/>
      <c r="P136" s="137">
        <f t="shared" si="7"/>
        <v>3</v>
      </c>
      <c r="Q136" s="13" t="s">
        <v>614</v>
      </c>
    </row>
    <row r="137" spans="1:17" s="9" customFormat="1" ht="30" x14ac:dyDescent="0.25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3</v>
      </c>
      <c r="O137" s="24"/>
      <c r="P137" s="137">
        <v>1</v>
      </c>
      <c r="Q137" s="13" t="s">
        <v>624</v>
      </c>
    </row>
    <row r="138" spans="1:17" s="9" customFormat="1" ht="30" x14ac:dyDescent="0.25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 ht="30" x14ac:dyDescent="0.25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3</v>
      </c>
      <c r="O139" s="24"/>
      <c r="P139" s="137">
        <f>N139</f>
        <v>3</v>
      </c>
      <c r="Q139" s="13" t="s">
        <v>616</v>
      </c>
    </row>
    <row r="140" spans="1:17" s="9" customFormat="1" ht="30" x14ac:dyDescent="0.25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30" x14ac:dyDescent="0.25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3</v>
      </c>
      <c r="O141" s="24"/>
      <c r="P141" s="137">
        <f t="shared" ref="P141:P148" si="8">N141</f>
        <v>3</v>
      </c>
      <c r="Q141" s="13" t="s">
        <v>627</v>
      </c>
    </row>
    <row r="142" spans="1:17" s="9" customFormat="1" ht="30" x14ac:dyDescent="0.25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30" x14ac:dyDescent="0.25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1</v>
      </c>
      <c r="O143" s="24"/>
      <c r="P143" s="137">
        <f t="shared" si="8"/>
        <v>1</v>
      </c>
      <c r="Q143" s="13" t="s">
        <v>631</v>
      </c>
    </row>
    <row r="144" spans="1:17" s="9" customFormat="1" ht="30" x14ac:dyDescent="0.25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30" x14ac:dyDescent="0.25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30" x14ac:dyDescent="0.25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30" x14ac:dyDescent="0.25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30" x14ac:dyDescent="0.25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3</v>
      </c>
      <c r="O148" s="24"/>
      <c r="P148" s="137">
        <f t="shared" si="8"/>
        <v>3</v>
      </c>
      <c r="Q148" s="13" t="s">
        <v>637</v>
      </c>
    </row>
    <row r="149" spans="1:17" s="9" customFormat="1" ht="30" x14ac:dyDescent="0.25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30" x14ac:dyDescent="0.25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 ht="30" x14ac:dyDescent="0.25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 ht="30" x14ac:dyDescent="0.25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2</v>
      </c>
      <c r="O152" s="24"/>
      <c r="P152" s="137">
        <f t="shared" si="9"/>
        <v>2</v>
      </c>
      <c r="Q152" s="13" t="s">
        <v>640</v>
      </c>
    </row>
    <row r="153" spans="1:17" s="9" customFormat="1" ht="30" x14ac:dyDescent="0.25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1</v>
      </c>
      <c r="O153" s="24"/>
      <c r="P153" s="137">
        <f t="shared" si="9"/>
        <v>1</v>
      </c>
      <c r="Q153" s="13" t="s">
        <v>642</v>
      </c>
    </row>
    <row r="154" spans="1:17" s="9" customFormat="1" ht="30" x14ac:dyDescent="0.25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1</v>
      </c>
      <c r="O154" s="24"/>
      <c r="P154" s="137">
        <f t="shared" si="9"/>
        <v>1</v>
      </c>
      <c r="Q154" s="13" t="s">
        <v>643</v>
      </c>
    </row>
    <row r="155" spans="1:17" s="9" customFormat="1" ht="30" x14ac:dyDescent="0.25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1</v>
      </c>
      <c r="O155" s="24"/>
      <c r="P155" s="137">
        <f t="shared" si="9"/>
        <v>1</v>
      </c>
      <c r="Q155" s="13" t="s">
        <v>643</v>
      </c>
    </row>
    <row r="156" spans="1:17" s="9" customFormat="1" ht="30" x14ac:dyDescent="0.25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3</v>
      </c>
      <c r="O156" s="24"/>
      <c r="P156" s="137">
        <f t="shared" si="9"/>
        <v>3</v>
      </c>
      <c r="Q156" s="13" t="s">
        <v>616</v>
      </c>
    </row>
    <row r="157" spans="1:17" s="9" customFormat="1" ht="30" x14ac:dyDescent="0.25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30" x14ac:dyDescent="0.25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 ht="30" x14ac:dyDescent="0.25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30" x14ac:dyDescent="0.25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0</v>
      </c>
      <c r="O160" s="24"/>
      <c r="P160" s="137">
        <f t="shared" ref="P160:P171" si="10">N160</f>
        <v>0</v>
      </c>
      <c r="Q160" s="13" t="s">
        <v>647</v>
      </c>
    </row>
    <row r="161" spans="1:17" s="9" customFormat="1" ht="30" x14ac:dyDescent="0.25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1</v>
      </c>
      <c r="O161" s="24"/>
      <c r="P161" s="137">
        <f t="shared" si="10"/>
        <v>1</v>
      </c>
      <c r="Q161" s="13" t="s">
        <v>618</v>
      </c>
    </row>
    <row r="162" spans="1:17" s="9" customFormat="1" ht="30" x14ac:dyDescent="0.25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1</v>
      </c>
      <c r="O162" s="24"/>
      <c r="P162" s="137">
        <f t="shared" si="10"/>
        <v>1</v>
      </c>
      <c r="Q162" s="13" t="s">
        <v>649</v>
      </c>
    </row>
    <row r="163" spans="1:17" s="9" customFormat="1" ht="30" x14ac:dyDescent="0.25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3</v>
      </c>
      <c r="O163" s="24"/>
      <c r="P163" s="137">
        <f t="shared" si="10"/>
        <v>3</v>
      </c>
      <c r="Q163" s="13" t="s">
        <v>614</v>
      </c>
    </row>
    <row r="164" spans="1:17" s="9" customFormat="1" ht="30" x14ac:dyDescent="0.25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30" x14ac:dyDescent="0.25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30" x14ac:dyDescent="0.25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30" x14ac:dyDescent="0.25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2</v>
      </c>
      <c r="O167" s="24"/>
      <c r="P167" s="137">
        <f t="shared" si="10"/>
        <v>2</v>
      </c>
      <c r="Q167" s="13" t="s">
        <v>640</v>
      </c>
    </row>
    <row r="168" spans="1:17" s="9" customFormat="1" ht="30" x14ac:dyDescent="0.25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30" x14ac:dyDescent="0.25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30" x14ac:dyDescent="0.25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30" x14ac:dyDescent="0.25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 ht="30" x14ac:dyDescent="0.25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 ht="30" x14ac:dyDescent="0.25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30" x14ac:dyDescent="0.25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3</v>
      </c>
      <c r="Q174" s="13" t="s">
        <v>614</v>
      </c>
    </row>
    <row r="175" spans="1:17" s="9" customFormat="1" ht="30" x14ac:dyDescent="0.25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 ht="30" x14ac:dyDescent="0.25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 ht="30" x14ac:dyDescent="0.25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 ht="30" x14ac:dyDescent="0.25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 ht="30" x14ac:dyDescent="0.25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30" x14ac:dyDescent="0.25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6</v>
      </c>
      <c r="Q180" s="13" t="s">
        <v>662</v>
      </c>
    </row>
    <row r="181" spans="1:17" s="9" customFormat="1" ht="30" x14ac:dyDescent="0.25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 ht="30" x14ac:dyDescent="0.25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0</v>
      </c>
      <c r="Q182" s="13" t="s">
        <v>663</v>
      </c>
    </row>
    <row r="183" spans="1:17" s="9" customFormat="1" ht="30" x14ac:dyDescent="0.25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 ht="30" x14ac:dyDescent="0.25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 ht="30" x14ac:dyDescent="0.25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1</v>
      </c>
      <c r="Q185" s="13" t="s">
        <v>642</v>
      </c>
    </row>
    <row r="186" spans="1:17" s="9" customFormat="1" ht="30" x14ac:dyDescent="0.25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30" x14ac:dyDescent="0.25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0</v>
      </c>
      <c r="Q187" s="13" t="s">
        <v>665</v>
      </c>
    </row>
    <row r="188" spans="1:17" s="9" customFormat="1" ht="30" x14ac:dyDescent="0.25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 ht="30" x14ac:dyDescent="0.25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0</v>
      </c>
      <c r="Q189" s="13" t="s">
        <v>665</v>
      </c>
    </row>
    <row r="190" spans="1:17" s="9" customFormat="1" ht="30" x14ac:dyDescent="0.25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 ht="30" x14ac:dyDescent="0.25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30" x14ac:dyDescent="0.25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 ht="30" x14ac:dyDescent="0.25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 ht="30" x14ac:dyDescent="0.25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0</v>
      </c>
      <c r="Q194" s="13" t="s">
        <v>663</v>
      </c>
    </row>
    <row r="195" spans="1:17" s="9" customFormat="1" ht="30" x14ac:dyDescent="0.25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 ht="30" x14ac:dyDescent="0.25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 ht="30" x14ac:dyDescent="0.25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0</v>
      </c>
      <c r="Q197" s="13" t="s">
        <v>663</v>
      </c>
    </row>
    <row r="198" spans="1:17" s="9" customFormat="1" ht="30" x14ac:dyDescent="0.25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30" x14ac:dyDescent="0.25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 ht="30" x14ac:dyDescent="0.25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30" x14ac:dyDescent="0.25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0</v>
      </c>
      <c r="Q201" s="13" t="s">
        <v>663</v>
      </c>
    </row>
    <row r="202" spans="1:17" s="9" customFormat="1" ht="30" x14ac:dyDescent="0.25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0</v>
      </c>
      <c r="Q202" s="13" t="s">
        <v>663</v>
      </c>
    </row>
    <row r="203" spans="1:17" s="9" customFormat="1" ht="30" x14ac:dyDescent="0.25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30" x14ac:dyDescent="0.25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30" x14ac:dyDescent="0.25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30" x14ac:dyDescent="0.25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 ht="30" x14ac:dyDescent="0.25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 ht="30" x14ac:dyDescent="0.25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0</v>
      </c>
      <c r="Q208" s="13" t="s">
        <v>677</v>
      </c>
    </row>
    <row r="209" spans="1:17" s="9" customFormat="1" ht="30" x14ac:dyDescent="0.25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 ht="30" x14ac:dyDescent="0.25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 ht="30" x14ac:dyDescent="0.25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 ht="30" x14ac:dyDescent="0.25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1</v>
      </c>
      <c r="Q212" s="13" t="s">
        <v>642</v>
      </c>
    </row>
    <row r="213" spans="1:17" s="9" customFormat="1" ht="30" x14ac:dyDescent="0.25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 ht="30" x14ac:dyDescent="0.25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 ht="30" x14ac:dyDescent="0.25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30" x14ac:dyDescent="0.25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 ht="30" x14ac:dyDescent="0.25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30" x14ac:dyDescent="0.25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 ht="30" x14ac:dyDescent="0.25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 ht="30" x14ac:dyDescent="0.25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30" x14ac:dyDescent="0.25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 ht="30" x14ac:dyDescent="0.25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5</v>
      </c>
      <c r="Q222" s="13" t="s">
        <v>683</v>
      </c>
    </row>
    <row r="223" spans="1:17" s="9" customFormat="1" ht="30" x14ac:dyDescent="0.25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30" x14ac:dyDescent="0.25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30" x14ac:dyDescent="0.25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 ht="30" x14ac:dyDescent="0.25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30" x14ac:dyDescent="0.25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30" x14ac:dyDescent="0.25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30" x14ac:dyDescent="0.25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30" x14ac:dyDescent="0.25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30" x14ac:dyDescent="0.25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30" x14ac:dyDescent="0.25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 ht="30" x14ac:dyDescent="0.25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 ht="30" x14ac:dyDescent="0.25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30" x14ac:dyDescent="0.25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30" x14ac:dyDescent="0.25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30" x14ac:dyDescent="0.25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30" x14ac:dyDescent="0.25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30" x14ac:dyDescent="0.25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30" x14ac:dyDescent="0.25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30" x14ac:dyDescent="0.25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30" x14ac:dyDescent="0.25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 ht="30" x14ac:dyDescent="0.25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 ht="30" x14ac:dyDescent="0.25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60" x14ac:dyDescent="0.25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5" x14ac:dyDescent="0.25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30" x14ac:dyDescent="0.25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30" x14ac:dyDescent="0.25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30" x14ac:dyDescent="0.25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30" x14ac:dyDescent="0.25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30" x14ac:dyDescent="0.25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30" x14ac:dyDescent="0.25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30" x14ac:dyDescent="0.25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0" x14ac:dyDescent="0.25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0" x14ac:dyDescent="0.25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30" x14ac:dyDescent="0.25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30" x14ac:dyDescent="0.25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30" x14ac:dyDescent="0.25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30" x14ac:dyDescent="0.25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30" x14ac:dyDescent="0.25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30" x14ac:dyDescent="0.25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30" x14ac:dyDescent="0.25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0</v>
      </c>
      <c r="P262" s="137">
        <f t="shared" si="13"/>
        <v>0</v>
      </c>
      <c r="Q262" s="13" t="s">
        <v>237</v>
      </c>
    </row>
    <row r="263" spans="1:17" s="9" customFormat="1" ht="30" x14ac:dyDescent="0.25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30" x14ac:dyDescent="0.25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30" x14ac:dyDescent="0.25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30" x14ac:dyDescent="0.25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30" x14ac:dyDescent="0.25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30" x14ac:dyDescent="0.25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30" x14ac:dyDescent="0.25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30" x14ac:dyDescent="0.25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0</v>
      </c>
      <c r="P270" s="137">
        <f t="shared" si="13"/>
        <v>0</v>
      </c>
      <c r="Q270" s="13" t="s">
        <v>237</v>
      </c>
    </row>
    <row r="271" spans="1:17" s="9" customFormat="1" ht="30" x14ac:dyDescent="0.25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30" x14ac:dyDescent="0.25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30" x14ac:dyDescent="0.25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30" x14ac:dyDescent="0.25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30" x14ac:dyDescent="0.25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30" x14ac:dyDescent="0.25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30" x14ac:dyDescent="0.25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0</v>
      </c>
      <c r="P277" s="137">
        <f t="shared" si="13"/>
        <v>0</v>
      </c>
      <c r="Q277" s="13" t="s">
        <v>237</v>
      </c>
    </row>
    <row r="278" spans="1:17" s="9" customFormat="1" ht="30" x14ac:dyDescent="0.25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30" x14ac:dyDescent="0.25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30" x14ac:dyDescent="0.25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30" x14ac:dyDescent="0.25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30" x14ac:dyDescent="0.25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30" x14ac:dyDescent="0.25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30" x14ac:dyDescent="0.25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0" x14ac:dyDescent="0.25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30" x14ac:dyDescent="0.25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30" x14ac:dyDescent="0.25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30" x14ac:dyDescent="0.25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30" x14ac:dyDescent="0.25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30" x14ac:dyDescent="0.25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30" x14ac:dyDescent="0.25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30" x14ac:dyDescent="0.25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30" x14ac:dyDescent="0.25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30" x14ac:dyDescent="0.25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30" x14ac:dyDescent="0.25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30" x14ac:dyDescent="0.25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30" x14ac:dyDescent="0.25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30" x14ac:dyDescent="0.25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30" x14ac:dyDescent="0.25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30" x14ac:dyDescent="0.25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30" x14ac:dyDescent="0.25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30" x14ac:dyDescent="0.25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30" x14ac:dyDescent="0.25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30" x14ac:dyDescent="0.25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30" x14ac:dyDescent="0.25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30" x14ac:dyDescent="0.25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30" x14ac:dyDescent="0.25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30" x14ac:dyDescent="0.25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30" x14ac:dyDescent="0.25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30" x14ac:dyDescent="0.25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30" x14ac:dyDescent="0.25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30" x14ac:dyDescent="0.25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0</v>
      </c>
      <c r="P312" s="137">
        <f t="shared" si="14"/>
        <v>0</v>
      </c>
      <c r="Q312" s="13" t="s">
        <v>237</v>
      </c>
    </row>
    <row r="313" spans="1:17" s="9" customFormat="1" ht="30" x14ac:dyDescent="0.25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30" x14ac:dyDescent="0.25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60</v>
      </c>
      <c r="O314" s="24">
        <f>N314</f>
        <v>60</v>
      </c>
      <c r="P314" s="137">
        <f t="shared" si="14"/>
        <v>60</v>
      </c>
      <c r="Q314" s="13" t="s">
        <v>256</v>
      </c>
    </row>
    <row r="315" spans="1:17" s="9" customFormat="1" ht="30" x14ac:dyDescent="0.25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30" x14ac:dyDescent="0.25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30" x14ac:dyDescent="0.25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0</v>
      </c>
      <c r="P317" s="137">
        <f t="shared" si="14"/>
        <v>0</v>
      </c>
      <c r="Q317" s="13" t="s">
        <v>255</v>
      </c>
    </row>
    <row r="318" spans="1:17" s="9" customFormat="1" ht="30" x14ac:dyDescent="0.25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0</v>
      </c>
      <c r="P318" s="137">
        <f t="shared" si="14"/>
        <v>0</v>
      </c>
      <c r="Q318" s="13" t="s">
        <v>255</v>
      </c>
    </row>
    <row r="319" spans="1:17" s="9" customFormat="1" ht="30" x14ac:dyDescent="0.25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30" x14ac:dyDescent="0.25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30" x14ac:dyDescent="0.25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0" x14ac:dyDescent="0.25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30" x14ac:dyDescent="0.25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30" x14ac:dyDescent="0.25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30" x14ac:dyDescent="0.25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30" x14ac:dyDescent="0.25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30" x14ac:dyDescent="0.25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30" x14ac:dyDescent="0.25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30" x14ac:dyDescent="0.25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30" x14ac:dyDescent="0.25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30" x14ac:dyDescent="0.25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30" x14ac:dyDescent="0.25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5" x14ac:dyDescent="0.25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30" x14ac:dyDescent="0.25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30" x14ac:dyDescent="0.25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30" x14ac:dyDescent="0.25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0</v>
      </c>
      <c r="P336" s="137">
        <f t="shared" si="16"/>
        <v>0</v>
      </c>
      <c r="Q336" s="13" t="s">
        <v>272</v>
      </c>
    </row>
    <row r="337" spans="1:17" s="9" customFormat="1" ht="30" x14ac:dyDescent="0.25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0" x14ac:dyDescent="0.25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30" x14ac:dyDescent="0.25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30" x14ac:dyDescent="0.25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30" x14ac:dyDescent="0.25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30" x14ac:dyDescent="0.25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30" x14ac:dyDescent="0.25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6</v>
      </c>
      <c r="O343" s="24">
        <f t="shared" si="17"/>
        <v>6</v>
      </c>
      <c r="P343" s="137">
        <f t="shared" si="16"/>
        <v>6</v>
      </c>
      <c r="Q343" s="13" t="s">
        <v>282</v>
      </c>
    </row>
    <row r="344" spans="1:17" s="9" customFormat="1" ht="30" x14ac:dyDescent="0.25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30" x14ac:dyDescent="0.25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30" x14ac:dyDescent="0.25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30" x14ac:dyDescent="0.25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30" x14ac:dyDescent="0.25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30" x14ac:dyDescent="0.25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30" x14ac:dyDescent="0.25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30" x14ac:dyDescent="0.25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30" x14ac:dyDescent="0.25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30" x14ac:dyDescent="0.25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30" x14ac:dyDescent="0.25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30" x14ac:dyDescent="0.25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30" x14ac:dyDescent="0.25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30" x14ac:dyDescent="0.25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30" x14ac:dyDescent="0.25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30" x14ac:dyDescent="0.25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30" x14ac:dyDescent="0.25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30" x14ac:dyDescent="0.25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30" x14ac:dyDescent="0.25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30" x14ac:dyDescent="0.25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30" x14ac:dyDescent="0.25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30" x14ac:dyDescent="0.25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30" x14ac:dyDescent="0.25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30" x14ac:dyDescent="0.25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30" x14ac:dyDescent="0.25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30" x14ac:dyDescent="0.25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30" x14ac:dyDescent="0.25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30" x14ac:dyDescent="0.25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30" x14ac:dyDescent="0.25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30" x14ac:dyDescent="0.25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30" x14ac:dyDescent="0.25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30" x14ac:dyDescent="0.25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30" x14ac:dyDescent="0.25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0" x14ac:dyDescent="0.25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0" x14ac:dyDescent="0.25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0" x14ac:dyDescent="0.25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0" x14ac:dyDescent="0.25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0" x14ac:dyDescent="0.25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0" x14ac:dyDescent="0.25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0" x14ac:dyDescent="0.25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30" x14ac:dyDescent="0.25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0" x14ac:dyDescent="0.25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0" x14ac:dyDescent="0.25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0" x14ac:dyDescent="0.25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0" x14ac:dyDescent="0.25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0" x14ac:dyDescent="0.25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0" x14ac:dyDescent="0.25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0" x14ac:dyDescent="0.25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0" x14ac:dyDescent="0.25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0" x14ac:dyDescent="0.25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0" x14ac:dyDescent="0.25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0" x14ac:dyDescent="0.25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0" x14ac:dyDescent="0.25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0" x14ac:dyDescent="0.25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30" x14ac:dyDescent="0.25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30" x14ac:dyDescent="0.25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30" x14ac:dyDescent="0.25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30" x14ac:dyDescent="0.25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30" x14ac:dyDescent="0.25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30" x14ac:dyDescent="0.25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30" x14ac:dyDescent="0.25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30" x14ac:dyDescent="0.25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30" x14ac:dyDescent="0.25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30" x14ac:dyDescent="0.25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30" x14ac:dyDescent="0.25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30" x14ac:dyDescent="0.25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30" x14ac:dyDescent="0.25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30" x14ac:dyDescent="0.25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30" x14ac:dyDescent="0.25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30" x14ac:dyDescent="0.25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30" x14ac:dyDescent="0.25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30" x14ac:dyDescent="0.25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30" x14ac:dyDescent="0.25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30" x14ac:dyDescent="0.25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30" x14ac:dyDescent="0.25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30" x14ac:dyDescent="0.25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30" x14ac:dyDescent="0.25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30" x14ac:dyDescent="0.25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30" x14ac:dyDescent="0.25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30" x14ac:dyDescent="0.25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30" x14ac:dyDescent="0.25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30" x14ac:dyDescent="0.25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30" x14ac:dyDescent="0.25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30" x14ac:dyDescent="0.25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30" x14ac:dyDescent="0.25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30" x14ac:dyDescent="0.25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30" x14ac:dyDescent="0.25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30" x14ac:dyDescent="0.25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30" x14ac:dyDescent="0.25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30" x14ac:dyDescent="0.25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30" x14ac:dyDescent="0.25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30" x14ac:dyDescent="0.25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0" x14ac:dyDescent="0.25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30" x14ac:dyDescent="0.25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30" x14ac:dyDescent="0.25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30" x14ac:dyDescent="0.25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30" x14ac:dyDescent="0.25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30" x14ac:dyDescent="0.25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30" x14ac:dyDescent="0.25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30" x14ac:dyDescent="0.25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30" x14ac:dyDescent="0.25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30" x14ac:dyDescent="0.25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30" x14ac:dyDescent="0.25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30" x14ac:dyDescent="0.25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30" x14ac:dyDescent="0.25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30" x14ac:dyDescent="0.25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30" x14ac:dyDescent="0.25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30" x14ac:dyDescent="0.25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30" x14ac:dyDescent="0.25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30" x14ac:dyDescent="0.25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30" x14ac:dyDescent="0.25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30" x14ac:dyDescent="0.25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30" x14ac:dyDescent="0.25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30" x14ac:dyDescent="0.25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30" x14ac:dyDescent="0.25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30" x14ac:dyDescent="0.25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30" x14ac:dyDescent="0.25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30" x14ac:dyDescent="0.25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30" x14ac:dyDescent="0.25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30" x14ac:dyDescent="0.25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30" x14ac:dyDescent="0.25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30" x14ac:dyDescent="0.25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30" x14ac:dyDescent="0.25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30" x14ac:dyDescent="0.25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30" x14ac:dyDescent="0.25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30" x14ac:dyDescent="0.25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30" x14ac:dyDescent="0.25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30" x14ac:dyDescent="0.25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30" x14ac:dyDescent="0.25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30" x14ac:dyDescent="0.25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30" x14ac:dyDescent="0.25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30" x14ac:dyDescent="0.25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30" x14ac:dyDescent="0.25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30" x14ac:dyDescent="0.25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0" x14ac:dyDescent="0.25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0" x14ac:dyDescent="0.25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0" x14ac:dyDescent="0.25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0" x14ac:dyDescent="0.25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0" x14ac:dyDescent="0.25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0" x14ac:dyDescent="0.25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0" x14ac:dyDescent="0.25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0" x14ac:dyDescent="0.25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30" x14ac:dyDescent="0.25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30" x14ac:dyDescent="0.25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30" x14ac:dyDescent="0.25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30" x14ac:dyDescent="0.25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30" x14ac:dyDescent="0.25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30" x14ac:dyDescent="0.25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0" x14ac:dyDescent="0.25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0" x14ac:dyDescent="0.25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30" x14ac:dyDescent="0.25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30" x14ac:dyDescent="0.25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30" x14ac:dyDescent="0.25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30" x14ac:dyDescent="0.25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30" x14ac:dyDescent="0.25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30" x14ac:dyDescent="0.25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30" x14ac:dyDescent="0.25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0</v>
      </c>
      <c r="P500" s="137">
        <f t="shared" si="33"/>
        <v>0</v>
      </c>
      <c r="Q500" s="13" t="s">
        <v>237</v>
      </c>
    </row>
    <row r="501" spans="1:17" s="9" customFormat="1" ht="30" x14ac:dyDescent="0.25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30" x14ac:dyDescent="0.25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30" x14ac:dyDescent="0.25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30" x14ac:dyDescent="0.25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30" x14ac:dyDescent="0.25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30" x14ac:dyDescent="0.25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30" x14ac:dyDescent="0.25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30" x14ac:dyDescent="0.25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0</v>
      </c>
      <c r="P508" s="137">
        <f t="shared" si="33"/>
        <v>0</v>
      </c>
      <c r="Q508" s="13" t="s">
        <v>237</v>
      </c>
    </row>
    <row r="509" spans="1:17" s="9" customFormat="1" ht="30" x14ac:dyDescent="0.25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30" x14ac:dyDescent="0.25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30" x14ac:dyDescent="0.25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30" x14ac:dyDescent="0.25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30" x14ac:dyDescent="0.25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30" x14ac:dyDescent="0.25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30" x14ac:dyDescent="0.25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0</v>
      </c>
      <c r="P515" s="137">
        <f t="shared" si="33"/>
        <v>0</v>
      </c>
      <c r="Q515" s="13" t="s">
        <v>237</v>
      </c>
    </row>
    <row r="516" spans="1:17" s="9" customFormat="1" ht="30" x14ac:dyDescent="0.25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30" x14ac:dyDescent="0.25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30" x14ac:dyDescent="0.25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30" x14ac:dyDescent="0.25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30" x14ac:dyDescent="0.25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30" x14ac:dyDescent="0.25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30" x14ac:dyDescent="0.25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0" x14ac:dyDescent="0.25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30" x14ac:dyDescent="0.25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30" x14ac:dyDescent="0.25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30" x14ac:dyDescent="0.25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30" x14ac:dyDescent="0.25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30" x14ac:dyDescent="0.25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30" x14ac:dyDescent="0.25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30" x14ac:dyDescent="0.25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30" x14ac:dyDescent="0.25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30" x14ac:dyDescent="0.25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30" x14ac:dyDescent="0.25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30" x14ac:dyDescent="0.25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30" x14ac:dyDescent="0.25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30" x14ac:dyDescent="0.25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30" x14ac:dyDescent="0.25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30" x14ac:dyDescent="0.25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30" x14ac:dyDescent="0.25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30" x14ac:dyDescent="0.25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30" x14ac:dyDescent="0.25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30" x14ac:dyDescent="0.25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30" x14ac:dyDescent="0.25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30" x14ac:dyDescent="0.25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30" x14ac:dyDescent="0.25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30" x14ac:dyDescent="0.25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30" x14ac:dyDescent="0.25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30" x14ac:dyDescent="0.25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30" x14ac:dyDescent="0.25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30" x14ac:dyDescent="0.25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0</v>
      </c>
      <c r="P550" s="137">
        <f t="shared" si="34"/>
        <v>0</v>
      </c>
      <c r="Q550" s="13" t="s">
        <v>237</v>
      </c>
    </row>
    <row r="551" spans="1:17" s="9" customFormat="1" ht="30" x14ac:dyDescent="0.25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30" x14ac:dyDescent="0.25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60</v>
      </c>
      <c r="O552" s="24">
        <f>N552</f>
        <v>60</v>
      </c>
      <c r="P552" s="137">
        <f t="shared" si="34"/>
        <v>60</v>
      </c>
      <c r="Q552" s="13" t="s">
        <v>256</v>
      </c>
    </row>
    <row r="553" spans="1:17" s="9" customFormat="1" ht="30" x14ac:dyDescent="0.25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30" x14ac:dyDescent="0.25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30" x14ac:dyDescent="0.25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0</v>
      </c>
      <c r="P555" s="137">
        <f t="shared" si="34"/>
        <v>0</v>
      </c>
      <c r="Q555" s="13" t="s">
        <v>255</v>
      </c>
    </row>
    <row r="556" spans="1:17" s="9" customFormat="1" ht="30" x14ac:dyDescent="0.25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0</v>
      </c>
      <c r="P556" s="137">
        <f t="shared" si="34"/>
        <v>0</v>
      </c>
      <c r="Q556" s="13" t="s">
        <v>255</v>
      </c>
    </row>
    <row r="557" spans="1:17" s="9" customFormat="1" ht="30" x14ac:dyDescent="0.25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30" x14ac:dyDescent="0.25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30" x14ac:dyDescent="0.25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0" x14ac:dyDescent="0.25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30" x14ac:dyDescent="0.25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30" x14ac:dyDescent="0.25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30" x14ac:dyDescent="0.25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30" x14ac:dyDescent="0.25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30" x14ac:dyDescent="0.25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30" x14ac:dyDescent="0.25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30" x14ac:dyDescent="0.25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30" x14ac:dyDescent="0.25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30" x14ac:dyDescent="0.25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30" x14ac:dyDescent="0.25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5" x14ac:dyDescent="0.25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30" x14ac:dyDescent="0.25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30" x14ac:dyDescent="0.25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30" x14ac:dyDescent="0.25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0</v>
      </c>
      <c r="P574" s="137">
        <f t="shared" si="36"/>
        <v>0</v>
      </c>
      <c r="Q574" s="13" t="s">
        <v>272</v>
      </c>
    </row>
    <row r="575" spans="1:17" s="9" customFormat="1" ht="30" x14ac:dyDescent="0.25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0" x14ac:dyDescent="0.25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30" x14ac:dyDescent="0.25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30" x14ac:dyDescent="0.25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30" x14ac:dyDescent="0.25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30" x14ac:dyDescent="0.25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30" x14ac:dyDescent="0.25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6</v>
      </c>
      <c r="O581" s="24">
        <f t="shared" si="37"/>
        <v>6</v>
      </c>
      <c r="P581" s="137">
        <f t="shared" si="36"/>
        <v>6</v>
      </c>
      <c r="Q581" s="13" t="s">
        <v>282</v>
      </c>
    </row>
    <row r="582" spans="1:17" s="9" customFormat="1" ht="30" x14ac:dyDescent="0.25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30" x14ac:dyDescent="0.25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30" x14ac:dyDescent="0.25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30" x14ac:dyDescent="0.25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30" x14ac:dyDescent="0.25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30" x14ac:dyDescent="0.25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30" x14ac:dyDescent="0.25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30" x14ac:dyDescent="0.25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30" x14ac:dyDescent="0.25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30" x14ac:dyDescent="0.25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30" x14ac:dyDescent="0.25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30" x14ac:dyDescent="0.25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30" x14ac:dyDescent="0.25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30" x14ac:dyDescent="0.25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30" x14ac:dyDescent="0.25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30" x14ac:dyDescent="0.25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30" x14ac:dyDescent="0.25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30" x14ac:dyDescent="0.25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30" x14ac:dyDescent="0.25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30" x14ac:dyDescent="0.25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30" x14ac:dyDescent="0.25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30" x14ac:dyDescent="0.25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30" x14ac:dyDescent="0.25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30" x14ac:dyDescent="0.25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30" x14ac:dyDescent="0.25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30" x14ac:dyDescent="0.25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30" x14ac:dyDescent="0.25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30" x14ac:dyDescent="0.25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30" x14ac:dyDescent="0.25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30" x14ac:dyDescent="0.25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30" x14ac:dyDescent="0.25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30" x14ac:dyDescent="0.25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30" x14ac:dyDescent="0.25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0" x14ac:dyDescent="0.25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0" x14ac:dyDescent="0.25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0" x14ac:dyDescent="0.25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0" x14ac:dyDescent="0.25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0" x14ac:dyDescent="0.25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0" x14ac:dyDescent="0.25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0" x14ac:dyDescent="0.25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30" x14ac:dyDescent="0.25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0" x14ac:dyDescent="0.25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0" x14ac:dyDescent="0.25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0" x14ac:dyDescent="0.25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0" x14ac:dyDescent="0.25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0" x14ac:dyDescent="0.25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0" x14ac:dyDescent="0.25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0" x14ac:dyDescent="0.25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0" x14ac:dyDescent="0.25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0" x14ac:dyDescent="0.25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0" x14ac:dyDescent="0.25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0" x14ac:dyDescent="0.25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0" x14ac:dyDescent="0.25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0" x14ac:dyDescent="0.25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30" x14ac:dyDescent="0.25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30" x14ac:dyDescent="0.25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30" x14ac:dyDescent="0.25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30" x14ac:dyDescent="0.25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30" x14ac:dyDescent="0.25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30" x14ac:dyDescent="0.25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30" x14ac:dyDescent="0.25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30" x14ac:dyDescent="0.25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30" x14ac:dyDescent="0.25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30" x14ac:dyDescent="0.25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30" x14ac:dyDescent="0.25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30" x14ac:dyDescent="0.25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30" x14ac:dyDescent="0.25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30" x14ac:dyDescent="0.25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30" x14ac:dyDescent="0.25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30" x14ac:dyDescent="0.25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30" x14ac:dyDescent="0.25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30" x14ac:dyDescent="0.25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30" x14ac:dyDescent="0.25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30" x14ac:dyDescent="0.25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30" x14ac:dyDescent="0.25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30" x14ac:dyDescent="0.25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30" x14ac:dyDescent="0.25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30" x14ac:dyDescent="0.25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30" x14ac:dyDescent="0.25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30" x14ac:dyDescent="0.25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30" x14ac:dyDescent="0.25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30" x14ac:dyDescent="0.25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30" x14ac:dyDescent="0.25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30" x14ac:dyDescent="0.25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30" x14ac:dyDescent="0.25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30" x14ac:dyDescent="0.25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30" x14ac:dyDescent="0.25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30" x14ac:dyDescent="0.25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30" x14ac:dyDescent="0.25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30" x14ac:dyDescent="0.25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30" x14ac:dyDescent="0.25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30" x14ac:dyDescent="0.25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0" x14ac:dyDescent="0.25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30" x14ac:dyDescent="0.25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30" x14ac:dyDescent="0.25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30" x14ac:dyDescent="0.25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30" x14ac:dyDescent="0.25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30" x14ac:dyDescent="0.25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30" x14ac:dyDescent="0.25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30" x14ac:dyDescent="0.25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30" x14ac:dyDescent="0.25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30" x14ac:dyDescent="0.25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30" x14ac:dyDescent="0.25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30" x14ac:dyDescent="0.25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30" x14ac:dyDescent="0.25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30" x14ac:dyDescent="0.25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30" x14ac:dyDescent="0.25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30" x14ac:dyDescent="0.25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30" x14ac:dyDescent="0.25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30" x14ac:dyDescent="0.25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30" x14ac:dyDescent="0.25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30" x14ac:dyDescent="0.25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30" x14ac:dyDescent="0.25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30" x14ac:dyDescent="0.25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30" x14ac:dyDescent="0.25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30" x14ac:dyDescent="0.25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30" x14ac:dyDescent="0.25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30" x14ac:dyDescent="0.25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30" x14ac:dyDescent="0.25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30" x14ac:dyDescent="0.25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30" x14ac:dyDescent="0.25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30" x14ac:dyDescent="0.25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30" x14ac:dyDescent="0.25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30" x14ac:dyDescent="0.25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30" x14ac:dyDescent="0.25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30" x14ac:dyDescent="0.25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30" x14ac:dyDescent="0.25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30" x14ac:dyDescent="0.25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30" x14ac:dyDescent="0.25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30" x14ac:dyDescent="0.25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30" x14ac:dyDescent="0.25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30" x14ac:dyDescent="0.25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30" x14ac:dyDescent="0.25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30" x14ac:dyDescent="0.25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0" x14ac:dyDescent="0.25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0" x14ac:dyDescent="0.25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0" x14ac:dyDescent="0.25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0" x14ac:dyDescent="0.25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0" x14ac:dyDescent="0.25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0" x14ac:dyDescent="0.25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0" x14ac:dyDescent="0.25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0" x14ac:dyDescent="0.25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30" x14ac:dyDescent="0.25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30" x14ac:dyDescent="0.25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30" x14ac:dyDescent="0.25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30" x14ac:dyDescent="0.25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 ht="30" x14ac:dyDescent="0.25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 x14ac:dyDescent="0.25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x14ac:dyDescent="0.25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x14ac:dyDescent="0.25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30" x14ac:dyDescent="0.25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30" x14ac:dyDescent="0.25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30" x14ac:dyDescent="0.25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30" x14ac:dyDescent="0.25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30" x14ac:dyDescent="0.25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30" x14ac:dyDescent="0.25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30" x14ac:dyDescent="0.25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0</v>
      </c>
      <c r="P738" s="137">
        <f t="shared" si="53"/>
        <v>0</v>
      </c>
      <c r="Q738" s="13" t="s">
        <v>237</v>
      </c>
    </row>
    <row r="739" spans="1:17" s="9" customFormat="1" ht="30" x14ac:dyDescent="0.25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30" x14ac:dyDescent="0.25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30" x14ac:dyDescent="0.25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30" x14ac:dyDescent="0.25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30" x14ac:dyDescent="0.25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 ht="30" x14ac:dyDescent="0.25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 ht="30" x14ac:dyDescent="0.25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30" x14ac:dyDescent="0.25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0</v>
      </c>
      <c r="P746" s="137">
        <f t="shared" si="53"/>
        <v>0</v>
      </c>
      <c r="Q746" s="13" t="s">
        <v>237</v>
      </c>
    </row>
    <row r="747" spans="1:17" s="9" customFormat="1" x14ac:dyDescent="0.25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30" x14ac:dyDescent="0.25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30" x14ac:dyDescent="0.25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30" x14ac:dyDescent="0.25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30" x14ac:dyDescent="0.25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30" x14ac:dyDescent="0.25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30" x14ac:dyDescent="0.25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0</v>
      </c>
      <c r="P753" s="137">
        <f t="shared" si="53"/>
        <v>0</v>
      </c>
      <c r="Q753" s="13" t="s">
        <v>237</v>
      </c>
    </row>
    <row r="754" spans="1:17" s="9" customFormat="1" ht="30" x14ac:dyDescent="0.25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30" x14ac:dyDescent="0.25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30" x14ac:dyDescent="0.25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30" x14ac:dyDescent="0.25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 x14ac:dyDescent="0.25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 x14ac:dyDescent="0.25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 ht="25.5" x14ac:dyDescent="0.25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x14ac:dyDescent="0.25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30" x14ac:dyDescent="0.25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 ht="30" x14ac:dyDescent="0.25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30" x14ac:dyDescent="0.25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30" x14ac:dyDescent="0.25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30" x14ac:dyDescent="0.25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 x14ac:dyDescent="0.25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 ht="30" x14ac:dyDescent="0.25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 ht="30" x14ac:dyDescent="0.25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30" x14ac:dyDescent="0.25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 ht="30" x14ac:dyDescent="0.25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 ht="30" x14ac:dyDescent="0.25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 ht="30" x14ac:dyDescent="0.25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 ht="30" x14ac:dyDescent="0.25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 ht="30" x14ac:dyDescent="0.25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 ht="30" x14ac:dyDescent="0.25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 ht="30" x14ac:dyDescent="0.25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 ht="30" x14ac:dyDescent="0.25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 ht="30" x14ac:dyDescent="0.25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 ht="30" x14ac:dyDescent="0.25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 ht="30" x14ac:dyDescent="0.25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 ht="30" x14ac:dyDescent="0.25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 ht="30" x14ac:dyDescent="0.25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 ht="30" x14ac:dyDescent="0.25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30" x14ac:dyDescent="0.25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 ht="30" x14ac:dyDescent="0.25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30" x14ac:dyDescent="0.25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30" x14ac:dyDescent="0.25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0</v>
      </c>
      <c r="P788" s="137">
        <f t="shared" si="54"/>
        <v>0</v>
      </c>
      <c r="Q788" s="13" t="s">
        <v>237</v>
      </c>
    </row>
    <row r="789" spans="1:17" s="9" customFormat="1" ht="30" x14ac:dyDescent="0.25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 x14ac:dyDescent="0.25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60</v>
      </c>
      <c r="O790" s="24">
        <f>N790</f>
        <v>60</v>
      </c>
      <c r="P790" s="137">
        <f t="shared" si="54"/>
        <v>60</v>
      </c>
      <c r="Q790" s="13" t="s">
        <v>256</v>
      </c>
    </row>
    <row r="791" spans="1:17" s="9" customFormat="1" x14ac:dyDescent="0.25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 ht="30" x14ac:dyDescent="0.25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 ht="30" x14ac:dyDescent="0.25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0</v>
      </c>
      <c r="P793" s="137">
        <f t="shared" si="54"/>
        <v>0</v>
      </c>
      <c r="Q793" s="13" t="s">
        <v>255</v>
      </c>
    </row>
    <row r="794" spans="1:17" s="9" customFormat="1" ht="30" x14ac:dyDescent="0.25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0</v>
      </c>
      <c r="P794" s="137">
        <f t="shared" si="54"/>
        <v>0</v>
      </c>
      <c r="Q794" s="13" t="s">
        <v>255</v>
      </c>
    </row>
    <row r="795" spans="1:17" s="9" customFormat="1" ht="30" x14ac:dyDescent="0.25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 ht="30" x14ac:dyDescent="0.25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 x14ac:dyDescent="0.25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30" x14ac:dyDescent="0.25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 ht="30" x14ac:dyDescent="0.25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30" x14ac:dyDescent="0.25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 ht="30" x14ac:dyDescent="0.25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 x14ac:dyDescent="0.25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 x14ac:dyDescent="0.25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 ht="30" x14ac:dyDescent="0.25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 x14ac:dyDescent="0.25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30" x14ac:dyDescent="0.25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30" x14ac:dyDescent="0.25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30" x14ac:dyDescent="0.25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5" x14ac:dyDescent="0.25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 x14ac:dyDescent="0.25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 x14ac:dyDescent="0.25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 ht="30" x14ac:dyDescent="0.25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0</v>
      </c>
      <c r="P812" s="137">
        <f t="shared" si="56"/>
        <v>0</v>
      </c>
      <c r="Q812" s="13" t="s">
        <v>272</v>
      </c>
    </row>
    <row r="813" spans="1:17" s="9" customFormat="1" x14ac:dyDescent="0.25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x14ac:dyDescent="0.25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 x14ac:dyDescent="0.25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30" x14ac:dyDescent="0.25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 x14ac:dyDescent="0.25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 ht="30" x14ac:dyDescent="0.25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30" x14ac:dyDescent="0.25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6</v>
      </c>
      <c r="O819" s="24">
        <f t="shared" si="57"/>
        <v>6</v>
      </c>
      <c r="P819" s="137">
        <f t="shared" si="56"/>
        <v>6</v>
      </c>
      <c r="Q819" s="13" t="s">
        <v>282</v>
      </c>
    </row>
    <row r="820" spans="1:17" s="9" customFormat="1" x14ac:dyDescent="0.25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 x14ac:dyDescent="0.25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 x14ac:dyDescent="0.25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 ht="30" x14ac:dyDescent="0.25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 ht="30" x14ac:dyDescent="0.25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 ht="30" x14ac:dyDescent="0.25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 ht="30" x14ac:dyDescent="0.25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 x14ac:dyDescent="0.25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 ht="30" x14ac:dyDescent="0.25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 x14ac:dyDescent="0.25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 x14ac:dyDescent="0.25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 ht="30" x14ac:dyDescent="0.25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 ht="30" x14ac:dyDescent="0.25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 ht="30" x14ac:dyDescent="0.25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 ht="30" x14ac:dyDescent="0.25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 x14ac:dyDescent="0.25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 ht="30" x14ac:dyDescent="0.25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 ht="30" x14ac:dyDescent="0.25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 ht="30" x14ac:dyDescent="0.25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 ht="30" x14ac:dyDescent="0.25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 ht="30" x14ac:dyDescent="0.25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30" x14ac:dyDescent="0.25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30" x14ac:dyDescent="0.25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30" x14ac:dyDescent="0.25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30" x14ac:dyDescent="0.25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30" x14ac:dyDescent="0.25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30" x14ac:dyDescent="0.25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30" x14ac:dyDescent="0.25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30" x14ac:dyDescent="0.25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30" x14ac:dyDescent="0.25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30" x14ac:dyDescent="0.25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30" x14ac:dyDescent="0.25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 ht="30" x14ac:dyDescent="0.25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30" x14ac:dyDescent="0.25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30" x14ac:dyDescent="0.25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30" x14ac:dyDescent="0.25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30" x14ac:dyDescent="0.25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30" x14ac:dyDescent="0.25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0" x14ac:dyDescent="0.25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0" x14ac:dyDescent="0.25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 ht="30" x14ac:dyDescent="0.25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30" x14ac:dyDescent="0.25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30" x14ac:dyDescent="0.25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30" x14ac:dyDescent="0.25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30" x14ac:dyDescent="0.25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30" x14ac:dyDescent="0.25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30" x14ac:dyDescent="0.25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30" x14ac:dyDescent="0.25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30" x14ac:dyDescent="0.25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30" x14ac:dyDescent="0.25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30" x14ac:dyDescent="0.25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30" x14ac:dyDescent="0.25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30" x14ac:dyDescent="0.25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30" x14ac:dyDescent="0.25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 ht="30" x14ac:dyDescent="0.25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 ht="30" x14ac:dyDescent="0.25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 ht="30" x14ac:dyDescent="0.25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 ht="30" x14ac:dyDescent="0.25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 ht="30" x14ac:dyDescent="0.25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 ht="30" x14ac:dyDescent="0.25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 ht="30" x14ac:dyDescent="0.25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 ht="30" x14ac:dyDescent="0.25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 ht="30" x14ac:dyDescent="0.25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 ht="30" x14ac:dyDescent="0.25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 ht="30" x14ac:dyDescent="0.25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 ht="30" x14ac:dyDescent="0.25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 ht="30" x14ac:dyDescent="0.25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 ht="30" x14ac:dyDescent="0.25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 ht="30" x14ac:dyDescent="0.25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 ht="30" x14ac:dyDescent="0.25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 ht="30" x14ac:dyDescent="0.25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 ht="30" x14ac:dyDescent="0.25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 ht="30" x14ac:dyDescent="0.25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 ht="30" x14ac:dyDescent="0.25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 ht="30" x14ac:dyDescent="0.25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 ht="30" x14ac:dyDescent="0.25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 ht="30" x14ac:dyDescent="0.25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 ht="30" x14ac:dyDescent="0.25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 ht="30" x14ac:dyDescent="0.25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 ht="30" x14ac:dyDescent="0.25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 ht="30" x14ac:dyDescent="0.25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 ht="30" x14ac:dyDescent="0.25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 ht="30" x14ac:dyDescent="0.25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 ht="30" x14ac:dyDescent="0.25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 ht="30" x14ac:dyDescent="0.25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 ht="30" x14ac:dyDescent="0.25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 ht="30" x14ac:dyDescent="0.25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 ht="30" x14ac:dyDescent="0.25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 ht="30" x14ac:dyDescent="0.25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 ht="30" x14ac:dyDescent="0.25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 ht="30" x14ac:dyDescent="0.25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 ht="30" x14ac:dyDescent="0.25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30" x14ac:dyDescent="0.25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 ht="30" x14ac:dyDescent="0.25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 ht="30" x14ac:dyDescent="0.25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 ht="30" x14ac:dyDescent="0.25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 ht="30" x14ac:dyDescent="0.25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 ht="30" x14ac:dyDescent="0.25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 ht="30" x14ac:dyDescent="0.25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 ht="30" x14ac:dyDescent="0.25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 ht="30" x14ac:dyDescent="0.25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 ht="30" x14ac:dyDescent="0.25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30" x14ac:dyDescent="0.25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 ht="30" x14ac:dyDescent="0.25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 ht="30" x14ac:dyDescent="0.25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 ht="30" x14ac:dyDescent="0.25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30" x14ac:dyDescent="0.25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 ht="30" x14ac:dyDescent="0.25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30" x14ac:dyDescent="0.25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 ht="30" x14ac:dyDescent="0.25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 ht="30" x14ac:dyDescent="0.25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 ht="30" x14ac:dyDescent="0.25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 ht="30" x14ac:dyDescent="0.25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 ht="30" x14ac:dyDescent="0.25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 ht="30" x14ac:dyDescent="0.25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 ht="30" x14ac:dyDescent="0.25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 ht="30" x14ac:dyDescent="0.25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 ht="30" x14ac:dyDescent="0.25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 ht="30" x14ac:dyDescent="0.25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 ht="30" x14ac:dyDescent="0.25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 ht="30" x14ac:dyDescent="0.25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 ht="30" x14ac:dyDescent="0.25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 ht="30" x14ac:dyDescent="0.25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 ht="30" x14ac:dyDescent="0.25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 ht="30" x14ac:dyDescent="0.25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 ht="30" x14ac:dyDescent="0.25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 ht="30" x14ac:dyDescent="0.25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 ht="30" x14ac:dyDescent="0.25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 ht="30" x14ac:dyDescent="0.25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 ht="30" x14ac:dyDescent="0.25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 ht="30" x14ac:dyDescent="0.25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 ht="30" x14ac:dyDescent="0.25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 ht="30" x14ac:dyDescent="0.25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 ht="30" x14ac:dyDescent="0.25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30" x14ac:dyDescent="0.25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30" x14ac:dyDescent="0.25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30" x14ac:dyDescent="0.25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30" x14ac:dyDescent="0.25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30" x14ac:dyDescent="0.25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30" x14ac:dyDescent="0.25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30" x14ac:dyDescent="0.25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0" x14ac:dyDescent="0.25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30" x14ac:dyDescent="0.25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30" x14ac:dyDescent="0.25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30" x14ac:dyDescent="0.25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30" x14ac:dyDescent="0.25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 ht="30" x14ac:dyDescent="0.25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 x14ac:dyDescent="0.25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x14ac:dyDescent="0.25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x14ac:dyDescent="0.25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30" x14ac:dyDescent="0.25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30" x14ac:dyDescent="0.25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30" x14ac:dyDescent="0.25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30" x14ac:dyDescent="0.25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30" x14ac:dyDescent="0.25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30" x14ac:dyDescent="0.25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30" x14ac:dyDescent="0.25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0</v>
      </c>
      <c r="P976" s="137">
        <f t="shared" si="73"/>
        <v>0</v>
      </c>
      <c r="Q976" s="13" t="s">
        <v>237</v>
      </c>
    </row>
    <row r="977" spans="1:17" s="9" customFormat="1" ht="30" x14ac:dyDescent="0.25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30" x14ac:dyDescent="0.25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30" x14ac:dyDescent="0.25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30" x14ac:dyDescent="0.25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30" x14ac:dyDescent="0.25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 ht="30" x14ac:dyDescent="0.25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 ht="30" x14ac:dyDescent="0.25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30" x14ac:dyDescent="0.25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0</v>
      </c>
      <c r="P984" s="137">
        <f t="shared" si="73"/>
        <v>0</v>
      </c>
      <c r="Q984" s="13" t="s">
        <v>237</v>
      </c>
    </row>
    <row r="985" spans="1:17" s="9" customFormat="1" x14ac:dyDescent="0.25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30" x14ac:dyDescent="0.25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30" x14ac:dyDescent="0.25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30" x14ac:dyDescent="0.25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30" x14ac:dyDescent="0.25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30" x14ac:dyDescent="0.25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30" x14ac:dyDescent="0.25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0</v>
      </c>
      <c r="P991" s="137">
        <f t="shared" si="73"/>
        <v>0</v>
      </c>
      <c r="Q991" s="13" t="s">
        <v>237</v>
      </c>
    </row>
    <row r="992" spans="1:17" s="9" customFormat="1" ht="30" x14ac:dyDescent="0.25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30" x14ac:dyDescent="0.25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30" x14ac:dyDescent="0.25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30" x14ac:dyDescent="0.25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 x14ac:dyDescent="0.25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 x14ac:dyDescent="0.25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 ht="25.5" x14ac:dyDescent="0.25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x14ac:dyDescent="0.25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30" x14ac:dyDescent="0.25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 ht="30" x14ac:dyDescent="0.25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30" x14ac:dyDescent="0.25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30" x14ac:dyDescent="0.25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30" x14ac:dyDescent="0.25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 x14ac:dyDescent="0.25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 ht="30" x14ac:dyDescent="0.25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 ht="30" x14ac:dyDescent="0.25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30" x14ac:dyDescent="0.25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 ht="30" x14ac:dyDescent="0.25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 ht="30" x14ac:dyDescent="0.25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 ht="30" x14ac:dyDescent="0.25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 ht="30" x14ac:dyDescent="0.25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 ht="30" x14ac:dyDescent="0.25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 ht="30" x14ac:dyDescent="0.25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 ht="30" x14ac:dyDescent="0.25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 ht="30" x14ac:dyDescent="0.25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 ht="30" x14ac:dyDescent="0.25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 ht="30" x14ac:dyDescent="0.25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 ht="30" x14ac:dyDescent="0.25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 ht="30" x14ac:dyDescent="0.25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 ht="30" x14ac:dyDescent="0.25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 ht="30" x14ac:dyDescent="0.25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30" x14ac:dyDescent="0.25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 ht="30" x14ac:dyDescent="0.25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30" x14ac:dyDescent="0.25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30" x14ac:dyDescent="0.25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0</v>
      </c>
      <c r="P1026" s="137">
        <f t="shared" si="74"/>
        <v>0</v>
      </c>
      <c r="Q1026" s="13" t="s">
        <v>237</v>
      </c>
    </row>
    <row r="1027" spans="1:17" s="9" customFormat="1" ht="30" x14ac:dyDescent="0.25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 x14ac:dyDescent="0.25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60</v>
      </c>
      <c r="O1028" s="24">
        <f>N1028</f>
        <v>60</v>
      </c>
      <c r="P1028" s="137">
        <f t="shared" si="74"/>
        <v>60</v>
      </c>
      <c r="Q1028" s="13" t="s">
        <v>256</v>
      </c>
    </row>
    <row r="1029" spans="1:17" s="9" customFormat="1" x14ac:dyDescent="0.25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 ht="30" x14ac:dyDescent="0.25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 ht="30" x14ac:dyDescent="0.25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0</v>
      </c>
      <c r="P1031" s="137">
        <f t="shared" si="74"/>
        <v>0</v>
      </c>
      <c r="Q1031" s="13" t="s">
        <v>255</v>
      </c>
    </row>
    <row r="1032" spans="1:17" s="9" customFormat="1" ht="30" x14ac:dyDescent="0.25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0</v>
      </c>
      <c r="P1032" s="137">
        <f t="shared" si="74"/>
        <v>0</v>
      </c>
      <c r="Q1032" s="13" t="s">
        <v>255</v>
      </c>
    </row>
    <row r="1033" spans="1:17" s="9" customFormat="1" ht="30" x14ac:dyDescent="0.25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 ht="30" x14ac:dyDescent="0.25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 x14ac:dyDescent="0.25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30" x14ac:dyDescent="0.25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 ht="30" x14ac:dyDescent="0.25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30" x14ac:dyDescent="0.25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 ht="30" x14ac:dyDescent="0.25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 x14ac:dyDescent="0.25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 x14ac:dyDescent="0.25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 ht="30" x14ac:dyDescent="0.25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 x14ac:dyDescent="0.25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30" x14ac:dyDescent="0.25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30" x14ac:dyDescent="0.25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30" x14ac:dyDescent="0.25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5" x14ac:dyDescent="0.25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 x14ac:dyDescent="0.25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 x14ac:dyDescent="0.25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 ht="30" x14ac:dyDescent="0.25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0</v>
      </c>
      <c r="P1050" s="137">
        <f t="shared" si="76"/>
        <v>0</v>
      </c>
      <c r="Q1050" s="13" t="s">
        <v>272</v>
      </c>
    </row>
    <row r="1051" spans="1:17" s="9" customFormat="1" x14ac:dyDescent="0.25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x14ac:dyDescent="0.25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 x14ac:dyDescent="0.25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30" x14ac:dyDescent="0.25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 x14ac:dyDescent="0.25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 ht="30" x14ac:dyDescent="0.25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30" x14ac:dyDescent="0.25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6</v>
      </c>
      <c r="O1057" s="24">
        <f t="shared" si="77"/>
        <v>6</v>
      </c>
      <c r="P1057" s="137">
        <f t="shared" si="76"/>
        <v>6</v>
      </c>
      <c r="Q1057" s="13" t="s">
        <v>282</v>
      </c>
    </row>
    <row r="1058" spans="1:17" s="9" customFormat="1" x14ac:dyDescent="0.25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 x14ac:dyDescent="0.25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 x14ac:dyDescent="0.25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 ht="30" x14ac:dyDescent="0.25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 ht="30" x14ac:dyDescent="0.25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 ht="30" x14ac:dyDescent="0.25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 ht="30" x14ac:dyDescent="0.25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 x14ac:dyDescent="0.25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 ht="30" x14ac:dyDescent="0.25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 x14ac:dyDescent="0.25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 x14ac:dyDescent="0.25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 ht="30" x14ac:dyDescent="0.25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 ht="30" x14ac:dyDescent="0.25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 ht="30" x14ac:dyDescent="0.25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 ht="30" x14ac:dyDescent="0.25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 x14ac:dyDescent="0.25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 ht="30" x14ac:dyDescent="0.25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 ht="30" x14ac:dyDescent="0.25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 ht="30" x14ac:dyDescent="0.25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 ht="30" x14ac:dyDescent="0.25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 ht="30" x14ac:dyDescent="0.25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30" x14ac:dyDescent="0.25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30" x14ac:dyDescent="0.25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30" x14ac:dyDescent="0.25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30" x14ac:dyDescent="0.25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30" x14ac:dyDescent="0.25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30" x14ac:dyDescent="0.25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30" x14ac:dyDescent="0.25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30" x14ac:dyDescent="0.25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30" x14ac:dyDescent="0.25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30" x14ac:dyDescent="0.25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30" x14ac:dyDescent="0.25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 ht="30" x14ac:dyDescent="0.25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30" x14ac:dyDescent="0.25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30" x14ac:dyDescent="0.25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30" x14ac:dyDescent="0.25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30" x14ac:dyDescent="0.25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30" x14ac:dyDescent="0.25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0" x14ac:dyDescent="0.25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0" x14ac:dyDescent="0.25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 ht="30" x14ac:dyDescent="0.25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30" x14ac:dyDescent="0.25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30" x14ac:dyDescent="0.25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30" x14ac:dyDescent="0.25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30" x14ac:dyDescent="0.25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30" x14ac:dyDescent="0.25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30" x14ac:dyDescent="0.25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30" x14ac:dyDescent="0.25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30" x14ac:dyDescent="0.25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30" x14ac:dyDescent="0.25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30" x14ac:dyDescent="0.25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30" x14ac:dyDescent="0.25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30" x14ac:dyDescent="0.25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30" x14ac:dyDescent="0.25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 ht="30" x14ac:dyDescent="0.25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 ht="30" x14ac:dyDescent="0.25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 ht="30" x14ac:dyDescent="0.25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 ht="30" x14ac:dyDescent="0.25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 ht="30" x14ac:dyDescent="0.25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 ht="30" x14ac:dyDescent="0.25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 ht="30" x14ac:dyDescent="0.25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 ht="30" x14ac:dyDescent="0.25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 ht="30" x14ac:dyDescent="0.25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 ht="30" x14ac:dyDescent="0.25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 ht="30" x14ac:dyDescent="0.25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 ht="30" x14ac:dyDescent="0.25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 ht="30" x14ac:dyDescent="0.25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 ht="30" x14ac:dyDescent="0.25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 ht="30" x14ac:dyDescent="0.25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 ht="30" x14ac:dyDescent="0.25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 ht="30" x14ac:dyDescent="0.25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 ht="30" x14ac:dyDescent="0.25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 ht="30" x14ac:dyDescent="0.25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 ht="30" x14ac:dyDescent="0.25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 ht="30" x14ac:dyDescent="0.25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 ht="30" x14ac:dyDescent="0.25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 ht="30" x14ac:dyDescent="0.25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 ht="30" x14ac:dyDescent="0.25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 ht="30" x14ac:dyDescent="0.25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 ht="30" x14ac:dyDescent="0.25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 ht="30" x14ac:dyDescent="0.25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 ht="30" x14ac:dyDescent="0.25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 ht="30" x14ac:dyDescent="0.25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 ht="30" x14ac:dyDescent="0.25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 ht="30" x14ac:dyDescent="0.25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 ht="30" x14ac:dyDescent="0.25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 ht="30" x14ac:dyDescent="0.25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 ht="30" x14ac:dyDescent="0.25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 ht="30" x14ac:dyDescent="0.25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 ht="30" x14ac:dyDescent="0.25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 ht="30" x14ac:dyDescent="0.25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 ht="30" x14ac:dyDescent="0.25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30" x14ac:dyDescent="0.25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 ht="30" x14ac:dyDescent="0.25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 ht="30" x14ac:dyDescent="0.25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 ht="30" x14ac:dyDescent="0.25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 ht="30" x14ac:dyDescent="0.25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 ht="30" x14ac:dyDescent="0.25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 ht="30" x14ac:dyDescent="0.25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 ht="30" x14ac:dyDescent="0.25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 ht="30" x14ac:dyDescent="0.25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 ht="30" x14ac:dyDescent="0.25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30" x14ac:dyDescent="0.25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 ht="30" x14ac:dyDescent="0.25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 ht="30" x14ac:dyDescent="0.25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 ht="30" x14ac:dyDescent="0.25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30" x14ac:dyDescent="0.25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 ht="30" x14ac:dyDescent="0.25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30" x14ac:dyDescent="0.25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 ht="30" x14ac:dyDescent="0.25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 ht="30" x14ac:dyDescent="0.25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 ht="30" x14ac:dyDescent="0.25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 ht="30" x14ac:dyDescent="0.25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 ht="30" x14ac:dyDescent="0.25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 ht="30" x14ac:dyDescent="0.25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 ht="30" x14ac:dyDescent="0.25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 ht="30" x14ac:dyDescent="0.25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 ht="30" x14ac:dyDescent="0.25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 ht="30" x14ac:dyDescent="0.25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 ht="30" x14ac:dyDescent="0.25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 ht="30" x14ac:dyDescent="0.25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 ht="30" x14ac:dyDescent="0.25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 ht="30" x14ac:dyDescent="0.25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 ht="30" x14ac:dyDescent="0.25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 ht="30" x14ac:dyDescent="0.25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 ht="30" x14ac:dyDescent="0.25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 ht="30" x14ac:dyDescent="0.25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 ht="30" x14ac:dyDescent="0.25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 ht="30" x14ac:dyDescent="0.25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 ht="30" x14ac:dyDescent="0.25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 ht="30" x14ac:dyDescent="0.25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 ht="30" x14ac:dyDescent="0.25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 ht="30" x14ac:dyDescent="0.25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 ht="30" x14ac:dyDescent="0.25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30" x14ac:dyDescent="0.25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30" x14ac:dyDescent="0.25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30" x14ac:dyDescent="0.25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30" x14ac:dyDescent="0.25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30" x14ac:dyDescent="0.25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30" x14ac:dyDescent="0.25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30" x14ac:dyDescent="0.25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 x14ac:dyDescent="0.25">
      <c r="N1199" s="80">
        <f>IF(P3&lt;&gt;101,(N4*2),0)</f>
        <v>2</v>
      </c>
    </row>
    <row r="1201" spans="14:14" x14ac:dyDescent="0.25">
      <c r="N1201" s="80">
        <f>IF(P3&lt;=100,1,IF(AND(P3&gt;=101,P3&lt;=200),2,IF(AND(P3&gt;=201,P3&lt;=300),3,0)))</f>
        <v>1</v>
      </c>
    </row>
    <row r="1202" spans="14:14" x14ac:dyDescent="0.25">
      <c r="N1202" s="80">
        <f>P3/20</f>
        <v>3</v>
      </c>
    </row>
  </sheetData>
  <sheetProtection selectLockedCells="1" selectUnlockedCells="1"/>
  <sortState xmlns:xlrd2="http://schemas.microsoft.com/office/spreadsheetml/2017/richdata2"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tabSelected="1" view="pageBreakPreview" topLeftCell="A45" zoomScale="91" zoomScaleNormal="91" zoomScaleSheetLayoutView="91" workbookViewId="0">
      <selection activeCell="E62" sqref="E62"/>
    </sheetView>
  </sheetViews>
  <sheetFormatPr baseColWidth="10" defaultColWidth="11.42578125" defaultRowHeight="12.75" x14ac:dyDescent="0.2"/>
  <cols>
    <col min="1" max="1" width="6.5703125" style="50" customWidth="1"/>
    <col min="2" max="2" width="14.42578125" style="50" customWidth="1"/>
    <col min="3" max="3" width="24.7109375" style="50" customWidth="1"/>
    <col min="4" max="4" width="27.85546875" style="50" bestFit="1" customWidth="1"/>
    <col min="5" max="5" width="44.28515625" style="50" customWidth="1"/>
    <col min="6" max="6" width="12" style="53" customWidth="1"/>
    <col min="7" max="7" width="18.5703125" style="50" customWidth="1"/>
    <col min="8" max="8" width="13.42578125" style="50" customWidth="1"/>
    <col min="9" max="14" width="11.42578125" style="50" hidden="1" customWidth="1"/>
    <col min="15" max="15" width="8.5703125" style="50" hidden="1" customWidth="1"/>
    <col min="16" max="16384" width="11.42578125" style="50"/>
  </cols>
  <sheetData>
    <row r="1" spans="1:15" ht="72" customHeight="1" thickBot="1" x14ac:dyDescent="0.25">
      <c r="A1" s="68"/>
      <c r="B1" s="69"/>
      <c r="C1" s="69"/>
      <c r="D1" s="69"/>
      <c r="E1" s="69"/>
      <c r="F1" s="70"/>
      <c r="G1" s="69"/>
      <c r="H1" s="71"/>
    </row>
    <row r="2" spans="1:15" x14ac:dyDescent="0.2">
      <c r="A2" s="280" t="s">
        <v>550</v>
      </c>
      <c r="B2" s="281"/>
      <c r="C2" s="281"/>
      <c r="D2" s="281"/>
      <c r="E2" s="281"/>
      <c r="F2" s="281"/>
      <c r="G2" s="281"/>
      <c r="H2" s="282"/>
    </row>
    <row r="3" spans="1:15" x14ac:dyDescent="0.2">
      <c r="A3" s="283" t="s">
        <v>417</v>
      </c>
      <c r="B3" s="284"/>
      <c r="C3" s="284"/>
      <c r="D3" s="284"/>
      <c r="E3" s="284"/>
      <c r="F3" s="284"/>
      <c r="G3" s="284"/>
      <c r="H3" s="285"/>
    </row>
    <row r="4" spans="1:15" ht="6.75" customHeight="1" thickBot="1" x14ac:dyDescent="0.25">
      <c r="A4" s="286"/>
      <c r="B4" s="287"/>
      <c r="C4" s="287"/>
      <c r="D4" s="287"/>
      <c r="E4" s="287"/>
      <c r="F4" s="287"/>
      <c r="G4" s="287"/>
      <c r="H4" s="288"/>
    </row>
    <row r="5" spans="1:15" ht="13.5" thickBot="1" x14ac:dyDescent="0.25">
      <c r="A5" s="289" t="s">
        <v>730</v>
      </c>
      <c r="B5" s="289"/>
      <c r="C5" s="289"/>
      <c r="D5" s="289"/>
      <c r="E5" s="289"/>
      <c r="F5" s="289"/>
      <c r="G5" s="289"/>
      <c r="H5" s="289"/>
    </row>
    <row r="6" spans="1:15" ht="16.5" customHeight="1" x14ac:dyDescent="0.2">
      <c r="A6" s="305" t="s">
        <v>731</v>
      </c>
      <c r="B6" s="306"/>
      <c r="C6" s="306"/>
      <c r="D6" s="306"/>
      <c r="E6" s="306"/>
      <c r="F6" s="306"/>
      <c r="G6" s="306"/>
      <c r="H6" s="307"/>
    </row>
    <row r="7" spans="1:15" ht="15.75" customHeight="1" thickBot="1" x14ac:dyDescent="0.25">
      <c r="A7" s="308"/>
      <c r="B7" s="309"/>
      <c r="C7" s="309"/>
      <c r="D7" s="309"/>
      <c r="E7" s="309"/>
      <c r="F7" s="309"/>
      <c r="G7" s="309"/>
      <c r="H7" s="310"/>
      <c r="I7" s="290" t="s">
        <v>414</v>
      </c>
      <c r="J7" s="290"/>
      <c r="K7" s="290" t="s">
        <v>415</v>
      </c>
      <c r="L7" s="290"/>
      <c r="M7" s="50" t="s">
        <v>416</v>
      </c>
      <c r="O7" s="50" t="s">
        <v>15</v>
      </c>
    </row>
    <row r="8" spans="1:15" ht="13.5" thickBot="1" x14ac:dyDescent="0.25">
      <c r="A8" s="241" t="s">
        <v>561</v>
      </c>
      <c r="B8" s="242"/>
      <c r="C8" s="216">
        <f ca="1">TODAY()</f>
        <v>43481</v>
      </c>
      <c r="D8" s="216"/>
      <c r="E8" s="216"/>
      <c r="F8" s="216"/>
      <c r="G8" s="216"/>
      <c r="H8" s="216"/>
      <c r="I8" s="51"/>
      <c r="J8" s="51"/>
      <c r="K8" s="51"/>
      <c r="L8" s="51"/>
    </row>
    <row r="9" spans="1:15" ht="13.5" thickBot="1" x14ac:dyDescent="0.25">
      <c r="A9" s="246" t="s">
        <v>728</v>
      </c>
      <c r="B9" s="247"/>
      <c r="C9" s="247"/>
      <c r="D9" s="248"/>
      <c r="E9" s="246" t="s">
        <v>560</v>
      </c>
      <c r="F9" s="247"/>
      <c r="G9" s="247"/>
      <c r="H9" s="248"/>
    </row>
    <row r="10" spans="1:15" ht="15" customHeight="1" thickBot="1" x14ac:dyDescent="0.25">
      <c r="A10" s="299" t="s">
        <v>188</v>
      </c>
      <c r="B10" s="300"/>
      <c r="C10" s="301"/>
      <c r="D10" s="140" t="str">
        <f>'INFORMACION BASE'!E11</f>
        <v>Atlántico</v>
      </c>
      <c r="E10" s="293" t="s">
        <v>213</v>
      </c>
      <c r="F10" s="294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 x14ac:dyDescent="0.2">
      <c r="A11" s="274" t="s">
        <v>418</v>
      </c>
      <c r="B11" s="275"/>
      <c r="C11" s="276"/>
      <c r="D11" s="141" t="str">
        <f>'INFORMACION BASE'!E12</f>
        <v>Campo de la Cruz- I.E La Inmaculada</v>
      </c>
      <c r="E11" s="295" t="s">
        <v>214</v>
      </c>
      <c r="F11" s="296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 x14ac:dyDescent="0.2">
      <c r="A12" s="302" t="s">
        <v>549</v>
      </c>
      <c r="B12" s="303"/>
      <c r="C12" s="304"/>
      <c r="D12" s="141" t="str">
        <f>'INFORMACION BASE'!E13</f>
        <v>Fundación Sembrando Esperanza</v>
      </c>
      <c r="E12" s="295" t="s">
        <v>215</v>
      </c>
      <c r="F12" s="296"/>
      <c r="G12" s="66">
        <f>'INFORMACION BASE'!D20</f>
        <v>0</v>
      </c>
      <c r="H12" s="67">
        <f>'INFORMACION BASE'!E20</f>
        <v>0</v>
      </c>
      <c r="I12" s="50" t="str">
        <f>IF((D12&gt;1),"CUMPLE","NO CUMPLE")</f>
        <v>CUMPLE</v>
      </c>
    </row>
    <row r="13" spans="1:15" ht="15" customHeight="1" x14ac:dyDescent="0.2">
      <c r="A13" s="274" t="s">
        <v>189</v>
      </c>
      <c r="B13" s="275"/>
      <c r="C13" s="276"/>
      <c r="D13" s="141" t="str">
        <f>'INFORMACION BASE'!E14</f>
        <v>SEMBRANDO HUELLAS 1</v>
      </c>
      <c r="E13" s="295" t="s">
        <v>216</v>
      </c>
      <c r="F13" s="296"/>
      <c r="G13" s="66">
        <f>'INFORMACION BASE'!D21</f>
        <v>20</v>
      </c>
      <c r="H13" s="67">
        <f>'INFORMACION BASE'!E21</f>
        <v>1</v>
      </c>
      <c r="I13" s="50" t="str">
        <f>IF((D13&gt;1),"CUMPLE","NO CUMPLE")</f>
        <v>CUMPLE</v>
      </c>
    </row>
    <row r="14" spans="1:15" x14ac:dyDescent="0.2">
      <c r="A14" s="271" t="s">
        <v>727</v>
      </c>
      <c r="B14" s="272"/>
      <c r="C14" s="273"/>
      <c r="D14" s="142" t="str">
        <f>'INFORMACION BASE'!E15</f>
        <v>Por Definir</v>
      </c>
      <c r="E14" s="297" t="s">
        <v>217</v>
      </c>
      <c r="F14" s="298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 x14ac:dyDescent="0.2">
      <c r="A15" s="274" t="s">
        <v>222</v>
      </c>
      <c r="B15" s="275"/>
      <c r="C15" s="276"/>
      <c r="D15" s="141" t="str">
        <f>'INFORMACION BASE'!E30</f>
        <v>Cálido</v>
      </c>
      <c r="E15" s="295" t="s">
        <v>218</v>
      </c>
      <c r="F15" s="296"/>
      <c r="G15" s="66">
        <f>'INFORMACION BASE'!D23</f>
        <v>20</v>
      </c>
      <c r="H15" s="67">
        <f>'INFORMACION BASE'!E23</f>
        <v>1</v>
      </c>
      <c r="I15" s="50"/>
    </row>
    <row r="16" spans="1:15" s="52" customFormat="1" ht="13.5" thickBot="1" x14ac:dyDescent="0.25">
      <c r="A16" s="274" t="s">
        <v>301</v>
      </c>
      <c r="B16" s="275"/>
      <c r="C16" s="276"/>
      <c r="D16" s="141">
        <f>'INFORMACION BASE'!E29</f>
        <v>75.8</v>
      </c>
      <c r="E16" s="295" t="s">
        <v>225</v>
      </c>
      <c r="F16" s="296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3.5" thickBot="1" x14ac:dyDescent="0.25">
      <c r="A17" s="277" t="s">
        <v>354</v>
      </c>
      <c r="B17" s="278"/>
      <c r="C17" s="279"/>
      <c r="D17" s="143">
        <f>'INFORMACION BASE'!E28</f>
        <v>322.43</v>
      </c>
      <c r="E17" s="291" t="s">
        <v>226</v>
      </c>
      <c r="F17" s="292"/>
      <c r="G17" s="146">
        <f>'INFORMACION BASE'!D25</f>
        <v>60</v>
      </c>
      <c r="H17" s="147">
        <f>'INFORMACION BASE'!E25</f>
        <v>3</v>
      </c>
      <c r="I17" s="50"/>
    </row>
    <row r="18" spans="1:13" s="52" customFormat="1" ht="13.5" thickBot="1" x14ac:dyDescent="0.25">
      <c r="A18" s="264" t="s">
        <v>732</v>
      </c>
      <c r="B18" s="264"/>
      <c r="C18" s="264"/>
      <c r="D18" s="264"/>
      <c r="E18" s="264"/>
      <c r="F18" s="264"/>
      <c r="G18" s="264"/>
      <c r="H18" s="264"/>
      <c r="I18" s="50"/>
    </row>
    <row r="19" spans="1:13" s="52" customFormat="1" ht="15" customHeight="1" thickBot="1" x14ac:dyDescent="0.25">
      <c r="A19" s="249" t="s">
        <v>423</v>
      </c>
      <c r="B19" s="250"/>
      <c r="C19" s="250"/>
      <c r="D19" s="251"/>
      <c r="E19" s="265" t="s">
        <v>229</v>
      </c>
      <c r="F19" s="266"/>
      <c r="G19" s="266"/>
      <c r="H19" s="267"/>
      <c r="I19" s="50"/>
    </row>
    <row r="20" spans="1:13" s="52" customFormat="1" ht="15" customHeight="1" x14ac:dyDescent="0.2">
      <c r="A20" s="252" t="s">
        <v>230</v>
      </c>
      <c r="B20" s="253"/>
      <c r="C20" s="253"/>
      <c r="D20" s="254"/>
      <c r="E20" s="268">
        <f>SUM(F31:F39)</f>
        <v>14</v>
      </c>
      <c r="F20" s="269"/>
      <c r="G20" s="269"/>
      <c r="H20" s="270"/>
      <c r="I20" s="50"/>
    </row>
    <row r="21" spans="1:13" s="52" customFormat="1" ht="15" customHeight="1" x14ac:dyDescent="0.2">
      <c r="A21" s="252" t="s">
        <v>231</v>
      </c>
      <c r="B21" s="253"/>
      <c r="C21" s="253"/>
      <c r="D21" s="254"/>
      <c r="E21" s="258">
        <f>SUM(F40:F99)</f>
        <v>181</v>
      </c>
      <c r="F21" s="259"/>
      <c r="G21" s="259"/>
      <c r="H21" s="260"/>
      <c r="I21" s="50"/>
    </row>
    <row r="22" spans="1:13" s="52" customFormat="1" ht="15" customHeight="1" x14ac:dyDescent="0.2">
      <c r="A22" s="252" t="s">
        <v>734</v>
      </c>
      <c r="B22" s="253"/>
      <c r="C22" s="253"/>
      <c r="D22" s="254"/>
      <c r="E22" s="258">
        <f>SUM(F100:F103)</f>
        <v>4</v>
      </c>
      <c r="F22" s="259"/>
      <c r="G22" s="259"/>
      <c r="H22" s="260"/>
      <c r="I22" s="50"/>
    </row>
    <row r="23" spans="1:13" s="52" customFormat="1" ht="15" customHeight="1" x14ac:dyDescent="0.2">
      <c r="A23" s="252" t="s">
        <v>232</v>
      </c>
      <c r="B23" s="253"/>
      <c r="C23" s="253"/>
      <c r="D23" s="254"/>
      <c r="E23" s="258">
        <f>SUM(F104:F109)</f>
        <v>13</v>
      </c>
      <c r="F23" s="259"/>
      <c r="G23" s="259"/>
      <c r="H23" s="260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 x14ac:dyDescent="0.2">
      <c r="A24" s="252" t="s">
        <v>740</v>
      </c>
      <c r="B24" s="253"/>
      <c r="C24" s="253"/>
      <c r="D24" s="254"/>
      <c r="E24" s="258">
        <f>SUM(F110:F120)</f>
        <v>182</v>
      </c>
      <c r="F24" s="259"/>
      <c r="G24" s="259"/>
      <c r="H24" s="260"/>
      <c r="I24" s="50"/>
    </row>
    <row r="25" spans="1:13" s="52" customFormat="1" ht="15" customHeight="1" x14ac:dyDescent="0.2">
      <c r="A25" s="252" t="s">
        <v>735</v>
      </c>
      <c r="B25" s="253"/>
      <c r="C25" s="253"/>
      <c r="D25" s="254"/>
      <c r="E25" s="258">
        <f>SUM(F160:F271)</f>
        <v>309.5</v>
      </c>
      <c r="F25" s="259"/>
      <c r="G25" s="259"/>
      <c r="H25" s="260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 x14ac:dyDescent="0.2">
      <c r="A26" s="252" t="s">
        <v>233</v>
      </c>
      <c r="B26" s="253"/>
      <c r="C26" s="253"/>
      <c r="D26" s="254"/>
      <c r="E26" s="258">
        <f>SUM(F121:F149)</f>
        <v>231</v>
      </c>
      <c r="F26" s="259"/>
      <c r="G26" s="259"/>
      <c r="H26" s="260"/>
      <c r="I26" s="50" t="str">
        <f>IF((D16&gt;=0),"CUMPLE","NO CUMPLE")</f>
        <v>CUMPLE</v>
      </c>
    </row>
    <row r="27" spans="1:13" s="52" customFormat="1" ht="15" customHeight="1" thickBot="1" x14ac:dyDescent="0.25">
      <c r="A27" s="252" t="s">
        <v>277</v>
      </c>
      <c r="B27" s="253"/>
      <c r="C27" s="253"/>
      <c r="D27" s="254"/>
      <c r="E27" s="258">
        <f>SUM(F150:F159)</f>
        <v>13</v>
      </c>
      <c r="F27" s="259"/>
      <c r="G27" s="259"/>
      <c r="H27" s="260"/>
      <c r="I27" s="50" t="str">
        <f>IF((D17&gt;1),"CUMPLE","NO CUMPLE")</f>
        <v>CUMPLE</v>
      </c>
    </row>
    <row r="28" spans="1:13" s="52" customFormat="1" ht="15" customHeight="1" thickBot="1" x14ac:dyDescent="0.25">
      <c r="A28" s="255" t="s">
        <v>15</v>
      </c>
      <c r="B28" s="256"/>
      <c r="C28" s="256"/>
      <c r="D28" s="257"/>
      <c r="E28" s="261">
        <f>SUM(E20:E27)</f>
        <v>947.5</v>
      </c>
      <c r="F28" s="262"/>
      <c r="G28" s="262"/>
      <c r="H28" s="263"/>
      <c r="I28" s="50"/>
    </row>
    <row r="29" spans="1:13" s="52" customFormat="1" ht="13.5" thickBot="1" x14ac:dyDescent="0.25">
      <c r="A29" s="243" t="s">
        <v>733</v>
      </c>
      <c r="B29" s="244"/>
      <c r="C29" s="244"/>
      <c r="D29" s="244"/>
      <c r="E29" s="244"/>
      <c r="F29" s="244"/>
      <c r="G29" s="244"/>
      <c r="H29" s="245"/>
    </row>
    <row r="30" spans="1:13" ht="22.5" customHeight="1" x14ac:dyDescent="0.2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38" t="s">
        <v>229</v>
      </c>
      <c r="G30" s="239"/>
      <c r="H30" s="240"/>
    </row>
    <row r="31" spans="1:13" x14ac:dyDescent="0.2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17">
        <f>FORMULACION!$P$4</f>
        <v>1</v>
      </c>
      <c r="G31" s="218"/>
      <c r="H31" s="219"/>
    </row>
    <row r="32" spans="1:13" x14ac:dyDescent="0.2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17">
        <f>FORMULACION!P5</f>
        <v>1</v>
      </c>
      <c r="G32" s="218"/>
      <c r="H32" s="219"/>
    </row>
    <row r="33" spans="1:10" x14ac:dyDescent="0.2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17">
        <f>FORMULACION!P6</f>
        <v>1</v>
      </c>
      <c r="G33" s="218"/>
      <c r="H33" s="219">
        <f t="shared" ref="H33" si="0">F33*G33</f>
        <v>0</v>
      </c>
    </row>
    <row r="34" spans="1:10" x14ac:dyDescent="0.2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17">
        <f>FORMULACION!P7</f>
        <v>1</v>
      </c>
      <c r="G34" s="218"/>
      <c r="H34" s="219"/>
    </row>
    <row r="35" spans="1:10" x14ac:dyDescent="0.2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17">
        <f>FORMULACION!P8</f>
        <v>1</v>
      </c>
      <c r="G35" s="218"/>
      <c r="H35" s="219">
        <f t="shared" ref="H35:H51" si="1">F35*G35</f>
        <v>0</v>
      </c>
      <c r="J35" s="50">
        <f>14*3</f>
        <v>42</v>
      </c>
    </row>
    <row r="36" spans="1:10" x14ac:dyDescent="0.2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17">
        <f>FORMULACION!P9</f>
        <v>3</v>
      </c>
      <c r="G36" s="218"/>
      <c r="H36" s="219">
        <f t="shared" si="1"/>
        <v>0</v>
      </c>
    </row>
    <row r="37" spans="1:10" x14ac:dyDescent="0.2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17">
        <f>FORMULACION!P10</f>
        <v>3</v>
      </c>
      <c r="G37" s="218"/>
      <c r="H37" s="219">
        <f t="shared" si="1"/>
        <v>0</v>
      </c>
    </row>
    <row r="38" spans="1:10" x14ac:dyDescent="0.2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17">
        <f>FORMULACION!P11</f>
        <v>1</v>
      </c>
      <c r="G38" s="218"/>
      <c r="H38" s="219">
        <f t="shared" si="1"/>
        <v>0</v>
      </c>
    </row>
    <row r="39" spans="1:10" x14ac:dyDescent="0.2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17">
        <f>FORMULACION!P12</f>
        <v>2</v>
      </c>
      <c r="G39" s="218"/>
      <c r="H39" s="219">
        <f t="shared" si="1"/>
        <v>0</v>
      </c>
    </row>
    <row r="40" spans="1:10" x14ac:dyDescent="0.2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35">
        <f>FORMULACION!P13</f>
        <v>1</v>
      </c>
      <c r="G40" s="236"/>
      <c r="H40" s="237">
        <f t="shared" si="1"/>
        <v>0</v>
      </c>
    </row>
    <row r="41" spans="1:10" x14ac:dyDescent="0.2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35">
        <f>FORMULACION!P14</f>
        <v>1</v>
      </c>
      <c r="G41" s="236"/>
      <c r="H41" s="237">
        <f t="shared" si="1"/>
        <v>0</v>
      </c>
    </row>
    <row r="42" spans="1:10" x14ac:dyDescent="0.2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35">
        <f>FORMULACION!P15</f>
        <v>1</v>
      </c>
      <c r="G42" s="236"/>
      <c r="H42" s="237">
        <f t="shared" si="1"/>
        <v>0</v>
      </c>
    </row>
    <row r="43" spans="1:10" x14ac:dyDescent="0.2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35">
        <f>FORMULACION!P16</f>
        <v>0</v>
      </c>
      <c r="G43" s="236"/>
      <c r="H43" s="237">
        <f t="shared" si="1"/>
        <v>0</v>
      </c>
    </row>
    <row r="44" spans="1:10" x14ac:dyDescent="0.2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35">
        <f>FORMULACION!P17</f>
        <v>1</v>
      </c>
      <c r="G44" s="236"/>
      <c r="H44" s="237">
        <f t="shared" si="1"/>
        <v>0</v>
      </c>
    </row>
    <row r="45" spans="1:10" x14ac:dyDescent="0.2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35">
        <f>FORMULACION!P18</f>
        <v>1</v>
      </c>
      <c r="G45" s="236"/>
      <c r="H45" s="237">
        <f t="shared" si="1"/>
        <v>0</v>
      </c>
    </row>
    <row r="46" spans="1:10" x14ac:dyDescent="0.2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35">
        <f>FORMULACION!P19</f>
        <v>1</v>
      </c>
      <c r="G46" s="236"/>
      <c r="H46" s="237">
        <f t="shared" si="1"/>
        <v>0</v>
      </c>
    </row>
    <row r="47" spans="1:10" x14ac:dyDescent="0.2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35">
        <f>FORMULACION!P20</f>
        <v>1</v>
      </c>
      <c r="G47" s="236"/>
      <c r="H47" s="237">
        <f t="shared" si="1"/>
        <v>0</v>
      </c>
    </row>
    <row r="48" spans="1:10" x14ac:dyDescent="0.2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35">
        <f>FORMULACION!P21</f>
        <v>1</v>
      </c>
      <c r="G48" s="236"/>
      <c r="H48" s="237">
        <f t="shared" si="1"/>
        <v>0</v>
      </c>
    </row>
    <row r="49" spans="1:8" x14ac:dyDescent="0.2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35">
        <f>FORMULACION!P22</f>
        <v>1</v>
      </c>
      <c r="G49" s="236"/>
      <c r="H49" s="237">
        <f t="shared" si="1"/>
        <v>0</v>
      </c>
    </row>
    <row r="50" spans="1:8" x14ac:dyDescent="0.2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35">
        <f>FORMULACION!P23</f>
        <v>1</v>
      </c>
      <c r="G50" s="236"/>
      <c r="H50" s="237">
        <f t="shared" si="1"/>
        <v>0</v>
      </c>
    </row>
    <row r="51" spans="1:8" x14ac:dyDescent="0.2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35">
        <f>FORMULACION!P24</f>
        <v>40</v>
      </c>
      <c r="G51" s="236"/>
      <c r="H51" s="237">
        <f t="shared" si="1"/>
        <v>0</v>
      </c>
    </row>
    <row r="52" spans="1:8" x14ac:dyDescent="0.2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35">
        <f>FORMULACION!P25</f>
        <v>20</v>
      </c>
      <c r="G52" s="236"/>
      <c r="H52" s="237"/>
    </row>
    <row r="53" spans="1:8" x14ac:dyDescent="0.2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35">
        <f>FORMULACION!P26</f>
        <v>0</v>
      </c>
      <c r="G53" s="236"/>
      <c r="H53" s="237">
        <f t="shared" ref="H53:H84" si="2">F53*G53</f>
        <v>0</v>
      </c>
    </row>
    <row r="54" spans="1:8" x14ac:dyDescent="0.2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35">
        <f>FORMULACION!P27</f>
        <v>8</v>
      </c>
      <c r="G54" s="236"/>
      <c r="H54" s="237">
        <f t="shared" si="2"/>
        <v>0</v>
      </c>
    </row>
    <row r="55" spans="1:8" x14ac:dyDescent="0.2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35">
        <f>FORMULACION!P28</f>
        <v>0</v>
      </c>
      <c r="G55" s="236"/>
      <c r="H55" s="237">
        <f t="shared" si="2"/>
        <v>0</v>
      </c>
    </row>
    <row r="56" spans="1:8" x14ac:dyDescent="0.2">
      <c r="A56" s="311">
        <v>26</v>
      </c>
      <c r="B56" s="312" t="s">
        <v>555</v>
      </c>
      <c r="C56" s="313" t="s">
        <v>22</v>
      </c>
      <c r="D56" s="313" t="s">
        <v>295</v>
      </c>
      <c r="E56" s="314" t="s">
        <v>26</v>
      </c>
      <c r="F56" s="315">
        <f>FORMULACION!P29</f>
        <v>0</v>
      </c>
      <c r="G56" s="316"/>
      <c r="H56" s="317">
        <f t="shared" si="2"/>
        <v>0</v>
      </c>
    </row>
    <row r="57" spans="1:8" x14ac:dyDescent="0.2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35">
        <f>FORMULACION!P30</f>
        <v>1</v>
      </c>
      <c r="G57" s="236"/>
      <c r="H57" s="237">
        <f t="shared" si="2"/>
        <v>0</v>
      </c>
    </row>
    <row r="58" spans="1:8" x14ac:dyDescent="0.2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35">
        <f>FORMULACION!P31</f>
        <v>0</v>
      </c>
      <c r="G58" s="236"/>
      <c r="H58" s="237">
        <f t="shared" si="2"/>
        <v>0</v>
      </c>
    </row>
    <row r="59" spans="1:8" x14ac:dyDescent="0.2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35">
        <f>FORMULACION!P32</f>
        <v>1</v>
      </c>
      <c r="G59" s="236"/>
      <c r="H59" s="237">
        <f t="shared" si="2"/>
        <v>0</v>
      </c>
    </row>
    <row r="60" spans="1:8" x14ac:dyDescent="0.2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35">
        <f>FORMULACION!P33</f>
        <v>0</v>
      </c>
      <c r="G60" s="236"/>
      <c r="H60" s="237">
        <f t="shared" si="2"/>
        <v>0</v>
      </c>
    </row>
    <row r="61" spans="1:8" x14ac:dyDescent="0.2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35">
        <f>FORMULACION!P34</f>
        <v>0</v>
      </c>
      <c r="G61" s="236"/>
      <c r="H61" s="237">
        <f t="shared" si="2"/>
        <v>0</v>
      </c>
    </row>
    <row r="62" spans="1:8" x14ac:dyDescent="0.2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35">
        <f>FORMULACION!P35</f>
        <v>1</v>
      </c>
      <c r="G62" s="236"/>
      <c r="H62" s="237">
        <f t="shared" si="2"/>
        <v>0</v>
      </c>
    </row>
    <row r="63" spans="1:8" x14ac:dyDescent="0.2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35">
        <f>FORMULACION!P36</f>
        <v>1</v>
      </c>
      <c r="G63" s="236"/>
      <c r="H63" s="237">
        <f t="shared" si="2"/>
        <v>0</v>
      </c>
    </row>
    <row r="64" spans="1:8" x14ac:dyDescent="0.2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35">
        <f>FORMULACION!P37</f>
        <v>1</v>
      </c>
      <c r="G64" s="236"/>
      <c r="H64" s="237">
        <f t="shared" si="2"/>
        <v>0</v>
      </c>
    </row>
    <row r="65" spans="1:8" x14ac:dyDescent="0.2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35">
        <f>FORMULACION!P38</f>
        <v>1</v>
      </c>
      <c r="G65" s="236"/>
      <c r="H65" s="237">
        <f t="shared" si="2"/>
        <v>0</v>
      </c>
    </row>
    <row r="66" spans="1:8" x14ac:dyDescent="0.2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35">
        <f>FORMULACION!P39</f>
        <v>0</v>
      </c>
      <c r="G66" s="236"/>
      <c r="H66" s="237">
        <f t="shared" si="2"/>
        <v>0</v>
      </c>
    </row>
    <row r="67" spans="1:8" x14ac:dyDescent="0.2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35">
        <f>FORMULACION!P40</f>
        <v>1</v>
      </c>
      <c r="G67" s="236"/>
      <c r="H67" s="237">
        <f t="shared" si="2"/>
        <v>0</v>
      </c>
    </row>
    <row r="68" spans="1:8" x14ac:dyDescent="0.2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35">
        <f>FORMULACION!P41</f>
        <v>1</v>
      </c>
      <c r="G68" s="236"/>
      <c r="H68" s="237">
        <f t="shared" si="2"/>
        <v>0</v>
      </c>
    </row>
    <row r="69" spans="1:8" x14ac:dyDescent="0.2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35">
        <f>FORMULACION!P42</f>
        <v>0</v>
      </c>
      <c r="G69" s="236"/>
      <c r="H69" s="237">
        <f t="shared" si="2"/>
        <v>0</v>
      </c>
    </row>
    <row r="70" spans="1:8" x14ac:dyDescent="0.2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35">
        <f>FORMULACION!P43</f>
        <v>1</v>
      </c>
      <c r="G70" s="236"/>
      <c r="H70" s="237">
        <f t="shared" si="2"/>
        <v>0</v>
      </c>
    </row>
    <row r="71" spans="1:8" x14ac:dyDescent="0.2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35">
        <f>FORMULACION!P44</f>
        <v>2</v>
      </c>
      <c r="G71" s="236"/>
      <c r="H71" s="237">
        <f t="shared" si="2"/>
        <v>0</v>
      </c>
    </row>
    <row r="72" spans="1:8" x14ac:dyDescent="0.2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35">
        <f>FORMULACION!P45</f>
        <v>2</v>
      </c>
      <c r="G72" s="236"/>
      <c r="H72" s="237">
        <f t="shared" si="2"/>
        <v>0</v>
      </c>
    </row>
    <row r="73" spans="1:8" x14ac:dyDescent="0.2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35">
        <f>FORMULACION!P46</f>
        <v>1</v>
      </c>
      <c r="G73" s="236"/>
      <c r="H73" s="237">
        <f t="shared" si="2"/>
        <v>0</v>
      </c>
    </row>
    <row r="74" spans="1:8" x14ac:dyDescent="0.2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35">
        <f>FORMULACION!P47</f>
        <v>1</v>
      </c>
      <c r="G74" s="236"/>
      <c r="H74" s="237">
        <f t="shared" si="2"/>
        <v>0</v>
      </c>
    </row>
    <row r="75" spans="1:8" x14ac:dyDescent="0.2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35">
        <f>FORMULACION!P48</f>
        <v>1</v>
      </c>
      <c r="G75" s="236"/>
      <c r="H75" s="237">
        <f t="shared" si="2"/>
        <v>0</v>
      </c>
    </row>
    <row r="76" spans="1:8" x14ac:dyDescent="0.2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35">
        <f>FORMULACION!P49</f>
        <v>1</v>
      </c>
      <c r="G76" s="236"/>
      <c r="H76" s="237">
        <f t="shared" si="2"/>
        <v>0</v>
      </c>
    </row>
    <row r="77" spans="1:8" x14ac:dyDescent="0.2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35">
        <f>FORMULACION!P50</f>
        <v>0</v>
      </c>
      <c r="G77" s="236"/>
      <c r="H77" s="237">
        <f t="shared" si="2"/>
        <v>0</v>
      </c>
    </row>
    <row r="78" spans="1:8" x14ac:dyDescent="0.2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35">
        <f>FORMULACION!P51</f>
        <v>3</v>
      </c>
      <c r="G78" s="236"/>
      <c r="H78" s="237">
        <f t="shared" si="2"/>
        <v>0</v>
      </c>
    </row>
    <row r="79" spans="1:8" x14ac:dyDescent="0.2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35">
        <f>FORMULACION!P52</f>
        <v>2</v>
      </c>
      <c r="G79" s="236"/>
      <c r="H79" s="237">
        <f t="shared" si="2"/>
        <v>0</v>
      </c>
    </row>
    <row r="80" spans="1:8" x14ac:dyDescent="0.2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35">
        <f>FORMULACION!P53</f>
        <v>2</v>
      </c>
      <c r="G80" s="236"/>
      <c r="H80" s="237">
        <f t="shared" si="2"/>
        <v>0</v>
      </c>
    </row>
    <row r="81" spans="1:8" x14ac:dyDescent="0.2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35">
        <f>FORMULACION!P54</f>
        <v>1</v>
      </c>
      <c r="G81" s="236"/>
      <c r="H81" s="237">
        <f t="shared" si="2"/>
        <v>0</v>
      </c>
    </row>
    <row r="82" spans="1:8" x14ac:dyDescent="0.2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35">
        <f>FORMULACION!P55</f>
        <v>1</v>
      </c>
      <c r="G82" s="236"/>
      <c r="H82" s="237">
        <f t="shared" si="2"/>
        <v>0</v>
      </c>
    </row>
    <row r="83" spans="1:8" x14ac:dyDescent="0.2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35">
        <f>FORMULACION!P56</f>
        <v>1</v>
      </c>
      <c r="G83" s="236"/>
      <c r="H83" s="237">
        <f t="shared" si="2"/>
        <v>0</v>
      </c>
    </row>
    <row r="84" spans="1:8" x14ac:dyDescent="0.2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35">
        <f>FORMULACION!P57</f>
        <v>1</v>
      </c>
      <c r="G84" s="236"/>
      <c r="H84" s="237">
        <f t="shared" si="2"/>
        <v>0</v>
      </c>
    </row>
    <row r="85" spans="1:8" x14ac:dyDescent="0.2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35">
        <f>FORMULACION!P58</f>
        <v>1</v>
      </c>
      <c r="G85" s="236"/>
      <c r="H85" s="237">
        <f t="shared" ref="H85:H110" si="3">F85*G85</f>
        <v>0</v>
      </c>
    </row>
    <row r="86" spans="1:8" x14ac:dyDescent="0.2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35">
        <f>FORMULACION!P59</f>
        <v>1</v>
      </c>
      <c r="G86" s="236"/>
      <c r="H86" s="237">
        <f t="shared" si="3"/>
        <v>0</v>
      </c>
    </row>
    <row r="87" spans="1:8" x14ac:dyDescent="0.2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35">
        <f>FORMULACION!P60</f>
        <v>1</v>
      </c>
      <c r="G87" s="236"/>
      <c r="H87" s="237">
        <f t="shared" si="3"/>
        <v>0</v>
      </c>
    </row>
    <row r="88" spans="1:8" x14ac:dyDescent="0.2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35">
        <f>FORMULACION!P61</f>
        <v>1</v>
      </c>
      <c r="G88" s="236"/>
      <c r="H88" s="237">
        <f t="shared" si="3"/>
        <v>0</v>
      </c>
    </row>
    <row r="89" spans="1:8" x14ac:dyDescent="0.2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35">
        <f>FORMULACION!P62</f>
        <v>1</v>
      </c>
      <c r="G89" s="236"/>
      <c r="H89" s="237">
        <f t="shared" si="3"/>
        <v>0</v>
      </c>
    </row>
    <row r="90" spans="1:8" x14ac:dyDescent="0.2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35">
        <f>FORMULACION!P63</f>
        <v>1</v>
      </c>
      <c r="G90" s="236"/>
      <c r="H90" s="237">
        <f t="shared" si="3"/>
        <v>0</v>
      </c>
    </row>
    <row r="91" spans="1:8" x14ac:dyDescent="0.2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35">
        <f>FORMULACION!P64</f>
        <v>1</v>
      </c>
      <c r="G91" s="236"/>
      <c r="H91" s="237">
        <f t="shared" si="3"/>
        <v>0</v>
      </c>
    </row>
    <row r="92" spans="1:8" x14ac:dyDescent="0.2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35">
        <f>FORMULACION!P65</f>
        <v>1</v>
      </c>
      <c r="G92" s="236"/>
      <c r="H92" s="237">
        <f t="shared" si="3"/>
        <v>0</v>
      </c>
    </row>
    <row r="93" spans="1:8" x14ac:dyDescent="0.2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35">
        <f>FORMULACION!P66</f>
        <v>1</v>
      </c>
      <c r="G93" s="236"/>
      <c r="H93" s="237">
        <f t="shared" si="3"/>
        <v>0</v>
      </c>
    </row>
    <row r="94" spans="1:8" x14ac:dyDescent="0.2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35">
        <f>FORMULACION!P67</f>
        <v>1</v>
      </c>
      <c r="G94" s="236"/>
      <c r="H94" s="237">
        <f t="shared" si="3"/>
        <v>0</v>
      </c>
    </row>
    <row r="95" spans="1:8" x14ac:dyDescent="0.2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35">
        <f>FORMULACION!P68</f>
        <v>1</v>
      </c>
      <c r="G95" s="236"/>
      <c r="H95" s="237">
        <f t="shared" si="3"/>
        <v>0</v>
      </c>
    </row>
    <row r="96" spans="1:8" x14ac:dyDescent="0.2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35">
        <f>FORMULACION!P69</f>
        <v>1</v>
      </c>
      <c r="G96" s="236"/>
      <c r="H96" s="237">
        <f t="shared" si="3"/>
        <v>0</v>
      </c>
    </row>
    <row r="97" spans="1:8" x14ac:dyDescent="0.2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35">
        <f>FORMULACION!P70</f>
        <v>1</v>
      </c>
      <c r="G97" s="236"/>
      <c r="H97" s="237">
        <f t="shared" si="3"/>
        <v>0</v>
      </c>
    </row>
    <row r="98" spans="1:8" x14ac:dyDescent="0.2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35">
        <f>FORMULACION!P71</f>
        <v>2</v>
      </c>
      <c r="G98" s="236"/>
      <c r="H98" s="237">
        <f t="shared" si="3"/>
        <v>0</v>
      </c>
    </row>
    <row r="99" spans="1:8" x14ac:dyDescent="0.2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35">
        <f>FORMULACION!P72</f>
        <v>60</v>
      </c>
      <c r="G99" s="236"/>
      <c r="H99" s="237">
        <f t="shared" si="3"/>
        <v>0</v>
      </c>
    </row>
    <row r="100" spans="1:8" x14ac:dyDescent="0.2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32">
        <f>FORMULACION!P73</f>
        <v>1</v>
      </c>
      <c r="G100" s="233"/>
      <c r="H100" s="234">
        <f t="shared" si="3"/>
        <v>0</v>
      </c>
    </row>
    <row r="101" spans="1:8" x14ac:dyDescent="0.2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32">
        <f>FORMULACION!P74</f>
        <v>1</v>
      </c>
      <c r="G101" s="233"/>
      <c r="H101" s="234">
        <f t="shared" si="3"/>
        <v>0</v>
      </c>
    </row>
    <row r="102" spans="1:8" x14ac:dyDescent="0.2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32">
        <f>FORMULACION!P75</f>
        <v>1</v>
      </c>
      <c r="G102" s="233"/>
      <c r="H102" s="234">
        <f t="shared" si="3"/>
        <v>0</v>
      </c>
    </row>
    <row r="103" spans="1:8" x14ac:dyDescent="0.2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32">
        <f>FORMULACION!P76</f>
        <v>1</v>
      </c>
      <c r="G103" s="233"/>
      <c r="H103" s="234">
        <f t="shared" si="3"/>
        <v>0</v>
      </c>
    </row>
    <row r="104" spans="1:8" x14ac:dyDescent="0.2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29">
        <f>FORMULACION!P77</f>
        <v>3</v>
      </c>
      <c r="G104" s="230"/>
      <c r="H104" s="231">
        <f t="shared" si="3"/>
        <v>0</v>
      </c>
    </row>
    <row r="105" spans="1:8" x14ac:dyDescent="0.2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29">
        <f>FORMULACION!P78</f>
        <v>1</v>
      </c>
      <c r="G105" s="230"/>
      <c r="H105" s="231">
        <f t="shared" si="3"/>
        <v>0</v>
      </c>
    </row>
    <row r="106" spans="1:8" x14ac:dyDescent="0.2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29">
        <f>FORMULACION!P79</f>
        <v>1</v>
      </c>
      <c r="G106" s="230"/>
      <c r="H106" s="231">
        <f t="shared" si="3"/>
        <v>0</v>
      </c>
    </row>
    <row r="107" spans="1:8" x14ac:dyDescent="0.2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29">
        <f>FORMULACION!P80</f>
        <v>1</v>
      </c>
      <c r="G107" s="230"/>
      <c r="H107" s="231">
        <f t="shared" si="3"/>
        <v>0</v>
      </c>
    </row>
    <row r="108" spans="1:8" x14ac:dyDescent="0.2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29">
        <f>FORMULACION!P81</f>
        <v>6</v>
      </c>
      <c r="G108" s="230"/>
      <c r="H108" s="231">
        <f t="shared" si="3"/>
        <v>0</v>
      </c>
    </row>
    <row r="109" spans="1:8" x14ac:dyDescent="0.2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29">
        <f>FORMULACION!P82</f>
        <v>1</v>
      </c>
      <c r="G109" s="230"/>
      <c r="H109" s="231">
        <f t="shared" si="3"/>
        <v>0</v>
      </c>
    </row>
    <row r="110" spans="1:8" x14ac:dyDescent="0.2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26">
        <f>FORMULACION!P83</f>
        <v>0</v>
      </c>
      <c r="G110" s="227"/>
      <c r="H110" s="228">
        <f t="shared" si="3"/>
        <v>0</v>
      </c>
    </row>
    <row r="111" spans="1:8" x14ac:dyDescent="0.2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26">
        <f>FORMULACION!P84</f>
        <v>60</v>
      </c>
      <c r="G111" s="227"/>
      <c r="H111" s="228"/>
    </row>
    <row r="112" spans="1:8" x14ac:dyDescent="0.2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26">
        <f>FORMULACION!P85</f>
        <v>1</v>
      </c>
      <c r="G112" s="227"/>
      <c r="H112" s="228">
        <f t="shared" ref="H112:H133" si="4">F112*G112</f>
        <v>0</v>
      </c>
    </row>
    <row r="113" spans="1:8" x14ac:dyDescent="0.2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26">
        <f>FORMULACION!P86</f>
        <v>1</v>
      </c>
      <c r="G113" s="227"/>
      <c r="H113" s="228">
        <f t="shared" si="4"/>
        <v>0</v>
      </c>
    </row>
    <row r="114" spans="1:8" x14ac:dyDescent="0.2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26">
        <f>FORMULACION!P87</f>
        <v>0</v>
      </c>
      <c r="G114" s="227"/>
      <c r="H114" s="228">
        <f t="shared" si="4"/>
        <v>0</v>
      </c>
    </row>
    <row r="115" spans="1:8" x14ac:dyDescent="0.2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26">
        <f>FORMULACION!P88</f>
        <v>0</v>
      </c>
      <c r="G115" s="227"/>
      <c r="H115" s="228">
        <f t="shared" si="4"/>
        <v>0</v>
      </c>
    </row>
    <row r="116" spans="1:8" x14ac:dyDescent="0.2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26">
        <f>FORMULACION!P89</f>
        <v>0</v>
      </c>
      <c r="G116" s="227"/>
      <c r="H116" s="228">
        <f t="shared" si="4"/>
        <v>0</v>
      </c>
    </row>
    <row r="117" spans="1:8" x14ac:dyDescent="0.2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26">
        <f>FORMULACION!P90</f>
        <v>0</v>
      </c>
      <c r="G117" s="227"/>
      <c r="H117" s="228">
        <f t="shared" si="4"/>
        <v>0</v>
      </c>
    </row>
    <row r="118" spans="1:8" x14ac:dyDescent="0.2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26">
        <f>FORMULACION!P91</f>
        <v>0</v>
      </c>
      <c r="G118" s="227"/>
      <c r="H118" s="228">
        <f t="shared" si="4"/>
        <v>0</v>
      </c>
    </row>
    <row r="119" spans="1:8" x14ac:dyDescent="0.2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26">
        <f>FORMULACION!P92</f>
        <v>120</v>
      </c>
      <c r="G119" s="227"/>
      <c r="H119" s="228">
        <f t="shared" si="4"/>
        <v>0</v>
      </c>
    </row>
    <row r="120" spans="1:8" x14ac:dyDescent="0.2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26">
        <f>FORMULACION!P93</f>
        <v>0</v>
      </c>
      <c r="G120" s="227"/>
      <c r="H120" s="228">
        <f t="shared" si="4"/>
        <v>0</v>
      </c>
    </row>
    <row r="121" spans="1:8" x14ac:dyDescent="0.2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223">
        <f>FORMULACION!P94</f>
        <v>20</v>
      </c>
      <c r="G121" s="224"/>
      <c r="H121" s="225">
        <f t="shared" si="4"/>
        <v>0</v>
      </c>
    </row>
    <row r="122" spans="1:8" x14ac:dyDescent="0.2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223">
        <f>FORMULACION!P95</f>
        <v>60</v>
      </c>
      <c r="G122" s="224"/>
      <c r="H122" s="225">
        <f t="shared" si="4"/>
        <v>0</v>
      </c>
    </row>
    <row r="123" spans="1:8" x14ac:dyDescent="0.2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223">
        <f>FORMULACION!P96</f>
        <v>1</v>
      </c>
      <c r="G123" s="224"/>
      <c r="H123" s="225">
        <f t="shared" si="4"/>
        <v>0</v>
      </c>
    </row>
    <row r="124" spans="1:8" x14ac:dyDescent="0.2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223">
        <f>FORMULACION!P97</f>
        <v>0</v>
      </c>
      <c r="G124" s="224"/>
      <c r="H124" s="225">
        <f t="shared" si="4"/>
        <v>0</v>
      </c>
    </row>
    <row r="125" spans="1:8" x14ac:dyDescent="0.2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223">
        <f>FORMULACION!P98</f>
        <v>3</v>
      </c>
      <c r="G125" s="224"/>
      <c r="H125" s="225">
        <f t="shared" si="4"/>
        <v>0</v>
      </c>
    </row>
    <row r="126" spans="1:8" x14ac:dyDescent="0.2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223">
        <f>FORMULACION!P99</f>
        <v>3</v>
      </c>
      <c r="G126" s="224"/>
      <c r="H126" s="225">
        <f t="shared" si="4"/>
        <v>0</v>
      </c>
    </row>
    <row r="127" spans="1:8" x14ac:dyDescent="0.2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223">
        <f>FORMULACION!P100</f>
        <v>3</v>
      </c>
      <c r="G127" s="224"/>
      <c r="H127" s="225">
        <f t="shared" si="4"/>
        <v>0</v>
      </c>
    </row>
    <row r="128" spans="1:8" x14ac:dyDescent="0.2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223">
        <f>FORMULACION!P101</f>
        <v>0</v>
      </c>
      <c r="G128" s="224"/>
      <c r="H128" s="225">
        <f t="shared" si="4"/>
        <v>0</v>
      </c>
    </row>
    <row r="129" spans="1:8" x14ac:dyDescent="0.2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223">
        <f>FORMULACION!P102</f>
        <v>3</v>
      </c>
      <c r="G129" s="224"/>
      <c r="H129" s="225">
        <f t="shared" si="4"/>
        <v>0</v>
      </c>
    </row>
    <row r="130" spans="1:8" x14ac:dyDescent="0.2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223">
        <f>FORMULACION!P103</f>
        <v>0</v>
      </c>
      <c r="G130" s="224"/>
      <c r="H130" s="225">
        <f t="shared" si="4"/>
        <v>0</v>
      </c>
    </row>
    <row r="131" spans="1:8" x14ac:dyDescent="0.2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223">
        <f>FORMULACION!P104</f>
        <v>2</v>
      </c>
      <c r="G131" s="224"/>
      <c r="H131" s="225">
        <f t="shared" si="4"/>
        <v>0</v>
      </c>
    </row>
    <row r="132" spans="1:8" x14ac:dyDescent="0.2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223">
        <f>FORMULACION!P105</f>
        <v>2</v>
      </c>
      <c r="G132" s="224"/>
      <c r="H132" s="225">
        <f t="shared" si="4"/>
        <v>0</v>
      </c>
    </row>
    <row r="133" spans="1:8" x14ac:dyDescent="0.2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223">
        <f>FORMULACION!P106</f>
        <v>2</v>
      </c>
      <c r="G133" s="224"/>
      <c r="H133" s="225">
        <f t="shared" si="4"/>
        <v>0</v>
      </c>
    </row>
    <row r="134" spans="1:8" x14ac:dyDescent="0.2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223">
        <f>FORMULACION!P107</f>
        <v>2</v>
      </c>
      <c r="G134" s="224"/>
      <c r="H134" s="225"/>
    </row>
    <row r="135" spans="1:8" x14ac:dyDescent="0.2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223">
        <f>FORMULACION!P108</f>
        <v>2</v>
      </c>
      <c r="G135" s="224"/>
      <c r="H135" s="225">
        <f t="shared" ref="H135:H166" si="5">F135*G135</f>
        <v>0</v>
      </c>
    </row>
    <row r="136" spans="1:8" x14ac:dyDescent="0.2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223">
        <f>FORMULACION!P109</f>
        <v>17</v>
      </c>
      <c r="G136" s="224"/>
      <c r="H136" s="225">
        <f t="shared" si="5"/>
        <v>0</v>
      </c>
    </row>
    <row r="137" spans="1:8" x14ac:dyDescent="0.2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223">
        <f>FORMULACION!P110</f>
        <v>0</v>
      </c>
      <c r="G137" s="224"/>
      <c r="H137" s="225">
        <f t="shared" si="5"/>
        <v>0</v>
      </c>
    </row>
    <row r="138" spans="1:8" x14ac:dyDescent="0.2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223">
        <f>FORMULACION!P111</f>
        <v>60</v>
      </c>
      <c r="G138" s="224"/>
      <c r="H138" s="225">
        <f t="shared" si="5"/>
        <v>0</v>
      </c>
    </row>
    <row r="139" spans="1:8" x14ac:dyDescent="0.2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223">
        <f>FORMULACION!P112</f>
        <v>1</v>
      </c>
      <c r="G139" s="224"/>
      <c r="H139" s="225">
        <f t="shared" si="5"/>
        <v>0</v>
      </c>
    </row>
    <row r="140" spans="1:8" x14ac:dyDescent="0.2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223">
        <f>FORMULACION!P113</f>
        <v>1</v>
      </c>
      <c r="G140" s="224"/>
      <c r="H140" s="225">
        <f t="shared" si="5"/>
        <v>0</v>
      </c>
    </row>
    <row r="141" spans="1:8" x14ac:dyDescent="0.2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223">
        <f>FORMULACION!P114</f>
        <v>1</v>
      </c>
      <c r="G141" s="224"/>
      <c r="H141" s="225">
        <f t="shared" si="5"/>
        <v>0</v>
      </c>
    </row>
    <row r="142" spans="1:8" x14ac:dyDescent="0.2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223">
        <f>FORMULACION!P115</f>
        <v>3</v>
      </c>
      <c r="G142" s="224"/>
      <c r="H142" s="225">
        <f t="shared" si="5"/>
        <v>0</v>
      </c>
    </row>
    <row r="143" spans="1:8" x14ac:dyDescent="0.2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223">
        <f>FORMULACION!P116</f>
        <v>3</v>
      </c>
      <c r="G143" s="224"/>
      <c r="H143" s="225">
        <f t="shared" si="5"/>
        <v>0</v>
      </c>
    </row>
    <row r="144" spans="1:8" x14ac:dyDescent="0.2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223">
        <f>FORMULACION!P117</f>
        <v>1</v>
      </c>
      <c r="G144" s="224"/>
      <c r="H144" s="225">
        <f t="shared" si="5"/>
        <v>0</v>
      </c>
    </row>
    <row r="145" spans="1:8" x14ac:dyDescent="0.2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223">
        <f>FORMULACION!P118</f>
        <v>1</v>
      </c>
      <c r="G145" s="224"/>
      <c r="H145" s="225">
        <f t="shared" si="5"/>
        <v>0</v>
      </c>
    </row>
    <row r="146" spans="1:8" x14ac:dyDescent="0.2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223">
        <f>FORMULACION!P119</f>
        <v>1</v>
      </c>
      <c r="G146" s="224"/>
      <c r="H146" s="225">
        <f t="shared" si="5"/>
        <v>0</v>
      </c>
    </row>
    <row r="147" spans="1:8" x14ac:dyDescent="0.2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223">
        <f>FORMULACION!P120</f>
        <v>1</v>
      </c>
      <c r="G147" s="224"/>
      <c r="H147" s="225">
        <f t="shared" si="5"/>
        <v>0</v>
      </c>
    </row>
    <row r="148" spans="1:8" x14ac:dyDescent="0.2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223">
        <f>FORMULACION!P121</f>
        <v>2</v>
      </c>
      <c r="G148" s="224"/>
      <c r="H148" s="225">
        <f t="shared" si="5"/>
        <v>0</v>
      </c>
    </row>
    <row r="149" spans="1:8" x14ac:dyDescent="0.2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223">
        <f>FORMULACION!P122</f>
        <v>36</v>
      </c>
      <c r="G149" s="224"/>
      <c r="H149" s="225">
        <f t="shared" si="5"/>
        <v>0</v>
      </c>
    </row>
    <row r="150" spans="1:8" x14ac:dyDescent="0.2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220">
        <f>FORMULACION!P123</f>
        <v>3</v>
      </c>
      <c r="G150" s="221"/>
      <c r="H150" s="222">
        <f t="shared" si="5"/>
        <v>0</v>
      </c>
    </row>
    <row r="151" spans="1:8" x14ac:dyDescent="0.2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220">
        <f>FORMULACION!P124</f>
        <v>1</v>
      </c>
      <c r="G151" s="221"/>
      <c r="H151" s="222">
        <f t="shared" si="5"/>
        <v>0</v>
      </c>
    </row>
    <row r="152" spans="1:8" x14ac:dyDescent="0.2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220">
        <f>FORMULACION!P125</f>
        <v>1</v>
      </c>
      <c r="G152" s="221"/>
      <c r="H152" s="222">
        <f t="shared" si="5"/>
        <v>0</v>
      </c>
    </row>
    <row r="153" spans="1:8" x14ac:dyDescent="0.2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220">
        <f>FORMULACION!P126</f>
        <v>0</v>
      </c>
      <c r="G153" s="221"/>
      <c r="H153" s="222">
        <f t="shared" si="5"/>
        <v>0</v>
      </c>
    </row>
    <row r="154" spans="1:8" x14ac:dyDescent="0.2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220">
        <f>FORMULACION!P127</f>
        <v>1</v>
      </c>
      <c r="G154" s="221"/>
      <c r="H154" s="222">
        <f t="shared" si="5"/>
        <v>0</v>
      </c>
    </row>
    <row r="155" spans="1:8" x14ac:dyDescent="0.2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220">
        <f>FORMULACION!P128</f>
        <v>3</v>
      </c>
      <c r="G155" s="221"/>
      <c r="H155" s="222">
        <f t="shared" si="5"/>
        <v>0</v>
      </c>
    </row>
    <row r="156" spans="1:8" x14ac:dyDescent="0.2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220">
        <f>FORMULACION!P129</f>
        <v>1</v>
      </c>
      <c r="G156" s="221"/>
      <c r="H156" s="222">
        <f t="shared" si="5"/>
        <v>0</v>
      </c>
    </row>
    <row r="157" spans="1:8" x14ac:dyDescent="0.2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220">
        <f>FORMULACION!P130</f>
        <v>1</v>
      </c>
      <c r="G157" s="221"/>
      <c r="H157" s="222">
        <f t="shared" si="5"/>
        <v>0</v>
      </c>
    </row>
    <row r="158" spans="1:8" x14ac:dyDescent="0.2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220">
        <f>FORMULACION!P131</f>
        <v>1</v>
      </c>
      <c r="G158" s="221"/>
      <c r="H158" s="222">
        <f t="shared" si="5"/>
        <v>0</v>
      </c>
    </row>
    <row r="159" spans="1:8" x14ac:dyDescent="0.2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220">
        <f>FORMULACION!P132</f>
        <v>1</v>
      </c>
      <c r="G159" s="221"/>
      <c r="H159" s="222">
        <f t="shared" si="5"/>
        <v>0</v>
      </c>
    </row>
    <row r="160" spans="1:8" x14ac:dyDescent="0.2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213">
        <f>FORMULACION!P133</f>
        <v>3</v>
      </c>
      <c r="G160" s="214"/>
      <c r="H160" s="215">
        <f t="shared" si="5"/>
        <v>0</v>
      </c>
    </row>
    <row r="161" spans="1:8" x14ac:dyDescent="0.2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213">
        <f>FORMULACION!P134</f>
        <v>3</v>
      </c>
      <c r="G161" s="214"/>
      <c r="H161" s="215">
        <f t="shared" si="5"/>
        <v>0</v>
      </c>
    </row>
    <row r="162" spans="1:8" x14ac:dyDescent="0.2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213">
        <f>FORMULACION!P135</f>
        <v>6</v>
      </c>
      <c r="G162" s="214"/>
      <c r="H162" s="215">
        <f t="shared" si="5"/>
        <v>0</v>
      </c>
    </row>
    <row r="163" spans="1:8" x14ac:dyDescent="0.2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213">
        <f>FORMULACION!P136</f>
        <v>3</v>
      </c>
      <c r="G163" s="214"/>
      <c r="H163" s="215">
        <f t="shared" si="5"/>
        <v>0</v>
      </c>
    </row>
    <row r="164" spans="1:8" x14ac:dyDescent="0.2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213">
        <f>FORMULACION!P137</f>
        <v>1</v>
      </c>
      <c r="G164" s="214"/>
      <c r="H164" s="215">
        <f t="shared" si="5"/>
        <v>0</v>
      </c>
    </row>
    <row r="165" spans="1:8" x14ac:dyDescent="0.2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213">
        <f>FORMULACION!P138</f>
        <v>1</v>
      </c>
      <c r="G165" s="214"/>
      <c r="H165" s="215">
        <f t="shared" si="5"/>
        <v>0</v>
      </c>
    </row>
    <row r="166" spans="1:8" x14ac:dyDescent="0.2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213">
        <f>FORMULACION!P139</f>
        <v>3</v>
      </c>
      <c r="G166" s="214"/>
      <c r="H166" s="215">
        <f t="shared" si="5"/>
        <v>0</v>
      </c>
    </row>
    <row r="167" spans="1:8" x14ac:dyDescent="0.2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213">
        <f>FORMULACION!P140</f>
        <v>1</v>
      </c>
      <c r="G167" s="214"/>
      <c r="H167" s="215">
        <f t="shared" ref="H167:H198" si="6">F167*G167</f>
        <v>0</v>
      </c>
    </row>
    <row r="168" spans="1:8" x14ac:dyDescent="0.2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213">
        <f>FORMULACION!P141</f>
        <v>3</v>
      </c>
      <c r="G168" s="214"/>
      <c r="H168" s="215">
        <f t="shared" si="6"/>
        <v>0</v>
      </c>
    </row>
    <row r="169" spans="1:8" x14ac:dyDescent="0.2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213">
        <f>FORMULACION!P142</f>
        <v>0</v>
      </c>
      <c r="G169" s="214"/>
      <c r="H169" s="215">
        <f t="shared" si="6"/>
        <v>0</v>
      </c>
    </row>
    <row r="170" spans="1:8" x14ac:dyDescent="0.2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213">
        <f>FORMULACION!P143</f>
        <v>1</v>
      </c>
      <c r="G170" s="214"/>
      <c r="H170" s="215">
        <f t="shared" si="6"/>
        <v>0</v>
      </c>
    </row>
    <row r="171" spans="1:8" x14ac:dyDescent="0.2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213">
        <f>FORMULACION!P144</f>
        <v>3</v>
      </c>
      <c r="G171" s="214"/>
      <c r="H171" s="215">
        <f t="shared" si="6"/>
        <v>0</v>
      </c>
    </row>
    <row r="172" spans="1:8" x14ac:dyDescent="0.2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213">
        <f>FORMULACION!P145</f>
        <v>3</v>
      </c>
      <c r="G172" s="214"/>
      <c r="H172" s="215">
        <f t="shared" si="6"/>
        <v>0</v>
      </c>
    </row>
    <row r="173" spans="1:8" x14ac:dyDescent="0.2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213">
        <f>FORMULACION!P146</f>
        <v>3</v>
      </c>
      <c r="G173" s="214"/>
      <c r="H173" s="215">
        <f t="shared" si="6"/>
        <v>0</v>
      </c>
    </row>
    <row r="174" spans="1:8" x14ac:dyDescent="0.2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213">
        <f>FORMULACION!P147</f>
        <v>1</v>
      </c>
      <c r="G174" s="214"/>
      <c r="H174" s="215">
        <f t="shared" si="6"/>
        <v>0</v>
      </c>
    </row>
    <row r="175" spans="1:8" x14ac:dyDescent="0.2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213">
        <f>FORMULACION!P148</f>
        <v>3</v>
      </c>
      <c r="G175" s="214"/>
      <c r="H175" s="215">
        <f t="shared" si="6"/>
        <v>0</v>
      </c>
    </row>
    <row r="176" spans="1:8" x14ac:dyDescent="0.2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213">
        <f>FORMULACION!P149</f>
        <v>1</v>
      </c>
      <c r="G176" s="214"/>
      <c r="H176" s="215">
        <f t="shared" si="6"/>
        <v>0</v>
      </c>
    </row>
    <row r="177" spans="1:8" x14ac:dyDescent="0.2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213">
        <f>FORMULACION!P150</f>
        <v>1</v>
      </c>
      <c r="G177" s="214"/>
      <c r="H177" s="215">
        <f t="shared" si="6"/>
        <v>0</v>
      </c>
    </row>
    <row r="178" spans="1:8" x14ac:dyDescent="0.2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213">
        <f>FORMULACION!P151</f>
        <v>0</v>
      </c>
      <c r="G178" s="214"/>
      <c r="H178" s="215">
        <f t="shared" si="6"/>
        <v>0</v>
      </c>
    </row>
    <row r="179" spans="1:8" x14ac:dyDescent="0.2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213">
        <f>FORMULACION!P152</f>
        <v>2</v>
      </c>
      <c r="G179" s="214"/>
      <c r="H179" s="215">
        <f t="shared" si="6"/>
        <v>0</v>
      </c>
    </row>
    <row r="180" spans="1:8" x14ac:dyDescent="0.2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213">
        <f>FORMULACION!P153</f>
        <v>1</v>
      </c>
      <c r="G180" s="214"/>
      <c r="H180" s="215">
        <f t="shared" si="6"/>
        <v>0</v>
      </c>
    </row>
    <row r="181" spans="1:8" x14ac:dyDescent="0.2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213">
        <f>FORMULACION!P154</f>
        <v>1</v>
      </c>
      <c r="G181" s="214"/>
      <c r="H181" s="215">
        <f t="shared" si="6"/>
        <v>0</v>
      </c>
    </row>
    <row r="182" spans="1:8" x14ac:dyDescent="0.2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213">
        <f>FORMULACION!P155</f>
        <v>1</v>
      </c>
      <c r="G182" s="214"/>
      <c r="H182" s="215">
        <f t="shared" si="6"/>
        <v>0</v>
      </c>
    </row>
    <row r="183" spans="1:8" x14ac:dyDescent="0.2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213">
        <f>FORMULACION!P156</f>
        <v>3</v>
      </c>
      <c r="G183" s="214"/>
      <c r="H183" s="215">
        <f t="shared" si="6"/>
        <v>0</v>
      </c>
    </row>
    <row r="184" spans="1:8" x14ac:dyDescent="0.2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213">
        <f>FORMULACION!P157</f>
        <v>1</v>
      </c>
      <c r="G184" s="214"/>
      <c r="H184" s="215">
        <f t="shared" si="6"/>
        <v>0</v>
      </c>
    </row>
    <row r="185" spans="1:8" x14ac:dyDescent="0.2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213">
        <f>FORMULACION!P158</f>
        <v>1</v>
      </c>
      <c r="G185" s="214"/>
      <c r="H185" s="215">
        <f t="shared" si="6"/>
        <v>0</v>
      </c>
    </row>
    <row r="186" spans="1:8" x14ac:dyDescent="0.2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213">
        <f>FORMULACION!P159</f>
        <v>0</v>
      </c>
      <c r="G186" s="214"/>
      <c r="H186" s="215">
        <f t="shared" si="6"/>
        <v>0</v>
      </c>
    </row>
    <row r="187" spans="1:8" x14ac:dyDescent="0.2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213">
        <f>FORMULACION!P160</f>
        <v>0</v>
      </c>
      <c r="G187" s="214"/>
      <c r="H187" s="215">
        <f t="shared" si="6"/>
        <v>0</v>
      </c>
    </row>
    <row r="188" spans="1:8" x14ac:dyDescent="0.2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213">
        <f>FORMULACION!P161</f>
        <v>1</v>
      </c>
      <c r="G188" s="214"/>
      <c r="H188" s="215">
        <f t="shared" si="6"/>
        <v>0</v>
      </c>
    </row>
    <row r="189" spans="1:8" x14ac:dyDescent="0.2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213">
        <f>FORMULACION!P162</f>
        <v>1</v>
      </c>
      <c r="G189" s="214"/>
      <c r="H189" s="215">
        <f t="shared" si="6"/>
        <v>0</v>
      </c>
    </row>
    <row r="190" spans="1:8" x14ac:dyDescent="0.2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213">
        <f>FORMULACION!P163</f>
        <v>3</v>
      </c>
      <c r="G190" s="214"/>
      <c r="H190" s="215">
        <f t="shared" si="6"/>
        <v>0</v>
      </c>
    </row>
    <row r="191" spans="1:8" x14ac:dyDescent="0.2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213">
        <f>FORMULACION!P164</f>
        <v>1</v>
      </c>
      <c r="G191" s="214"/>
      <c r="H191" s="215">
        <f t="shared" si="6"/>
        <v>0</v>
      </c>
    </row>
    <row r="192" spans="1:8" x14ac:dyDescent="0.2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213">
        <f>FORMULACION!P165</f>
        <v>1</v>
      </c>
      <c r="G192" s="214"/>
      <c r="H192" s="215">
        <f t="shared" si="6"/>
        <v>0</v>
      </c>
    </row>
    <row r="193" spans="1:8" x14ac:dyDescent="0.2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213">
        <f>FORMULACION!P166</f>
        <v>1</v>
      </c>
      <c r="G193" s="214"/>
      <c r="H193" s="215">
        <f t="shared" si="6"/>
        <v>0</v>
      </c>
    </row>
    <row r="194" spans="1:8" x14ac:dyDescent="0.2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213">
        <f>FORMULACION!P167</f>
        <v>2</v>
      </c>
      <c r="G194" s="214"/>
      <c r="H194" s="215">
        <f t="shared" si="6"/>
        <v>0</v>
      </c>
    </row>
    <row r="195" spans="1:8" x14ac:dyDescent="0.2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213">
        <f>FORMULACION!P168</f>
        <v>0</v>
      </c>
      <c r="G195" s="214"/>
      <c r="H195" s="215">
        <f t="shared" si="6"/>
        <v>0</v>
      </c>
    </row>
    <row r="196" spans="1:8" x14ac:dyDescent="0.2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213">
        <f>FORMULACION!P169</f>
        <v>0</v>
      </c>
      <c r="G196" s="214"/>
      <c r="H196" s="215">
        <f t="shared" si="6"/>
        <v>0</v>
      </c>
    </row>
    <row r="197" spans="1:8" x14ac:dyDescent="0.2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213">
        <f>FORMULACION!P170</f>
        <v>2</v>
      </c>
      <c r="G197" s="214"/>
      <c r="H197" s="215">
        <f t="shared" si="6"/>
        <v>0</v>
      </c>
    </row>
    <row r="198" spans="1:8" x14ac:dyDescent="0.2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213">
        <f>FORMULACION!P171</f>
        <v>2</v>
      </c>
      <c r="G198" s="214"/>
      <c r="H198" s="215">
        <f t="shared" si="6"/>
        <v>0</v>
      </c>
    </row>
    <row r="199" spans="1:8" x14ac:dyDescent="0.2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213">
        <f>FORMULACION!P172</f>
        <v>1</v>
      </c>
      <c r="G199" s="214"/>
      <c r="H199" s="215">
        <f t="shared" ref="H199:H221" si="7">F199*G199</f>
        <v>0</v>
      </c>
    </row>
    <row r="200" spans="1:8" x14ac:dyDescent="0.2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213">
        <f>FORMULACION!P173</f>
        <v>2</v>
      </c>
      <c r="G200" s="214"/>
      <c r="H200" s="215">
        <f t="shared" si="7"/>
        <v>0</v>
      </c>
    </row>
    <row r="201" spans="1:8" x14ac:dyDescent="0.2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213">
        <f>FORMULACION!P174</f>
        <v>3</v>
      </c>
      <c r="G201" s="214"/>
      <c r="H201" s="215">
        <f t="shared" si="7"/>
        <v>0</v>
      </c>
    </row>
    <row r="202" spans="1:8" x14ac:dyDescent="0.2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213">
        <f>FORMULACION!P175</f>
        <v>6</v>
      </c>
      <c r="G202" s="214"/>
      <c r="H202" s="215">
        <f t="shared" si="7"/>
        <v>0</v>
      </c>
    </row>
    <row r="203" spans="1:8" x14ac:dyDescent="0.2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213">
        <f>FORMULACION!P176</f>
        <v>6</v>
      </c>
      <c r="G203" s="214"/>
      <c r="H203" s="215">
        <f t="shared" si="7"/>
        <v>0</v>
      </c>
    </row>
    <row r="204" spans="1:8" x14ac:dyDescent="0.2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213">
        <f>FORMULACION!P177</f>
        <v>6</v>
      </c>
      <c r="G204" s="214"/>
      <c r="H204" s="215">
        <f t="shared" si="7"/>
        <v>0</v>
      </c>
    </row>
    <row r="205" spans="1:8" x14ac:dyDescent="0.2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213">
        <f>FORMULACION!P178</f>
        <v>6</v>
      </c>
      <c r="G205" s="214"/>
      <c r="H205" s="215">
        <f t="shared" si="7"/>
        <v>0</v>
      </c>
    </row>
    <row r="206" spans="1:8" x14ac:dyDescent="0.2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213">
        <f>FORMULACION!P179</f>
        <v>6</v>
      </c>
      <c r="G206" s="214"/>
      <c r="H206" s="215">
        <f t="shared" si="7"/>
        <v>0</v>
      </c>
    </row>
    <row r="207" spans="1:8" x14ac:dyDescent="0.2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213">
        <f>FORMULACION!P180</f>
        <v>6</v>
      </c>
      <c r="G207" s="214"/>
      <c r="H207" s="215">
        <f t="shared" si="7"/>
        <v>0</v>
      </c>
    </row>
    <row r="208" spans="1:8" x14ac:dyDescent="0.2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213">
        <f>FORMULACION!P181</f>
        <v>6</v>
      </c>
      <c r="G208" s="214"/>
      <c r="H208" s="215">
        <f t="shared" si="7"/>
        <v>0</v>
      </c>
    </row>
    <row r="209" spans="1:8" x14ac:dyDescent="0.2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213">
        <f>FORMULACION!P182</f>
        <v>0</v>
      </c>
      <c r="G209" s="214"/>
      <c r="H209" s="215">
        <f t="shared" si="7"/>
        <v>0</v>
      </c>
    </row>
    <row r="210" spans="1:8" x14ac:dyDescent="0.2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213">
        <f>FORMULACION!P183</f>
        <v>6</v>
      </c>
      <c r="G210" s="214"/>
      <c r="H210" s="215">
        <f t="shared" si="7"/>
        <v>0</v>
      </c>
    </row>
    <row r="211" spans="1:8" x14ac:dyDescent="0.2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213">
        <f>FORMULACION!P184</f>
        <v>6</v>
      </c>
      <c r="G211" s="214"/>
      <c r="H211" s="215">
        <f t="shared" si="7"/>
        <v>0</v>
      </c>
    </row>
    <row r="212" spans="1:8" x14ac:dyDescent="0.2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213">
        <f>FORMULACION!P185</f>
        <v>1</v>
      </c>
      <c r="G212" s="214"/>
      <c r="H212" s="215">
        <f t="shared" si="7"/>
        <v>0</v>
      </c>
    </row>
    <row r="213" spans="1:8" x14ac:dyDescent="0.2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213">
        <f>FORMULACION!P186</f>
        <v>6</v>
      </c>
      <c r="G213" s="214"/>
      <c r="H213" s="215">
        <f t="shared" si="7"/>
        <v>0</v>
      </c>
    </row>
    <row r="214" spans="1:8" x14ac:dyDescent="0.2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213">
        <f>FORMULACION!P187</f>
        <v>0</v>
      </c>
      <c r="G214" s="214"/>
      <c r="H214" s="215">
        <f t="shared" si="7"/>
        <v>0</v>
      </c>
    </row>
    <row r="215" spans="1:8" x14ac:dyDescent="0.2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213">
        <f>FORMULACION!P188</f>
        <v>6</v>
      </c>
      <c r="G215" s="214"/>
      <c r="H215" s="215">
        <f t="shared" si="7"/>
        <v>0</v>
      </c>
    </row>
    <row r="216" spans="1:8" x14ac:dyDescent="0.2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213">
        <f>FORMULACION!P189</f>
        <v>0</v>
      </c>
      <c r="G216" s="214"/>
      <c r="H216" s="215">
        <f t="shared" si="7"/>
        <v>0</v>
      </c>
    </row>
    <row r="217" spans="1:8" x14ac:dyDescent="0.2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213">
        <f>FORMULACION!P190</f>
        <v>6</v>
      </c>
      <c r="G217" s="214"/>
      <c r="H217" s="215">
        <f t="shared" si="7"/>
        <v>0</v>
      </c>
    </row>
    <row r="218" spans="1:8" x14ac:dyDescent="0.2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213">
        <f>FORMULACION!P191</f>
        <v>6</v>
      </c>
      <c r="G218" s="214"/>
      <c r="H218" s="215">
        <f t="shared" si="7"/>
        <v>0</v>
      </c>
    </row>
    <row r="219" spans="1:8" x14ac:dyDescent="0.2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213">
        <f>FORMULACION!P192</f>
        <v>0</v>
      </c>
      <c r="G219" s="214"/>
      <c r="H219" s="215">
        <f t="shared" si="7"/>
        <v>0</v>
      </c>
    </row>
    <row r="220" spans="1:8" x14ac:dyDescent="0.2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213">
        <f>FORMULACION!P193</f>
        <v>6</v>
      </c>
      <c r="G220" s="214"/>
      <c r="H220" s="215">
        <f t="shared" si="7"/>
        <v>0</v>
      </c>
    </row>
    <row r="221" spans="1:8" x14ac:dyDescent="0.2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213">
        <f>FORMULACION!P194</f>
        <v>0</v>
      </c>
      <c r="G221" s="214"/>
      <c r="H221" s="215">
        <f t="shared" si="7"/>
        <v>0</v>
      </c>
    </row>
    <row r="222" spans="1:8" x14ac:dyDescent="0.2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213">
        <f>FORMULACION!P195</f>
        <v>6</v>
      </c>
      <c r="G222" s="214"/>
      <c r="H222" s="215"/>
    </row>
    <row r="223" spans="1:8" x14ac:dyDescent="0.2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213">
        <f>FORMULACION!P196</f>
        <v>6</v>
      </c>
      <c r="G223" s="214"/>
      <c r="H223" s="215"/>
    </row>
    <row r="224" spans="1:8" x14ac:dyDescent="0.2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213">
        <f>FORMULACION!P197</f>
        <v>0</v>
      </c>
      <c r="G224" s="214"/>
      <c r="H224" s="215"/>
    </row>
    <row r="225" spans="1:8" x14ac:dyDescent="0.2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213">
        <f>FORMULACION!P198</f>
        <v>6</v>
      </c>
      <c r="G225" s="214"/>
      <c r="H225" s="215"/>
    </row>
    <row r="226" spans="1:8" x14ac:dyDescent="0.2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213">
        <f>FORMULACION!P199</f>
        <v>6</v>
      </c>
      <c r="G226" s="214"/>
      <c r="H226" s="215"/>
    </row>
    <row r="227" spans="1:8" x14ac:dyDescent="0.2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213">
        <f>FORMULACION!P200</f>
        <v>6</v>
      </c>
      <c r="G227" s="214"/>
      <c r="H227" s="215"/>
    </row>
    <row r="228" spans="1:8" x14ac:dyDescent="0.2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213">
        <f>FORMULACION!P201</f>
        <v>0</v>
      </c>
      <c r="G228" s="214"/>
      <c r="H228" s="215"/>
    </row>
    <row r="229" spans="1:8" x14ac:dyDescent="0.2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213">
        <f>FORMULACION!P202</f>
        <v>0</v>
      </c>
      <c r="G229" s="214"/>
      <c r="H229" s="215"/>
    </row>
    <row r="230" spans="1:8" x14ac:dyDescent="0.2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213">
        <f>FORMULACION!P203</f>
        <v>6</v>
      </c>
      <c r="G230" s="214"/>
      <c r="H230" s="215"/>
    </row>
    <row r="231" spans="1:8" x14ac:dyDescent="0.2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213">
        <f>FORMULACION!P204</f>
        <v>0</v>
      </c>
      <c r="G231" s="214"/>
      <c r="H231" s="215">
        <f t="shared" ref="H231:H271" si="8">F231*G231</f>
        <v>0</v>
      </c>
    </row>
    <row r="232" spans="1:8" x14ac:dyDescent="0.2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213">
        <f>FORMULACION!P205</f>
        <v>6</v>
      </c>
      <c r="G232" s="214"/>
      <c r="H232" s="215">
        <f t="shared" si="8"/>
        <v>0</v>
      </c>
    </row>
    <row r="233" spans="1:8" x14ac:dyDescent="0.2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213">
        <f>FORMULACION!P206</f>
        <v>3</v>
      </c>
      <c r="G233" s="214"/>
      <c r="H233" s="215">
        <f t="shared" si="8"/>
        <v>0</v>
      </c>
    </row>
    <row r="234" spans="1:8" x14ac:dyDescent="0.2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213">
        <f>FORMULACION!P207</f>
        <v>3</v>
      </c>
      <c r="G234" s="214"/>
      <c r="H234" s="215">
        <f t="shared" si="8"/>
        <v>0</v>
      </c>
    </row>
    <row r="235" spans="1:8" x14ac:dyDescent="0.2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213">
        <f>FORMULACION!P208</f>
        <v>0</v>
      </c>
      <c r="G235" s="214"/>
      <c r="H235" s="215">
        <f t="shared" si="8"/>
        <v>0</v>
      </c>
    </row>
    <row r="236" spans="1:8" x14ac:dyDescent="0.2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213">
        <f>FORMULACION!P209</f>
        <v>3</v>
      </c>
      <c r="G236" s="214"/>
      <c r="H236" s="215">
        <f t="shared" si="8"/>
        <v>0</v>
      </c>
    </row>
    <row r="237" spans="1:8" x14ac:dyDescent="0.2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213">
        <f>FORMULACION!P210</f>
        <v>12</v>
      </c>
      <c r="G237" s="214"/>
      <c r="H237" s="215">
        <f t="shared" si="8"/>
        <v>0</v>
      </c>
    </row>
    <row r="238" spans="1:8" x14ac:dyDescent="0.2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213">
        <f>FORMULACION!P211</f>
        <v>3</v>
      </c>
      <c r="G238" s="214"/>
      <c r="H238" s="215">
        <f t="shared" si="8"/>
        <v>0</v>
      </c>
    </row>
    <row r="239" spans="1:8" x14ac:dyDescent="0.2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213">
        <f>FORMULACION!P212</f>
        <v>1</v>
      </c>
      <c r="G239" s="214"/>
      <c r="H239" s="215">
        <f t="shared" si="8"/>
        <v>0</v>
      </c>
    </row>
    <row r="240" spans="1:8" x14ac:dyDescent="0.2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213">
        <f>FORMULACION!P213</f>
        <v>3</v>
      </c>
      <c r="G240" s="214"/>
      <c r="H240" s="215">
        <f t="shared" si="8"/>
        <v>0</v>
      </c>
    </row>
    <row r="241" spans="1:8" x14ac:dyDescent="0.2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213">
        <f>FORMULACION!P214</f>
        <v>3</v>
      </c>
      <c r="G241" s="214"/>
      <c r="H241" s="215">
        <f t="shared" si="8"/>
        <v>0</v>
      </c>
    </row>
    <row r="242" spans="1:8" x14ac:dyDescent="0.2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213">
        <f>FORMULACION!P215</f>
        <v>3</v>
      </c>
      <c r="G242" s="214"/>
      <c r="H242" s="215">
        <f t="shared" si="8"/>
        <v>0</v>
      </c>
    </row>
    <row r="243" spans="1:8" ht="18.75" x14ac:dyDescent="0.2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213">
        <f>FORMULACION!P216</f>
        <v>3</v>
      </c>
      <c r="G243" s="214"/>
      <c r="H243" s="215">
        <f t="shared" si="8"/>
        <v>0</v>
      </c>
    </row>
    <row r="244" spans="1:8" x14ac:dyDescent="0.2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213">
        <f>FORMULACION!P217</f>
        <v>3</v>
      </c>
      <c r="G244" s="214"/>
      <c r="H244" s="215">
        <f t="shared" si="8"/>
        <v>0</v>
      </c>
    </row>
    <row r="245" spans="1:8" x14ac:dyDescent="0.2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213">
        <f>FORMULACION!P218</f>
        <v>3</v>
      </c>
      <c r="G245" s="214"/>
      <c r="H245" s="215">
        <f t="shared" si="8"/>
        <v>0</v>
      </c>
    </row>
    <row r="246" spans="1:8" x14ac:dyDescent="0.2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213">
        <f>FORMULACION!P219</f>
        <v>3</v>
      </c>
      <c r="G246" s="214"/>
      <c r="H246" s="215">
        <f t="shared" si="8"/>
        <v>0</v>
      </c>
    </row>
    <row r="247" spans="1:8" x14ac:dyDescent="0.2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213">
        <f>FORMULACION!P220</f>
        <v>3</v>
      </c>
      <c r="G247" s="214"/>
      <c r="H247" s="215">
        <f t="shared" si="8"/>
        <v>0</v>
      </c>
    </row>
    <row r="248" spans="1:8" x14ac:dyDescent="0.2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213">
        <f>FORMULACION!P221</f>
        <v>3</v>
      </c>
      <c r="G248" s="214"/>
      <c r="H248" s="215">
        <f t="shared" si="8"/>
        <v>0</v>
      </c>
    </row>
    <row r="249" spans="1:8" x14ac:dyDescent="0.2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213">
        <f>FORMULACION!P222</f>
        <v>5</v>
      </c>
      <c r="G249" s="214"/>
      <c r="H249" s="215">
        <f t="shared" si="8"/>
        <v>0</v>
      </c>
    </row>
    <row r="250" spans="1:8" x14ac:dyDescent="0.2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213">
        <f>FORMULACION!P223</f>
        <v>1.5</v>
      </c>
      <c r="G250" s="214"/>
      <c r="H250" s="215">
        <f t="shared" si="8"/>
        <v>0</v>
      </c>
    </row>
    <row r="251" spans="1:8" x14ac:dyDescent="0.2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213">
        <f>FORMULACION!P224</f>
        <v>3</v>
      </c>
      <c r="G251" s="214"/>
      <c r="H251" s="215">
        <f t="shared" si="8"/>
        <v>0</v>
      </c>
    </row>
    <row r="252" spans="1:8" x14ac:dyDescent="0.2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213">
        <f>FORMULACION!P225</f>
        <v>3</v>
      </c>
      <c r="G252" s="214"/>
      <c r="H252" s="215">
        <f t="shared" si="8"/>
        <v>0</v>
      </c>
    </row>
    <row r="253" spans="1:8" x14ac:dyDescent="0.2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213">
        <f>FORMULACION!P226</f>
        <v>3</v>
      </c>
      <c r="G253" s="214"/>
      <c r="H253" s="215">
        <f t="shared" si="8"/>
        <v>0</v>
      </c>
    </row>
    <row r="254" spans="1:8" x14ac:dyDescent="0.2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213">
        <f>FORMULACION!P227</f>
        <v>1</v>
      </c>
      <c r="G254" s="214"/>
      <c r="H254" s="215">
        <f t="shared" si="8"/>
        <v>0</v>
      </c>
    </row>
    <row r="255" spans="1:8" x14ac:dyDescent="0.2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213">
        <f>FORMULACION!P228</f>
        <v>1</v>
      </c>
      <c r="G255" s="214"/>
      <c r="H255" s="215">
        <f t="shared" si="8"/>
        <v>0</v>
      </c>
    </row>
    <row r="256" spans="1:8" x14ac:dyDescent="0.2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213">
        <f>FORMULACION!P229</f>
        <v>1</v>
      </c>
      <c r="G256" s="214"/>
      <c r="H256" s="215">
        <f t="shared" si="8"/>
        <v>0</v>
      </c>
    </row>
    <row r="257" spans="1:8" x14ac:dyDescent="0.2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213">
        <f>FORMULACION!P230</f>
        <v>1</v>
      </c>
      <c r="G257" s="214"/>
      <c r="H257" s="215">
        <f t="shared" si="8"/>
        <v>0</v>
      </c>
    </row>
    <row r="258" spans="1:8" x14ac:dyDescent="0.2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213">
        <f>FORMULACION!P231</f>
        <v>1</v>
      </c>
      <c r="G258" s="214"/>
      <c r="H258" s="215">
        <f t="shared" si="8"/>
        <v>0</v>
      </c>
    </row>
    <row r="259" spans="1:8" x14ac:dyDescent="0.2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213">
        <f>FORMULACION!P232</f>
        <v>1</v>
      </c>
      <c r="G259" s="214"/>
      <c r="H259" s="215">
        <f t="shared" si="8"/>
        <v>0</v>
      </c>
    </row>
    <row r="260" spans="1:8" x14ac:dyDescent="0.2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213">
        <f>FORMULACION!P233</f>
        <v>1</v>
      </c>
      <c r="G260" s="214"/>
      <c r="H260" s="215">
        <f t="shared" si="8"/>
        <v>0</v>
      </c>
    </row>
    <row r="261" spans="1:8" x14ac:dyDescent="0.2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213">
        <f>FORMULACION!P234</f>
        <v>1</v>
      </c>
      <c r="G261" s="214"/>
      <c r="H261" s="215">
        <f t="shared" si="8"/>
        <v>0</v>
      </c>
    </row>
    <row r="262" spans="1:8" x14ac:dyDescent="0.2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213">
        <f>FORMULACION!P235</f>
        <v>1</v>
      </c>
      <c r="G262" s="214"/>
      <c r="H262" s="215">
        <f t="shared" si="8"/>
        <v>0</v>
      </c>
    </row>
    <row r="263" spans="1:8" x14ac:dyDescent="0.2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213">
        <f>FORMULACION!P236</f>
        <v>6</v>
      </c>
      <c r="G263" s="214"/>
      <c r="H263" s="215">
        <f t="shared" si="8"/>
        <v>0</v>
      </c>
    </row>
    <row r="264" spans="1:8" x14ac:dyDescent="0.2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213">
        <f>FORMULACION!P237</f>
        <v>6</v>
      </c>
      <c r="G264" s="214"/>
      <c r="H264" s="215">
        <f t="shared" si="8"/>
        <v>0</v>
      </c>
    </row>
    <row r="265" spans="1:8" x14ac:dyDescent="0.2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213">
        <f>FORMULACION!P238</f>
        <v>6</v>
      </c>
      <c r="G265" s="214"/>
      <c r="H265" s="215">
        <f t="shared" si="8"/>
        <v>0</v>
      </c>
    </row>
    <row r="266" spans="1:8" x14ac:dyDescent="0.2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213">
        <f>FORMULACION!P239</f>
        <v>3</v>
      </c>
      <c r="G266" s="214"/>
      <c r="H266" s="215">
        <f t="shared" si="8"/>
        <v>0</v>
      </c>
    </row>
    <row r="267" spans="1:8" x14ac:dyDescent="0.2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213">
        <f>FORMULACION!P240</f>
        <v>3</v>
      </c>
      <c r="G267" s="214"/>
      <c r="H267" s="215">
        <f t="shared" si="8"/>
        <v>0</v>
      </c>
    </row>
    <row r="268" spans="1:8" x14ac:dyDescent="0.2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213">
        <f>FORMULACION!P241</f>
        <v>3</v>
      </c>
      <c r="G268" s="214"/>
      <c r="H268" s="215">
        <f t="shared" si="8"/>
        <v>0</v>
      </c>
    </row>
    <row r="269" spans="1:8" x14ac:dyDescent="0.2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213">
        <f>FORMULACION!P242</f>
        <v>3</v>
      </c>
      <c r="G269" s="214"/>
      <c r="H269" s="215">
        <f t="shared" si="8"/>
        <v>0</v>
      </c>
    </row>
    <row r="270" spans="1:8" x14ac:dyDescent="0.2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213">
        <f>FORMULACION!P243</f>
        <v>3</v>
      </c>
      <c r="G270" s="214"/>
      <c r="H270" s="215">
        <f t="shared" si="8"/>
        <v>0</v>
      </c>
    </row>
    <row r="271" spans="1:8" x14ac:dyDescent="0.2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213">
        <f>FORMULACION!P244</f>
        <v>3</v>
      </c>
      <c r="G271" s="214"/>
      <c r="H271" s="215">
        <f t="shared" si="8"/>
        <v>0</v>
      </c>
    </row>
    <row r="272" spans="1:8" hidden="1" x14ac:dyDescent="0.2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 x14ac:dyDescent="0.2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 x14ac:dyDescent="0.2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 x14ac:dyDescent="0.2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 x14ac:dyDescent="0.2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 x14ac:dyDescent="0.2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 x14ac:dyDescent="0.2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 x14ac:dyDescent="0.2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 x14ac:dyDescent="0.2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 x14ac:dyDescent="0.2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 x14ac:dyDescent="0.2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 x14ac:dyDescent="0.2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 x14ac:dyDescent="0.2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 x14ac:dyDescent="0.2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 x14ac:dyDescent="0.2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0</v>
      </c>
      <c r="G286" s="57">
        <v>153000</v>
      </c>
      <c r="H286" s="57">
        <f t="shared" si="10"/>
        <v>0</v>
      </c>
    </row>
    <row r="287" spans="1:8" hidden="1" x14ac:dyDescent="0.2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 x14ac:dyDescent="0.2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 x14ac:dyDescent="0.2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 x14ac:dyDescent="0.2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 x14ac:dyDescent="0.2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 x14ac:dyDescent="0.2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 x14ac:dyDescent="0.2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 x14ac:dyDescent="0.2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 x14ac:dyDescent="0.2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 x14ac:dyDescent="0.2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 x14ac:dyDescent="0.2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 x14ac:dyDescent="0.2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 x14ac:dyDescent="0.2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 x14ac:dyDescent="0.2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 x14ac:dyDescent="0.2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0</v>
      </c>
      <c r="G301" s="57">
        <v>6380000</v>
      </c>
      <c r="H301" s="57">
        <f t="shared" si="11"/>
        <v>0</v>
      </c>
    </row>
    <row r="302" spans="1:8" hidden="1" x14ac:dyDescent="0.2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 x14ac:dyDescent="0.2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 x14ac:dyDescent="0.2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 x14ac:dyDescent="0.2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 x14ac:dyDescent="0.2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 x14ac:dyDescent="0.2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 x14ac:dyDescent="0.2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0</v>
      </c>
      <c r="G308" s="57">
        <v>315000</v>
      </c>
      <c r="H308" s="57">
        <f t="shared" si="11"/>
        <v>0</v>
      </c>
    </row>
    <row r="309" spans="1:8" hidden="1" x14ac:dyDescent="0.2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 x14ac:dyDescent="0.2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 x14ac:dyDescent="0.2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 x14ac:dyDescent="0.2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 x14ac:dyDescent="0.2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 x14ac:dyDescent="0.2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 x14ac:dyDescent="0.2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 x14ac:dyDescent="0.2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 x14ac:dyDescent="0.2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 x14ac:dyDescent="0.2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 x14ac:dyDescent="0.2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 x14ac:dyDescent="0.2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 x14ac:dyDescent="0.2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 x14ac:dyDescent="0.2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 x14ac:dyDescent="0.2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 x14ac:dyDescent="0.2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 x14ac:dyDescent="0.2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 x14ac:dyDescent="0.2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 x14ac:dyDescent="0.2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 x14ac:dyDescent="0.2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 x14ac:dyDescent="0.2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 x14ac:dyDescent="0.2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 x14ac:dyDescent="0.2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0</v>
      </c>
      <c r="G331" s="57">
        <v>15000</v>
      </c>
      <c r="H331" s="57">
        <f t="shared" si="11"/>
        <v>0</v>
      </c>
    </row>
    <row r="332" spans="1:8" hidden="1" x14ac:dyDescent="0.2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 x14ac:dyDescent="0.2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 x14ac:dyDescent="0.2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 x14ac:dyDescent="0.2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 x14ac:dyDescent="0.2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60</v>
      </c>
      <c r="G336" s="57">
        <v>10000</v>
      </c>
      <c r="H336" s="57">
        <f t="shared" si="11"/>
        <v>600000</v>
      </c>
    </row>
    <row r="337" spans="1:8" hidden="1" x14ac:dyDescent="0.2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 x14ac:dyDescent="0.2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 x14ac:dyDescent="0.2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0</v>
      </c>
      <c r="G339" s="57">
        <v>60000</v>
      </c>
      <c r="H339" s="57">
        <f t="shared" si="11"/>
        <v>0</v>
      </c>
    </row>
    <row r="340" spans="1:8" hidden="1" x14ac:dyDescent="0.2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0</v>
      </c>
      <c r="G340" s="57">
        <v>160000</v>
      </c>
      <c r="H340" s="57">
        <f t="shared" si="11"/>
        <v>0</v>
      </c>
    </row>
    <row r="341" spans="1:8" hidden="1" x14ac:dyDescent="0.2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 x14ac:dyDescent="0.2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 x14ac:dyDescent="0.2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 x14ac:dyDescent="0.2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 x14ac:dyDescent="0.2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 x14ac:dyDescent="0.2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 x14ac:dyDescent="0.2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 x14ac:dyDescent="0.2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 x14ac:dyDescent="0.2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 x14ac:dyDescent="0.2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 x14ac:dyDescent="0.2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 x14ac:dyDescent="0.2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 x14ac:dyDescent="0.2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0</v>
      </c>
      <c r="G353" s="57">
        <v>180000</v>
      </c>
      <c r="H353" s="57">
        <f t="shared" si="12"/>
        <v>0</v>
      </c>
    </row>
    <row r="354" spans="1:8" hidden="1" x14ac:dyDescent="0.2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 x14ac:dyDescent="0.2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 x14ac:dyDescent="0.2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 x14ac:dyDescent="0.2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 x14ac:dyDescent="0.2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 x14ac:dyDescent="0.2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 x14ac:dyDescent="0.2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 x14ac:dyDescent="0.2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 x14ac:dyDescent="0.2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 x14ac:dyDescent="0.2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 x14ac:dyDescent="0.2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 x14ac:dyDescent="0.2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 x14ac:dyDescent="0.2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 x14ac:dyDescent="0.2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 x14ac:dyDescent="0.2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 x14ac:dyDescent="0.2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 x14ac:dyDescent="0.2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 x14ac:dyDescent="0.2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 x14ac:dyDescent="0.2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 x14ac:dyDescent="0.2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 x14ac:dyDescent="0.2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 x14ac:dyDescent="0.2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 x14ac:dyDescent="0.2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 x14ac:dyDescent="0.2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 x14ac:dyDescent="0.2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 x14ac:dyDescent="0.2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 x14ac:dyDescent="0.2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 x14ac:dyDescent="0.2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 x14ac:dyDescent="0.2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 x14ac:dyDescent="0.2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 x14ac:dyDescent="0.2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 x14ac:dyDescent="0.2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 x14ac:dyDescent="0.2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 x14ac:dyDescent="0.2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 x14ac:dyDescent="0.2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 x14ac:dyDescent="0.2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 x14ac:dyDescent="0.2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 x14ac:dyDescent="0.2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 x14ac:dyDescent="0.2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 x14ac:dyDescent="0.2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 x14ac:dyDescent="0.2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 x14ac:dyDescent="0.2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 x14ac:dyDescent="0.2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 x14ac:dyDescent="0.2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 x14ac:dyDescent="0.2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 x14ac:dyDescent="0.2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 x14ac:dyDescent="0.2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 x14ac:dyDescent="0.2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 x14ac:dyDescent="0.2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 x14ac:dyDescent="0.2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 x14ac:dyDescent="0.2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 x14ac:dyDescent="0.2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 x14ac:dyDescent="0.2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 x14ac:dyDescent="0.2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 x14ac:dyDescent="0.2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 x14ac:dyDescent="0.2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 x14ac:dyDescent="0.2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 x14ac:dyDescent="0.2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 x14ac:dyDescent="0.2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 x14ac:dyDescent="0.2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 x14ac:dyDescent="0.2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 x14ac:dyDescent="0.2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 x14ac:dyDescent="0.2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 x14ac:dyDescent="0.2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 x14ac:dyDescent="0.2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 x14ac:dyDescent="0.2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 x14ac:dyDescent="0.2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 x14ac:dyDescent="0.2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 x14ac:dyDescent="0.2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 x14ac:dyDescent="0.2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 x14ac:dyDescent="0.2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 x14ac:dyDescent="0.2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 x14ac:dyDescent="0.2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 x14ac:dyDescent="0.2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 x14ac:dyDescent="0.2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 x14ac:dyDescent="0.2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 x14ac:dyDescent="0.2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 x14ac:dyDescent="0.2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 x14ac:dyDescent="0.2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 x14ac:dyDescent="0.2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 x14ac:dyDescent="0.2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 x14ac:dyDescent="0.2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 x14ac:dyDescent="0.2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 x14ac:dyDescent="0.2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 x14ac:dyDescent="0.2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 x14ac:dyDescent="0.2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 x14ac:dyDescent="0.2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 x14ac:dyDescent="0.2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 x14ac:dyDescent="0.2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 x14ac:dyDescent="0.2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 x14ac:dyDescent="0.2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 x14ac:dyDescent="0.2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 x14ac:dyDescent="0.2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 x14ac:dyDescent="0.2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 x14ac:dyDescent="0.2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 x14ac:dyDescent="0.2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 x14ac:dyDescent="0.2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 x14ac:dyDescent="0.2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 x14ac:dyDescent="0.2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 x14ac:dyDescent="0.2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 x14ac:dyDescent="0.2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 x14ac:dyDescent="0.2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 x14ac:dyDescent="0.2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 x14ac:dyDescent="0.2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 x14ac:dyDescent="0.2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 x14ac:dyDescent="0.2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 x14ac:dyDescent="0.2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 x14ac:dyDescent="0.2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 x14ac:dyDescent="0.2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 x14ac:dyDescent="0.2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 x14ac:dyDescent="0.2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 x14ac:dyDescent="0.2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 x14ac:dyDescent="0.2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 x14ac:dyDescent="0.2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 x14ac:dyDescent="0.2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 x14ac:dyDescent="0.2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 x14ac:dyDescent="0.2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 x14ac:dyDescent="0.2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6</v>
      </c>
      <c r="G471" s="57">
        <v>220000</v>
      </c>
      <c r="H471" s="57">
        <f t="shared" si="15"/>
        <v>1320000</v>
      </c>
    </row>
    <row r="472" spans="1:8" hidden="1" x14ac:dyDescent="0.2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 x14ac:dyDescent="0.2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 x14ac:dyDescent="0.2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 x14ac:dyDescent="0.2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 x14ac:dyDescent="0.2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 x14ac:dyDescent="0.2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 x14ac:dyDescent="0.2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18.75" hidden="1" x14ac:dyDescent="0.2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 x14ac:dyDescent="0.2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 x14ac:dyDescent="0.2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 x14ac:dyDescent="0.2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 x14ac:dyDescent="0.2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 x14ac:dyDescent="0.2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 x14ac:dyDescent="0.2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 x14ac:dyDescent="0.2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 x14ac:dyDescent="0.2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 x14ac:dyDescent="0.2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 x14ac:dyDescent="0.2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 x14ac:dyDescent="0.2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 x14ac:dyDescent="0.2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 x14ac:dyDescent="0.2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 x14ac:dyDescent="0.2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 x14ac:dyDescent="0.2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 x14ac:dyDescent="0.2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 x14ac:dyDescent="0.2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 x14ac:dyDescent="0.2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 x14ac:dyDescent="0.2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 x14ac:dyDescent="0.2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 x14ac:dyDescent="0.2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 x14ac:dyDescent="0.2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 x14ac:dyDescent="0.2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 x14ac:dyDescent="0.2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 x14ac:dyDescent="0.2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 x14ac:dyDescent="0.2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 x14ac:dyDescent="0.2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 x14ac:dyDescent="0.2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 x14ac:dyDescent="0.2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 x14ac:dyDescent="0.2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 x14ac:dyDescent="0.2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 x14ac:dyDescent="0.2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 x14ac:dyDescent="0.2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 x14ac:dyDescent="0.2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 x14ac:dyDescent="0.2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 x14ac:dyDescent="0.2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 x14ac:dyDescent="0.2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 x14ac:dyDescent="0.2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 x14ac:dyDescent="0.2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 x14ac:dyDescent="0.2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 x14ac:dyDescent="0.2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 x14ac:dyDescent="0.2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 x14ac:dyDescent="0.2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 x14ac:dyDescent="0.2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 x14ac:dyDescent="0.2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0</v>
      </c>
      <c r="G524" s="57">
        <v>95000</v>
      </c>
      <c r="H524" s="57">
        <f t="shared" si="16"/>
        <v>0</v>
      </c>
    </row>
    <row r="525" spans="1:8" hidden="1" x14ac:dyDescent="0.2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 x14ac:dyDescent="0.2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 x14ac:dyDescent="0.2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 x14ac:dyDescent="0.2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 x14ac:dyDescent="0.2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 x14ac:dyDescent="0.2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 x14ac:dyDescent="0.2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 x14ac:dyDescent="0.2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 x14ac:dyDescent="0.2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 x14ac:dyDescent="0.2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 x14ac:dyDescent="0.2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 x14ac:dyDescent="0.2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 x14ac:dyDescent="0.2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0</v>
      </c>
      <c r="G537" s="57">
        <v>2300000</v>
      </c>
      <c r="H537" s="57">
        <f t="shared" si="17"/>
        <v>0</v>
      </c>
    </row>
    <row r="538" spans="1:8" hidden="1" x14ac:dyDescent="0.2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 x14ac:dyDescent="0.2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 x14ac:dyDescent="0.2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 x14ac:dyDescent="0.2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 x14ac:dyDescent="0.2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 x14ac:dyDescent="0.2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 x14ac:dyDescent="0.2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0</v>
      </c>
      <c r="G544" s="57">
        <v>3000000</v>
      </c>
      <c r="H544" s="57">
        <f t="shared" si="17"/>
        <v>0</v>
      </c>
    </row>
    <row r="545" spans="1:8" hidden="1" x14ac:dyDescent="0.2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 x14ac:dyDescent="0.2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 x14ac:dyDescent="0.2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 x14ac:dyDescent="0.2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 x14ac:dyDescent="0.2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 x14ac:dyDescent="0.2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 x14ac:dyDescent="0.2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 x14ac:dyDescent="0.2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 x14ac:dyDescent="0.2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 x14ac:dyDescent="0.2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 x14ac:dyDescent="0.2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60</v>
      </c>
      <c r="G555" s="57">
        <v>17000</v>
      </c>
      <c r="H555" s="57">
        <f t="shared" si="17"/>
        <v>1020000</v>
      </c>
    </row>
    <row r="556" spans="1:8" hidden="1" x14ac:dyDescent="0.2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 x14ac:dyDescent="0.2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 x14ac:dyDescent="0.2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 x14ac:dyDescent="0.2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 x14ac:dyDescent="0.2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 x14ac:dyDescent="0.2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 x14ac:dyDescent="0.2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 x14ac:dyDescent="0.2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 x14ac:dyDescent="0.2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 x14ac:dyDescent="0.2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 x14ac:dyDescent="0.2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 x14ac:dyDescent="0.2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0</v>
      </c>
      <c r="G567" s="57">
        <v>19000</v>
      </c>
      <c r="H567" s="57">
        <f t="shared" si="17"/>
        <v>0</v>
      </c>
    </row>
    <row r="568" spans="1:8" hidden="1" x14ac:dyDescent="0.2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 x14ac:dyDescent="0.2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 x14ac:dyDescent="0.2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 x14ac:dyDescent="0.2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 x14ac:dyDescent="0.2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 x14ac:dyDescent="0.2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 x14ac:dyDescent="0.2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 x14ac:dyDescent="0.2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 x14ac:dyDescent="0.2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0</v>
      </c>
      <c r="G576" s="57">
        <v>64000</v>
      </c>
      <c r="H576" s="57">
        <f t="shared" si="17"/>
        <v>0</v>
      </c>
    </row>
    <row r="577" spans="1:8" hidden="1" x14ac:dyDescent="0.2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 x14ac:dyDescent="0.2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0</v>
      </c>
      <c r="G578" s="57">
        <v>60000</v>
      </c>
      <c r="H578" s="57">
        <f t="shared" si="17"/>
        <v>0</v>
      </c>
    </row>
    <row r="579" spans="1:8" hidden="1" x14ac:dyDescent="0.2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 x14ac:dyDescent="0.2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 x14ac:dyDescent="0.2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 x14ac:dyDescent="0.2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 x14ac:dyDescent="0.2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 x14ac:dyDescent="0.2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 x14ac:dyDescent="0.2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 x14ac:dyDescent="0.2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 x14ac:dyDescent="0.2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 x14ac:dyDescent="0.2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 x14ac:dyDescent="0.2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 x14ac:dyDescent="0.2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 x14ac:dyDescent="0.2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 x14ac:dyDescent="0.2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 x14ac:dyDescent="0.2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 x14ac:dyDescent="0.2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0</v>
      </c>
      <c r="G594" s="57">
        <v>45000</v>
      </c>
      <c r="H594" s="57">
        <f t="shared" si="18"/>
        <v>0</v>
      </c>
    </row>
    <row r="595" spans="1:8" hidden="1" x14ac:dyDescent="0.2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 x14ac:dyDescent="0.2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 x14ac:dyDescent="0.2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 x14ac:dyDescent="0.2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 x14ac:dyDescent="0.2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 x14ac:dyDescent="0.2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 x14ac:dyDescent="0.2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 x14ac:dyDescent="0.2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 x14ac:dyDescent="0.2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 x14ac:dyDescent="0.2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 x14ac:dyDescent="0.2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 x14ac:dyDescent="0.2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 x14ac:dyDescent="0.2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 x14ac:dyDescent="0.2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 x14ac:dyDescent="0.2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 x14ac:dyDescent="0.2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 x14ac:dyDescent="0.2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 x14ac:dyDescent="0.2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 x14ac:dyDescent="0.2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 x14ac:dyDescent="0.2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 x14ac:dyDescent="0.2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 x14ac:dyDescent="0.2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 x14ac:dyDescent="0.2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 x14ac:dyDescent="0.2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 x14ac:dyDescent="0.2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 x14ac:dyDescent="0.2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 x14ac:dyDescent="0.2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 x14ac:dyDescent="0.2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 x14ac:dyDescent="0.2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 x14ac:dyDescent="0.2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 x14ac:dyDescent="0.2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 x14ac:dyDescent="0.2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 x14ac:dyDescent="0.2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 x14ac:dyDescent="0.2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 x14ac:dyDescent="0.2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 x14ac:dyDescent="0.2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 x14ac:dyDescent="0.2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 x14ac:dyDescent="0.2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 x14ac:dyDescent="0.2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 x14ac:dyDescent="0.2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 x14ac:dyDescent="0.2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 x14ac:dyDescent="0.2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 x14ac:dyDescent="0.2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 x14ac:dyDescent="0.2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 x14ac:dyDescent="0.2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 x14ac:dyDescent="0.2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 x14ac:dyDescent="0.2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 x14ac:dyDescent="0.2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 x14ac:dyDescent="0.2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 x14ac:dyDescent="0.2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 x14ac:dyDescent="0.2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 x14ac:dyDescent="0.2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 x14ac:dyDescent="0.2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 x14ac:dyDescent="0.2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 x14ac:dyDescent="0.2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 x14ac:dyDescent="0.2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 x14ac:dyDescent="0.2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 x14ac:dyDescent="0.2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 x14ac:dyDescent="0.2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 x14ac:dyDescent="0.2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 x14ac:dyDescent="0.2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 x14ac:dyDescent="0.2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 x14ac:dyDescent="0.2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 x14ac:dyDescent="0.2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 x14ac:dyDescent="0.2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 x14ac:dyDescent="0.2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 x14ac:dyDescent="0.2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 x14ac:dyDescent="0.2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 x14ac:dyDescent="0.2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 x14ac:dyDescent="0.2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 x14ac:dyDescent="0.2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 x14ac:dyDescent="0.2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 x14ac:dyDescent="0.2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 x14ac:dyDescent="0.2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 x14ac:dyDescent="0.2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 x14ac:dyDescent="0.2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 x14ac:dyDescent="0.2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 x14ac:dyDescent="0.2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 x14ac:dyDescent="0.2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 x14ac:dyDescent="0.2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 x14ac:dyDescent="0.2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 x14ac:dyDescent="0.2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 x14ac:dyDescent="0.2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 x14ac:dyDescent="0.2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 x14ac:dyDescent="0.2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 x14ac:dyDescent="0.2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 x14ac:dyDescent="0.2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 x14ac:dyDescent="0.2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 x14ac:dyDescent="0.2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 x14ac:dyDescent="0.2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 x14ac:dyDescent="0.2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 x14ac:dyDescent="0.2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 x14ac:dyDescent="0.2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 x14ac:dyDescent="0.2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 x14ac:dyDescent="0.2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 x14ac:dyDescent="0.2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 x14ac:dyDescent="0.2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 x14ac:dyDescent="0.2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 x14ac:dyDescent="0.2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 x14ac:dyDescent="0.2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 x14ac:dyDescent="0.2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 x14ac:dyDescent="0.2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18.75" hidden="1" x14ac:dyDescent="0.2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 x14ac:dyDescent="0.2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 x14ac:dyDescent="0.2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 x14ac:dyDescent="0.2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 x14ac:dyDescent="0.2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 x14ac:dyDescent="0.2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 x14ac:dyDescent="0.2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 x14ac:dyDescent="0.2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 x14ac:dyDescent="0.2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 x14ac:dyDescent="0.2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 x14ac:dyDescent="0.2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 x14ac:dyDescent="0.2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 x14ac:dyDescent="0.2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 x14ac:dyDescent="0.2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 x14ac:dyDescent="0.2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 x14ac:dyDescent="0.2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 x14ac:dyDescent="0.2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 x14ac:dyDescent="0.2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 x14ac:dyDescent="0.2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 x14ac:dyDescent="0.2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 x14ac:dyDescent="0.2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 x14ac:dyDescent="0.2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6</v>
      </c>
      <c r="G718" s="57">
        <v>75000</v>
      </c>
      <c r="H718" s="57">
        <f t="shared" si="21"/>
        <v>450000</v>
      </c>
    </row>
    <row r="719" spans="1:8" hidden="1" x14ac:dyDescent="0.2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 x14ac:dyDescent="0.2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 x14ac:dyDescent="0.2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 x14ac:dyDescent="0.2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 x14ac:dyDescent="0.2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 x14ac:dyDescent="0.2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 x14ac:dyDescent="0.2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 x14ac:dyDescent="0.2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 x14ac:dyDescent="0.2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 x14ac:dyDescent="0.2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 x14ac:dyDescent="0.2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 x14ac:dyDescent="0.2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 x14ac:dyDescent="0.2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 x14ac:dyDescent="0.2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 x14ac:dyDescent="0.2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 x14ac:dyDescent="0.2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 x14ac:dyDescent="0.2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 x14ac:dyDescent="0.2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 x14ac:dyDescent="0.2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 x14ac:dyDescent="0.2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 x14ac:dyDescent="0.2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 x14ac:dyDescent="0.2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 x14ac:dyDescent="0.2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 x14ac:dyDescent="0.2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 x14ac:dyDescent="0.2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 x14ac:dyDescent="0.2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 x14ac:dyDescent="0.2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 x14ac:dyDescent="0.2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 x14ac:dyDescent="0.2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 x14ac:dyDescent="0.2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 x14ac:dyDescent="0.2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 x14ac:dyDescent="0.2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 x14ac:dyDescent="0.2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 x14ac:dyDescent="0.2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 x14ac:dyDescent="0.2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 x14ac:dyDescent="0.2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 x14ac:dyDescent="0.2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 x14ac:dyDescent="0.2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 x14ac:dyDescent="0.2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 x14ac:dyDescent="0.2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 x14ac:dyDescent="0.2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 x14ac:dyDescent="0.2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 x14ac:dyDescent="0.2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 x14ac:dyDescent="0.2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0</v>
      </c>
      <c r="G762" s="57">
        <v>58000</v>
      </c>
      <c r="H762" s="57">
        <f t="shared" si="22"/>
        <v>0</v>
      </c>
    </row>
    <row r="763" spans="1:8" hidden="1" x14ac:dyDescent="0.2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 x14ac:dyDescent="0.2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 x14ac:dyDescent="0.2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 x14ac:dyDescent="0.2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 x14ac:dyDescent="0.2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 x14ac:dyDescent="0.2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 x14ac:dyDescent="0.2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 x14ac:dyDescent="0.2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 x14ac:dyDescent="0.2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 x14ac:dyDescent="0.2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 x14ac:dyDescent="0.2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 x14ac:dyDescent="0.2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 x14ac:dyDescent="0.2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 x14ac:dyDescent="0.2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 x14ac:dyDescent="0.2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0</v>
      </c>
      <c r="G777" s="57">
        <v>10200000</v>
      </c>
      <c r="H777" s="57">
        <f t="shared" si="23"/>
        <v>0</v>
      </c>
    </row>
    <row r="778" spans="1:8" hidden="1" x14ac:dyDescent="0.2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 x14ac:dyDescent="0.2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 x14ac:dyDescent="0.2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 x14ac:dyDescent="0.2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 x14ac:dyDescent="0.2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 x14ac:dyDescent="0.2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 x14ac:dyDescent="0.2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0</v>
      </c>
      <c r="G784" s="57">
        <v>1600000</v>
      </c>
      <c r="H784" s="57">
        <f t="shared" si="23"/>
        <v>0</v>
      </c>
    </row>
    <row r="785" spans="1:8" hidden="1" x14ac:dyDescent="0.2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 x14ac:dyDescent="0.2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 x14ac:dyDescent="0.2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 x14ac:dyDescent="0.2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 x14ac:dyDescent="0.2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 x14ac:dyDescent="0.2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 x14ac:dyDescent="0.2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 x14ac:dyDescent="0.2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 x14ac:dyDescent="0.2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 x14ac:dyDescent="0.2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 x14ac:dyDescent="0.2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 x14ac:dyDescent="0.2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 x14ac:dyDescent="0.2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 x14ac:dyDescent="0.2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 x14ac:dyDescent="0.2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 x14ac:dyDescent="0.2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 x14ac:dyDescent="0.2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 x14ac:dyDescent="0.2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 x14ac:dyDescent="0.2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 x14ac:dyDescent="0.2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 x14ac:dyDescent="0.2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 x14ac:dyDescent="0.2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 x14ac:dyDescent="0.2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 x14ac:dyDescent="0.2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0</v>
      </c>
      <c r="G808" s="57">
        <v>18000</v>
      </c>
      <c r="H808" s="57">
        <f t="shared" si="23"/>
        <v>0</v>
      </c>
    </row>
    <row r="809" spans="1:8" hidden="1" x14ac:dyDescent="0.2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60</v>
      </c>
      <c r="G809" s="57">
        <v>15000</v>
      </c>
      <c r="H809" s="57">
        <f t="shared" si="23"/>
        <v>900000</v>
      </c>
    </row>
    <row r="810" spans="1:8" hidden="1" x14ac:dyDescent="0.2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 x14ac:dyDescent="0.2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 x14ac:dyDescent="0.2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 x14ac:dyDescent="0.2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 x14ac:dyDescent="0.2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 x14ac:dyDescent="0.2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0</v>
      </c>
      <c r="G815" s="57">
        <v>64000</v>
      </c>
      <c r="H815" s="57">
        <f t="shared" si="23"/>
        <v>0</v>
      </c>
    </row>
    <row r="816" spans="1:8" hidden="1" x14ac:dyDescent="0.2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0</v>
      </c>
      <c r="G816" s="57">
        <v>25000</v>
      </c>
      <c r="H816" s="57">
        <f t="shared" si="23"/>
        <v>0</v>
      </c>
    </row>
    <row r="817" spans="1:8" hidden="1" x14ac:dyDescent="0.2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 x14ac:dyDescent="0.2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 x14ac:dyDescent="0.2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 x14ac:dyDescent="0.2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 x14ac:dyDescent="0.2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 x14ac:dyDescent="0.2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 x14ac:dyDescent="0.2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 x14ac:dyDescent="0.2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 x14ac:dyDescent="0.2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 x14ac:dyDescent="0.2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 x14ac:dyDescent="0.2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 x14ac:dyDescent="0.2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 x14ac:dyDescent="0.2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 x14ac:dyDescent="0.2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 x14ac:dyDescent="0.2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 x14ac:dyDescent="0.2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 x14ac:dyDescent="0.2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 x14ac:dyDescent="0.2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 x14ac:dyDescent="0.2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 x14ac:dyDescent="0.2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0</v>
      </c>
      <c r="G836" s="57">
        <v>40000</v>
      </c>
      <c r="H836" s="57">
        <f t="shared" si="24"/>
        <v>0</v>
      </c>
    </row>
    <row r="837" spans="1:8" hidden="1" x14ac:dyDescent="0.2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 x14ac:dyDescent="0.2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 x14ac:dyDescent="0.2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 x14ac:dyDescent="0.2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 x14ac:dyDescent="0.2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 x14ac:dyDescent="0.2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 x14ac:dyDescent="0.2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 x14ac:dyDescent="0.2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 x14ac:dyDescent="0.2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 x14ac:dyDescent="0.2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 x14ac:dyDescent="0.2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 x14ac:dyDescent="0.2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 x14ac:dyDescent="0.2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 x14ac:dyDescent="0.2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 x14ac:dyDescent="0.2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 x14ac:dyDescent="0.2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 x14ac:dyDescent="0.2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 x14ac:dyDescent="0.2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 x14ac:dyDescent="0.2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 x14ac:dyDescent="0.2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 x14ac:dyDescent="0.2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 x14ac:dyDescent="0.2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 x14ac:dyDescent="0.2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 x14ac:dyDescent="0.2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 x14ac:dyDescent="0.2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 x14ac:dyDescent="0.2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 x14ac:dyDescent="0.2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 x14ac:dyDescent="0.2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 x14ac:dyDescent="0.2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 x14ac:dyDescent="0.2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 x14ac:dyDescent="0.2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 x14ac:dyDescent="0.2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 x14ac:dyDescent="0.2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 x14ac:dyDescent="0.2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 x14ac:dyDescent="0.2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 x14ac:dyDescent="0.2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 x14ac:dyDescent="0.2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 x14ac:dyDescent="0.2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 x14ac:dyDescent="0.2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 x14ac:dyDescent="0.2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 x14ac:dyDescent="0.2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 x14ac:dyDescent="0.2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 x14ac:dyDescent="0.2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 x14ac:dyDescent="0.2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 x14ac:dyDescent="0.2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 x14ac:dyDescent="0.2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 x14ac:dyDescent="0.2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 x14ac:dyDescent="0.2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 x14ac:dyDescent="0.2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 x14ac:dyDescent="0.2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 x14ac:dyDescent="0.2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 x14ac:dyDescent="0.2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 x14ac:dyDescent="0.2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 x14ac:dyDescent="0.2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 x14ac:dyDescent="0.2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 x14ac:dyDescent="0.2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 x14ac:dyDescent="0.2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 x14ac:dyDescent="0.2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 x14ac:dyDescent="0.2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 x14ac:dyDescent="0.2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 x14ac:dyDescent="0.2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 x14ac:dyDescent="0.2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 x14ac:dyDescent="0.2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 x14ac:dyDescent="0.2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 x14ac:dyDescent="0.2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 x14ac:dyDescent="0.2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 x14ac:dyDescent="0.2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 x14ac:dyDescent="0.2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 x14ac:dyDescent="0.2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 x14ac:dyDescent="0.2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 x14ac:dyDescent="0.2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 x14ac:dyDescent="0.2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 x14ac:dyDescent="0.2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 x14ac:dyDescent="0.2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 x14ac:dyDescent="0.2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 x14ac:dyDescent="0.2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 x14ac:dyDescent="0.2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 x14ac:dyDescent="0.2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 x14ac:dyDescent="0.2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 x14ac:dyDescent="0.2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18.75" hidden="1" x14ac:dyDescent="0.2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 x14ac:dyDescent="0.2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 x14ac:dyDescent="0.2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 x14ac:dyDescent="0.2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 x14ac:dyDescent="0.2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 x14ac:dyDescent="0.2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 x14ac:dyDescent="0.2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 x14ac:dyDescent="0.2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 x14ac:dyDescent="0.2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 x14ac:dyDescent="0.2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 x14ac:dyDescent="0.2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 x14ac:dyDescent="0.2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 x14ac:dyDescent="0.2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 x14ac:dyDescent="0.2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 x14ac:dyDescent="0.2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 x14ac:dyDescent="0.2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 x14ac:dyDescent="0.2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 x14ac:dyDescent="0.2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 x14ac:dyDescent="0.2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 x14ac:dyDescent="0.2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 x14ac:dyDescent="0.2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 x14ac:dyDescent="0.2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 x14ac:dyDescent="0.2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 x14ac:dyDescent="0.2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 x14ac:dyDescent="0.2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 x14ac:dyDescent="0.2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 x14ac:dyDescent="0.2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 x14ac:dyDescent="0.2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 x14ac:dyDescent="0.2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 x14ac:dyDescent="0.2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 x14ac:dyDescent="0.2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 x14ac:dyDescent="0.2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 x14ac:dyDescent="0.2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 x14ac:dyDescent="0.2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 x14ac:dyDescent="0.2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 x14ac:dyDescent="0.2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 x14ac:dyDescent="0.2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 x14ac:dyDescent="0.2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 x14ac:dyDescent="0.2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 x14ac:dyDescent="0.2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 x14ac:dyDescent="0.2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 x14ac:dyDescent="0.2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 x14ac:dyDescent="0.2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 x14ac:dyDescent="0.2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 x14ac:dyDescent="0.2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 x14ac:dyDescent="0.2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 x14ac:dyDescent="0.2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 x14ac:dyDescent="0.2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 x14ac:dyDescent="0.2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 x14ac:dyDescent="0.2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 x14ac:dyDescent="0.2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 x14ac:dyDescent="0.2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 x14ac:dyDescent="0.2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 x14ac:dyDescent="0.2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 x14ac:dyDescent="0.2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 x14ac:dyDescent="0.2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 x14ac:dyDescent="0.2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 x14ac:dyDescent="0.2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 x14ac:dyDescent="0.2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 x14ac:dyDescent="0.2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 x14ac:dyDescent="0.2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 x14ac:dyDescent="0.2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 x14ac:dyDescent="0.2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 x14ac:dyDescent="0.2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 x14ac:dyDescent="0.2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 x14ac:dyDescent="0.2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 x14ac:dyDescent="0.2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 x14ac:dyDescent="0.2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 x14ac:dyDescent="0.2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 x14ac:dyDescent="0.2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 x14ac:dyDescent="0.2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 x14ac:dyDescent="0.2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 x14ac:dyDescent="0.2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 x14ac:dyDescent="0.2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 x14ac:dyDescent="0.2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 x14ac:dyDescent="0.2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 x14ac:dyDescent="0.2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 x14ac:dyDescent="0.2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 x14ac:dyDescent="0.2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 x14ac:dyDescent="0.2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 x14ac:dyDescent="0.2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 x14ac:dyDescent="0.2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 x14ac:dyDescent="0.2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 x14ac:dyDescent="0.2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0</v>
      </c>
      <c r="G1000" s="57">
        <v>42000</v>
      </c>
      <c r="H1000" s="57">
        <f t="shared" si="28"/>
        <v>0</v>
      </c>
    </row>
    <row r="1001" spans="1:8" hidden="1" x14ac:dyDescent="0.2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 x14ac:dyDescent="0.2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 x14ac:dyDescent="0.2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 x14ac:dyDescent="0.2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 x14ac:dyDescent="0.2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 x14ac:dyDescent="0.2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 x14ac:dyDescent="0.2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 x14ac:dyDescent="0.2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 x14ac:dyDescent="0.2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 x14ac:dyDescent="0.2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 x14ac:dyDescent="0.2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0</v>
      </c>
      <c r="G1011" s="57">
        <v>950000</v>
      </c>
      <c r="H1011" s="57">
        <f t="shared" si="29"/>
        <v>0</v>
      </c>
    </row>
    <row r="1012" spans="1:8" hidden="1" x14ac:dyDescent="0.2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 x14ac:dyDescent="0.2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 x14ac:dyDescent="0.2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 x14ac:dyDescent="0.2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 x14ac:dyDescent="0.2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 x14ac:dyDescent="0.2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 x14ac:dyDescent="0.2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 x14ac:dyDescent="0.2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 x14ac:dyDescent="0.2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 x14ac:dyDescent="0.2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 x14ac:dyDescent="0.2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 x14ac:dyDescent="0.2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 x14ac:dyDescent="0.2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0</v>
      </c>
      <c r="G1024" s="57">
        <v>230000</v>
      </c>
      <c r="H1024" s="57">
        <f t="shared" si="29"/>
        <v>0</v>
      </c>
    </row>
    <row r="1025" spans="1:8" hidden="1" x14ac:dyDescent="0.2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 x14ac:dyDescent="0.2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 x14ac:dyDescent="0.2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 x14ac:dyDescent="0.2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 x14ac:dyDescent="0.2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 x14ac:dyDescent="0.2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 x14ac:dyDescent="0.2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 x14ac:dyDescent="0.2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 x14ac:dyDescent="0.2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 x14ac:dyDescent="0.2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 x14ac:dyDescent="0.2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 x14ac:dyDescent="0.2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 x14ac:dyDescent="0.2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 x14ac:dyDescent="0.2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 x14ac:dyDescent="0.2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 x14ac:dyDescent="0.2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 x14ac:dyDescent="0.2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 x14ac:dyDescent="0.2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0</v>
      </c>
      <c r="G1042" s="57">
        <v>59000</v>
      </c>
      <c r="H1042" s="57">
        <f t="shared" si="29"/>
        <v>0</v>
      </c>
    </row>
    <row r="1043" spans="1:8" hidden="1" x14ac:dyDescent="0.2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 x14ac:dyDescent="0.2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 x14ac:dyDescent="0.2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60</v>
      </c>
      <c r="G1045" s="57">
        <v>19000</v>
      </c>
      <c r="H1045" s="57">
        <f t="shared" si="29"/>
        <v>1140000</v>
      </c>
    </row>
    <row r="1046" spans="1:8" hidden="1" x14ac:dyDescent="0.2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 x14ac:dyDescent="0.2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 x14ac:dyDescent="0.2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 x14ac:dyDescent="0.2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 x14ac:dyDescent="0.2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 x14ac:dyDescent="0.2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 x14ac:dyDescent="0.2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 x14ac:dyDescent="0.2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0</v>
      </c>
      <c r="G1053" s="57">
        <v>10000</v>
      </c>
      <c r="H1053" s="57">
        <f t="shared" si="29"/>
        <v>0</v>
      </c>
    </row>
    <row r="1054" spans="1:8" hidden="1" x14ac:dyDescent="0.2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 x14ac:dyDescent="0.2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0</v>
      </c>
      <c r="G1055" s="57">
        <v>25000</v>
      </c>
      <c r="H1055" s="57">
        <f t="shared" si="29"/>
        <v>0</v>
      </c>
    </row>
    <row r="1056" spans="1:8" hidden="1" x14ac:dyDescent="0.2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 x14ac:dyDescent="0.2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 x14ac:dyDescent="0.2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 x14ac:dyDescent="0.2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 x14ac:dyDescent="0.2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 x14ac:dyDescent="0.2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 x14ac:dyDescent="0.2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 x14ac:dyDescent="0.2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 x14ac:dyDescent="0.2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 x14ac:dyDescent="0.2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 x14ac:dyDescent="0.2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 x14ac:dyDescent="0.2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 x14ac:dyDescent="0.2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 x14ac:dyDescent="0.2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 x14ac:dyDescent="0.2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 x14ac:dyDescent="0.2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 x14ac:dyDescent="0.2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 x14ac:dyDescent="0.2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 x14ac:dyDescent="0.2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 x14ac:dyDescent="0.2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 x14ac:dyDescent="0.2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0</v>
      </c>
      <c r="G1076" s="57">
        <v>32000</v>
      </c>
      <c r="H1076" s="57">
        <f t="shared" si="30"/>
        <v>0</v>
      </c>
    </row>
    <row r="1077" spans="1:8" hidden="1" x14ac:dyDescent="0.2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 x14ac:dyDescent="0.2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 x14ac:dyDescent="0.2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 x14ac:dyDescent="0.2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 x14ac:dyDescent="0.2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 x14ac:dyDescent="0.2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 x14ac:dyDescent="0.2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 x14ac:dyDescent="0.2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 x14ac:dyDescent="0.2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 x14ac:dyDescent="0.2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 x14ac:dyDescent="0.2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 x14ac:dyDescent="0.2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 x14ac:dyDescent="0.2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 x14ac:dyDescent="0.2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 x14ac:dyDescent="0.2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 x14ac:dyDescent="0.2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 x14ac:dyDescent="0.2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 x14ac:dyDescent="0.2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 x14ac:dyDescent="0.2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 x14ac:dyDescent="0.2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 x14ac:dyDescent="0.2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 x14ac:dyDescent="0.2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 x14ac:dyDescent="0.2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 x14ac:dyDescent="0.2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 x14ac:dyDescent="0.2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 x14ac:dyDescent="0.2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 x14ac:dyDescent="0.2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 x14ac:dyDescent="0.2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 x14ac:dyDescent="0.2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 x14ac:dyDescent="0.2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 x14ac:dyDescent="0.2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 x14ac:dyDescent="0.2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 x14ac:dyDescent="0.2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 x14ac:dyDescent="0.2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 x14ac:dyDescent="0.2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 x14ac:dyDescent="0.2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 x14ac:dyDescent="0.2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 x14ac:dyDescent="0.2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 x14ac:dyDescent="0.2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 x14ac:dyDescent="0.2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 x14ac:dyDescent="0.2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 x14ac:dyDescent="0.2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 x14ac:dyDescent="0.2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 x14ac:dyDescent="0.2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 x14ac:dyDescent="0.2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 x14ac:dyDescent="0.2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 x14ac:dyDescent="0.2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 x14ac:dyDescent="0.2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 x14ac:dyDescent="0.2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 x14ac:dyDescent="0.2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 x14ac:dyDescent="0.2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 x14ac:dyDescent="0.2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 x14ac:dyDescent="0.2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 x14ac:dyDescent="0.2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 x14ac:dyDescent="0.2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 x14ac:dyDescent="0.2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 x14ac:dyDescent="0.2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 x14ac:dyDescent="0.2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 x14ac:dyDescent="0.2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 x14ac:dyDescent="0.2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 x14ac:dyDescent="0.2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 x14ac:dyDescent="0.2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 x14ac:dyDescent="0.2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 x14ac:dyDescent="0.2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 x14ac:dyDescent="0.2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 x14ac:dyDescent="0.2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 x14ac:dyDescent="0.2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 x14ac:dyDescent="0.2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 x14ac:dyDescent="0.2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 x14ac:dyDescent="0.2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 x14ac:dyDescent="0.2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 x14ac:dyDescent="0.2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 x14ac:dyDescent="0.2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 x14ac:dyDescent="0.2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 x14ac:dyDescent="0.2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 x14ac:dyDescent="0.2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 x14ac:dyDescent="0.2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 x14ac:dyDescent="0.2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18.75" hidden="1" x14ac:dyDescent="0.2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 x14ac:dyDescent="0.2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 x14ac:dyDescent="0.2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 x14ac:dyDescent="0.2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 x14ac:dyDescent="0.2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 x14ac:dyDescent="0.2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 x14ac:dyDescent="0.2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 x14ac:dyDescent="0.2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 x14ac:dyDescent="0.2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 x14ac:dyDescent="0.2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 x14ac:dyDescent="0.2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 x14ac:dyDescent="0.2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 x14ac:dyDescent="0.2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 x14ac:dyDescent="0.2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 x14ac:dyDescent="0.2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 x14ac:dyDescent="0.2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 x14ac:dyDescent="0.2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 x14ac:dyDescent="0.2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 x14ac:dyDescent="0.2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 x14ac:dyDescent="0.2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 x14ac:dyDescent="0.2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 x14ac:dyDescent="0.2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 x14ac:dyDescent="0.2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 x14ac:dyDescent="0.2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 x14ac:dyDescent="0.2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 x14ac:dyDescent="0.2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 x14ac:dyDescent="0.2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 x14ac:dyDescent="0.2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 x14ac:dyDescent="0.2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 x14ac:dyDescent="0.2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 x14ac:dyDescent="0.2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 x14ac:dyDescent="0.2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 x14ac:dyDescent="0.2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 x14ac:dyDescent="0.2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 x14ac:dyDescent="0.2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 x14ac:dyDescent="0.2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 x14ac:dyDescent="0.2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6</v>
      </c>
      <c r="G1191" s="57">
        <v>320000</v>
      </c>
      <c r="H1191" s="57">
        <f t="shared" si="33"/>
        <v>1920000</v>
      </c>
    </row>
    <row r="1192" spans="1:8" hidden="1" x14ac:dyDescent="0.2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 x14ac:dyDescent="0.2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 x14ac:dyDescent="0.2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 x14ac:dyDescent="0.2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 x14ac:dyDescent="0.2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 x14ac:dyDescent="0.2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 x14ac:dyDescent="0.2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 x14ac:dyDescent="0.2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 x14ac:dyDescent="0.2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 x14ac:dyDescent="0.2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 x14ac:dyDescent="0.2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 x14ac:dyDescent="0.2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 x14ac:dyDescent="0.2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 x14ac:dyDescent="0.2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 x14ac:dyDescent="0.2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 x14ac:dyDescent="0.2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 x14ac:dyDescent="0.2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 x14ac:dyDescent="0.2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 x14ac:dyDescent="0.2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 x14ac:dyDescent="0.2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 x14ac:dyDescent="0.2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 x14ac:dyDescent="0.2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 x14ac:dyDescent="0.2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 x14ac:dyDescent="0.2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 x14ac:dyDescent="0.2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 x14ac:dyDescent="0.2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 x14ac:dyDescent="0.2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 x14ac:dyDescent="0.2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 x14ac:dyDescent="0.2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 x14ac:dyDescent="0.2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 x14ac:dyDescent="0.2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 x14ac:dyDescent="0.2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 x14ac:dyDescent="0.2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 x14ac:dyDescent="0.2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xmlns:xlrd2="http://schemas.microsoft.com/office/spreadsheetml/2017/richdata2" ref="B43:G296">
    <sortCondition ref="B43:B296"/>
    <sortCondition ref="C43:C296"/>
    <sortCondition ref="D43:D296"/>
  </sortState>
  <mergeCells count="291"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</mergeCells>
  <pageMargins left="0.47244094488188981" right="0.39370078740157483" top="0.74803149606299213" bottom="0.74803149606299213" header="0.31496062992125984" footer="0.31496062992125984"/>
  <pageSetup scale="60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42578125" defaultRowHeight="15" x14ac:dyDescent="0.25"/>
  <cols>
    <col min="3" max="3" width="11.42578125" customWidth="1"/>
  </cols>
  <sheetData>
    <row r="1" spans="1:1" x14ac:dyDescent="0.25">
      <c r="A1">
        <v>130</v>
      </c>
    </row>
    <row r="2" spans="1:1" x14ac:dyDescent="0.25">
      <c r="A2">
        <v>241</v>
      </c>
    </row>
    <row r="3" spans="1:1" x14ac:dyDescent="0.25">
      <c r="A3">
        <f>A2-A1</f>
        <v>111</v>
      </c>
    </row>
    <row r="7" spans="1:1" x14ac:dyDescent="0.25">
      <c r="A7">
        <v>130</v>
      </c>
    </row>
    <row r="8" spans="1:1" x14ac:dyDescent="0.25">
      <c r="A8">
        <v>131</v>
      </c>
    </row>
    <row r="9" spans="1:1" x14ac:dyDescent="0.25">
      <c r="A9">
        <v>132</v>
      </c>
    </row>
    <row r="10" spans="1:1" x14ac:dyDescent="0.25">
      <c r="A10">
        <v>133</v>
      </c>
    </row>
    <row r="11" spans="1:1" x14ac:dyDescent="0.25">
      <c r="A11">
        <v>134</v>
      </c>
    </row>
    <row r="12" spans="1:1" x14ac:dyDescent="0.25">
      <c r="A12">
        <v>135</v>
      </c>
    </row>
    <row r="13" spans="1:1" x14ac:dyDescent="0.25">
      <c r="A13">
        <v>136</v>
      </c>
    </row>
    <row r="14" spans="1:1" x14ac:dyDescent="0.25">
      <c r="A14">
        <v>137</v>
      </c>
    </row>
    <row r="15" spans="1:1" x14ac:dyDescent="0.25">
      <c r="A15">
        <v>138</v>
      </c>
    </row>
    <row r="16" spans="1:1" x14ac:dyDescent="0.25">
      <c r="A16">
        <v>139</v>
      </c>
    </row>
    <row r="17" spans="1:1" x14ac:dyDescent="0.25">
      <c r="A17">
        <v>140</v>
      </c>
    </row>
    <row r="18" spans="1:1" x14ac:dyDescent="0.25">
      <c r="A18">
        <v>141</v>
      </c>
    </row>
    <row r="19" spans="1:1" x14ac:dyDescent="0.25">
      <c r="A19">
        <v>142</v>
      </c>
    </row>
    <row r="20" spans="1:1" x14ac:dyDescent="0.25">
      <c r="A20">
        <v>143</v>
      </c>
    </row>
    <row r="21" spans="1:1" x14ac:dyDescent="0.25">
      <c r="A21">
        <v>144</v>
      </c>
    </row>
    <row r="22" spans="1:1" x14ac:dyDescent="0.25">
      <c r="A22">
        <v>145</v>
      </c>
    </row>
    <row r="23" spans="1:1" x14ac:dyDescent="0.25">
      <c r="A23">
        <v>146</v>
      </c>
    </row>
    <row r="24" spans="1:1" x14ac:dyDescent="0.25">
      <c r="A24">
        <v>147</v>
      </c>
    </row>
    <row r="25" spans="1:1" x14ac:dyDescent="0.25">
      <c r="A25">
        <v>148</v>
      </c>
    </row>
    <row r="26" spans="1:1" x14ac:dyDescent="0.25">
      <c r="A26">
        <v>149</v>
      </c>
    </row>
    <row r="27" spans="1:1" x14ac:dyDescent="0.25">
      <c r="A27">
        <v>150</v>
      </c>
    </row>
    <row r="28" spans="1:1" x14ac:dyDescent="0.25">
      <c r="A28">
        <v>151</v>
      </c>
    </row>
    <row r="29" spans="1:1" x14ac:dyDescent="0.25">
      <c r="A29">
        <v>152</v>
      </c>
    </row>
    <row r="30" spans="1:1" x14ac:dyDescent="0.25">
      <c r="A30">
        <v>153</v>
      </c>
    </row>
    <row r="31" spans="1:1" x14ac:dyDescent="0.25">
      <c r="A31">
        <v>154</v>
      </c>
    </row>
    <row r="32" spans="1:1" x14ac:dyDescent="0.25">
      <c r="A32">
        <v>155</v>
      </c>
    </row>
    <row r="33" spans="1:1" x14ac:dyDescent="0.25">
      <c r="A33">
        <v>156</v>
      </c>
    </row>
    <row r="34" spans="1:1" x14ac:dyDescent="0.25">
      <c r="A34">
        <v>157</v>
      </c>
    </row>
    <row r="35" spans="1:1" x14ac:dyDescent="0.25">
      <c r="A35">
        <v>158</v>
      </c>
    </row>
    <row r="36" spans="1:1" x14ac:dyDescent="0.25">
      <c r="A36">
        <v>159</v>
      </c>
    </row>
    <row r="37" spans="1:1" x14ac:dyDescent="0.25">
      <c r="A37">
        <v>160</v>
      </c>
    </row>
    <row r="38" spans="1:1" x14ac:dyDescent="0.25">
      <c r="A38">
        <v>161</v>
      </c>
    </row>
    <row r="39" spans="1:1" x14ac:dyDescent="0.25">
      <c r="A39">
        <v>162</v>
      </c>
    </row>
    <row r="40" spans="1:1" x14ac:dyDescent="0.25">
      <c r="A40">
        <v>163</v>
      </c>
    </row>
    <row r="41" spans="1:1" x14ac:dyDescent="0.25">
      <c r="A41">
        <v>164</v>
      </c>
    </row>
    <row r="42" spans="1:1" x14ac:dyDescent="0.25">
      <c r="A42">
        <v>165</v>
      </c>
    </row>
    <row r="43" spans="1:1" x14ac:dyDescent="0.25">
      <c r="A43">
        <v>166</v>
      </c>
    </row>
    <row r="44" spans="1:1" x14ac:dyDescent="0.25">
      <c r="A44">
        <v>167</v>
      </c>
    </row>
    <row r="45" spans="1:1" x14ac:dyDescent="0.25">
      <c r="A45">
        <v>168</v>
      </c>
    </row>
    <row r="46" spans="1:1" x14ac:dyDescent="0.25">
      <c r="A46">
        <v>169</v>
      </c>
    </row>
    <row r="47" spans="1:1" x14ac:dyDescent="0.25">
      <c r="A47">
        <v>170</v>
      </c>
    </row>
    <row r="48" spans="1:1" x14ac:dyDescent="0.25">
      <c r="A48">
        <v>171</v>
      </c>
    </row>
    <row r="49" spans="1:1" x14ac:dyDescent="0.25">
      <c r="A49">
        <v>172</v>
      </c>
    </row>
    <row r="50" spans="1:1" x14ac:dyDescent="0.25">
      <c r="A50">
        <v>173</v>
      </c>
    </row>
    <row r="51" spans="1:1" x14ac:dyDescent="0.25">
      <c r="A51">
        <v>174</v>
      </c>
    </row>
    <row r="52" spans="1:1" x14ac:dyDescent="0.25">
      <c r="A52">
        <v>175</v>
      </c>
    </row>
    <row r="53" spans="1:1" x14ac:dyDescent="0.25">
      <c r="A53">
        <v>176</v>
      </c>
    </row>
    <row r="54" spans="1:1" x14ac:dyDescent="0.25">
      <c r="A54">
        <v>177</v>
      </c>
    </row>
    <row r="55" spans="1:1" x14ac:dyDescent="0.25">
      <c r="A55">
        <v>178</v>
      </c>
    </row>
    <row r="56" spans="1:1" x14ac:dyDescent="0.25">
      <c r="A56">
        <v>179</v>
      </c>
    </row>
    <row r="57" spans="1:1" x14ac:dyDescent="0.25">
      <c r="A57">
        <v>180</v>
      </c>
    </row>
    <row r="58" spans="1:1" x14ac:dyDescent="0.25">
      <c r="A58">
        <v>181</v>
      </c>
    </row>
    <row r="59" spans="1:1" x14ac:dyDescent="0.25">
      <c r="A59">
        <v>182</v>
      </c>
    </row>
    <row r="60" spans="1:1" x14ac:dyDescent="0.25">
      <c r="A60">
        <v>183</v>
      </c>
    </row>
    <row r="61" spans="1:1" x14ac:dyDescent="0.25">
      <c r="A61">
        <v>184</v>
      </c>
    </row>
    <row r="62" spans="1:1" x14ac:dyDescent="0.25">
      <c r="A62">
        <v>185</v>
      </c>
    </row>
    <row r="63" spans="1:1" x14ac:dyDescent="0.25">
      <c r="A63">
        <v>186</v>
      </c>
    </row>
    <row r="64" spans="1:1" x14ac:dyDescent="0.25">
      <c r="A64">
        <v>187</v>
      </c>
    </row>
    <row r="65" spans="1:1" x14ac:dyDescent="0.25">
      <c r="A65">
        <v>188</v>
      </c>
    </row>
    <row r="66" spans="1:1" x14ac:dyDescent="0.25">
      <c r="A66">
        <v>189</v>
      </c>
    </row>
    <row r="67" spans="1:1" x14ac:dyDescent="0.25">
      <c r="A67">
        <v>190</v>
      </c>
    </row>
    <row r="68" spans="1:1" x14ac:dyDescent="0.25">
      <c r="A68">
        <v>191</v>
      </c>
    </row>
    <row r="69" spans="1:1" x14ac:dyDescent="0.25">
      <c r="A69">
        <v>192</v>
      </c>
    </row>
    <row r="70" spans="1:1" x14ac:dyDescent="0.25">
      <c r="A70">
        <v>193</v>
      </c>
    </row>
    <row r="71" spans="1:1" x14ac:dyDescent="0.25">
      <c r="A71">
        <v>194</v>
      </c>
    </row>
    <row r="72" spans="1:1" x14ac:dyDescent="0.25">
      <c r="A72">
        <v>195</v>
      </c>
    </row>
    <row r="73" spans="1:1" x14ac:dyDescent="0.25">
      <c r="A73">
        <v>196</v>
      </c>
    </row>
    <row r="74" spans="1:1" x14ac:dyDescent="0.25">
      <c r="A74">
        <v>197</v>
      </c>
    </row>
    <row r="75" spans="1:1" x14ac:dyDescent="0.25">
      <c r="A75">
        <v>198</v>
      </c>
    </row>
    <row r="76" spans="1:1" x14ac:dyDescent="0.25">
      <c r="A76">
        <v>199</v>
      </c>
    </row>
    <row r="77" spans="1:1" x14ac:dyDescent="0.25">
      <c r="A77">
        <v>200</v>
      </c>
    </row>
    <row r="78" spans="1:1" x14ac:dyDescent="0.25">
      <c r="A78">
        <v>201</v>
      </c>
    </row>
    <row r="79" spans="1:1" x14ac:dyDescent="0.25">
      <c r="A79">
        <v>202</v>
      </c>
    </row>
    <row r="80" spans="1:1" x14ac:dyDescent="0.25">
      <c r="A80">
        <v>203</v>
      </c>
    </row>
    <row r="81" spans="1:1" x14ac:dyDescent="0.25">
      <c r="A81">
        <v>204</v>
      </c>
    </row>
    <row r="82" spans="1:1" x14ac:dyDescent="0.25">
      <c r="A82">
        <v>205</v>
      </c>
    </row>
    <row r="83" spans="1:1" x14ac:dyDescent="0.25">
      <c r="A83">
        <v>206</v>
      </c>
    </row>
    <row r="84" spans="1:1" x14ac:dyDescent="0.25">
      <c r="A84">
        <v>207</v>
      </c>
    </row>
    <row r="85" spans="1:1" x14ac:dyDescent="0.25">
      <c r="A85">
        <v>208</v>
      </c>
    </row>
    <row r="86" spans="1:1" x14ac:dyDescent="0.25">
      <c r="A86">
        <v>209</v>
      </c>
    </row>
    <row r="87" spans="1:1" x14ac:dyDescent="0.25">
      <c r="A87">
        <v>210</v>
      </c>
    </row>
    <row r="88" spans="1:1" x14ac:dyDescent="0.25">
      <c r="A88">
        <v>211</v>
      </c>
    </row>
    <row r="89" spans="1:1" x14ac:dyDescent="0.25">
      <c r="A89">
        <v>212</v>
      </c>
    </row>
    <row r="90" spans="1:1" x14ac:dyDescent="0.25">
      <c r="A90">
        <v>213</v>
      </c>
    </row>
    <row r="91" spans="1:1" x14ac:dyDescent="0.25">
      <c r="A91">
        <v>214</v>
      </c>
    </row>
    <row r="92" spans="1:1" x14ac:dyDescent="0.25">
      <c r="A92">
        <v>215</v>
      </c>
    </row>
    <row r="93" spans="1:1" x14ac:dyDescent="0.25">
      <c r="A93">
        <v>216</v>
      </c>
    </row>
    <row r="94" spans="1:1" x14ac:dyDescent="0.25">
      <c r="A94">
        <v>217</v>
      </c>
    </row>
    <row r="95" spans="1:1" x14ac:dyDescent="0.25">
      <c r="A95">
        <v>218</v>
      </c>
    </row>
    <row r="96" spans="1:1" x14ac:dyDescent="0.25">
      <c r="A96">
        <v>219</v>
      </c>
    </row>
    <row r="97" spans="1:1" x14ac:dyDescent="0.25">
      <c r="A97">
        <v>220</v>
      </c>
    </row>
    <row r="98" spans="1:1" x14ac:dyDescent="0.25">
      <c r="A98">
        <v>221</v>
      </c>
    </row>
    <row r="99" spans="1:1" x14ac:dyDescent="0.25">
      <c r="A99">
        <v>222</v>
      </c>
    </row>
    <row r="100" spans="1:1" x14ac:dyDescent="0.25">
      <c r="A100">
        <v>223</v>
      </c>
    </row>
    <row r="101" spans="1:1" x14ac:dyDescent="0.25">
      <c r="A101">
        <v>224</v>
      </c>
    </row>
    <row r="102" spans="1:1" x14ac:dyDescent="0.25">
      <c r="A102">
        <v>225</v>
      </c>
    </row>
    <row r="103" spans="1:1" x14ac:dyDescent="0.25">
      <c r="A103">
        <v>226</v>
      </c>
    </row>
    <row r="104" spans="1:1" x14ac:dyDescent="0.25">
      <c r="A104">
        <v>227</v>
      </c>
    </row>
    <row r="105" spans="1:1" x14ac:dyDescent="0.25">
      <c r="A105">
        <v>228</v>
      </c>
    </row>
    <row r="106" spans="1:1" x14ac:dyDescent="0.25">
      <c r="A106">
        <v>229</v>
      </c>
    </row>
    <row r="107" spans="1:1" x14ac:dyDescent="0.25">
      <c r="A107">
        <v>230</v>
      </c>
    </row>
    <row r="108" spans="1:1" x14ac:dyDescent="0.25">
      <c r="A108">
        <v>231</v>
      </c>
    </row>
    <row r="109" spans="1:1" x14ac:dyDescent="0.25">
      <c r="A109">
        <v>232</v>
      </c>
    </row>
    <row r="110" spans="1:1" x14ac:dyDescent="0.25">
      <c r="A110">
        <v>233</v>
      </c>
    </row>
    <row r="111" spans="1:1" x14ac:dyDescent="0.25">
      <c r="A111">
        <v>234</v>
      </c>
    </row>
    <row r="112" spans="1:1" x14ac:dyDescent="0.25">
      <c r="A112">
        <v>235</v>
      </c>
    </row>
    <row r="113" spans="1:1" x14ac:dyDescent="0.25">
      <c r="A113">
        <v>236</v>
      </c>
    </row>
    <row r="114" spans="1:1" x14ac:dyDescent="0.25">
      <c r="A114">
        <v>237</v>
      </c>
    </row>
    <row r="115" spans="1:1" x14ac:dyDescent="0.25">
      <c r="A115">
        <v>238</v>
      </c>
    </row>
    <row r="116" spans="1:1" x14ac:dyDescent="0.25">
      <c r="A116">
        <v>239</v>
      </c>
    </row>
    <row r="117" spans="1:1" x14ac:dyDescent="0.25">
      <c r="A117">
        <v>240</v>
      </c>
    </row>
    <row r="118" spans="1:1" x14ac:dyDescent="0.25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Andrea Ospina Patiño</cp:lastModifiedBy>
  <cp:lastPrinted>2019-01-14T17:35:07Z</cp:lastPrinted>
  <dcterms:created xsi:type="dcterms:W3CDTF">2015-12-30T16:21:58Z</dcterms:created>
  <dcterms:modified xsi:type="dcterms:W3CDTF">2019-01-16T20:15:07Z</dcterms:modified>
</cp:coreProperties>
</file>